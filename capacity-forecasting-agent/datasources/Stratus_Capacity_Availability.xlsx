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4862" documentId="11_C233B55AFC45D90F97E819E7E0BCBE8359B1E8BC" xr6:coauthVersionLast="47" xr6:coauthVersionMax="47" xr10:uidLastSave="{D02CF22C-6F28-4F45-B1B3-EF34DAF7237E}"/>
  <bookViews>
    <workbookView xWindow="0" yWindow="0" windowWidth="0" windowHeight="0" firstSheet="5" activeTab="2" xr2:uid="{00000000-000D-0000-FFFF-FFFF00000000}"/>
  </bookViews>
  <sheets>
    <sheet name="Readme" sheetId="1" r:id="rId1"/>
    <sheet name="Capacity_Current" sheetId="2" r:id="rId2"/>
    <sheet name="Capacity_Forecast" sheetId="3" r:id="rId3"/>
    <sheet name="Capacity_Buildout_Plan" sheetId="4" r:id="rId4"/>
    <sheet name="SKU_Alternatives" sheetId="5" r:id="rId5"/>
    <sheet name="Reference_Dat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5" i="3" l="1"/>
  <c r="H505" i="3"/>
  <c r="G505" i="3"/>
  <c r="I504" i="3"/>
  <c r="H504" i="3"/>
  <c r="G504" i="3"/>
  <c r="I503" i="3"/>
  <c r="H503" i="3"/>
  <c r="G503" i="3"/>
  <c r="I502" i="3"/>
  <c r="H502" i="3"/>
  <c r="G502" i="3"/>
  <c r="I501" i="3"/>
  <c r="H501" i="3"/>
  <c r="G501" i="3"/>
  <c r="I500" i="3"/>
  <c r="H500" i="3"/>
  <c r="G500" i="3"/>
  <c r="I499" i="3"/>
  <c r="H499" i="3"/>
  <c r="G499" i="3"/>
  <c r="I498" i="3"/>
  <c r="H498" i="3"/>
  <c r="G498" i="3"/>
  <c r="I497" i="3"/>
  <c r="H497" i="3"/>
  <c r="G497" i="3"/>
  <c r="I496" i="3"/>
  <c r="H496" i="3"/>
  <c r="G496" i="3"/>
  <c r="I495" i="3"/>
  <c r="H495" i="3"/>
  <c r="G495" i="3"/>
  <c r="I494" i="3"/>
  <c r="H494" i="3"/>
  <c r="G494" i="3"/>
  <c r="I493" i="3"/>
  <c r="H493" i="3"/>
  <c r="G493" i="3"/>
  <c r="I492" i="3"/>
  <c r="H492" i="3"/>
  <c r="G492" i="3"/>
  <c r="I491" i="3"/>
  <c r="H491" i="3"/>
  <c r="G491" i="3"/>
  <c r="I490" i="3"/>
  <c r="H490" i="3"/>
  <c r="G490" i="3"/>
  <c r="I489" i="3"/>
  <c r="H489" i="3"/>
  <c r="G489" i="3"/>
  <c r="I488" i="3"/>
  <c r="H488" i="3"/>
  <c r="G488" i="3"/>
  <c r="I487" i="3"/>
  <c r="H487" i="3"/>
  <c r="G487" i="3"/>
  <c r="I486" i="3"/>
  <c r="H486" i="3"/>
  <c r="G486" i="3"/>
  <c r="I485" i="3"/>
  <c r="H485" i="3"/>
  <c r="G485" i="3"/>
  <c r="I484" i="3"/>
  <c r="H484" i="3"/>
  <c r="G484" i="3"/>
  <c r="I483" i="3"/>
  <c r="H483" i="3"/>
  <c r="G483" i="3"/>
  <c r="I482" i="3"/>
  <c r="H482" i="3"/>
  <c r="G482" i="3"/>
  <c r="I481" i="3"/>
  <c r="H481" i="3"/>
  <c r="G481" i="3"/>
  <c r="I480" i="3"/>
  <c r="H480" i="3"/>
  <c r="G480" i="3"/>
  <c r="I479" i="3"/>
  <c r="H479" i="3"/>
  <c r="G479" i="3"/>
  <c r="I478" i="3"/>
  <c r="H478" i="3"/>
  <c r="G478" i="3"/>
  <c r="I477" i="3"/>
  <c r="H477" i="3"/>
  <c r="G477" i="3"/>
  <c r="I476" i="3"/>
  <c r="H476" i="3"/>
  <c r="G476" i="3"/>
  <c r="I475" i="3"/>
  <c r="H475" i="3"/>
  <c r="G475" i="3"/>
  <c r="I474" i="3"/>
  <c r="H474" i="3"/>
  <c r="G474" i="3"/>
  <c r="I473" i="3"/>
  <c r="H473" i="3"/>
  <c r="G473" i="3"/>
  <c r="I472" i="3"/>
  <c r="H472" i="3"/>
  <c r="G472" i="3"/>
  <c r="I471" i="3"/>
  <c r="H471" i="3"/>
  <c r="G471" i="3"/>
  <c r="I470" i="3"/>
  <c r="H470" i="3"/>
  <c r="G470" i="3"/>
  <c r="I469" i="3"/>
  <c r="H469" i="3"/>
  <c r="G469" i="3"/>
  <c r="I468" i="3"/>
  <c r="H468" i="3"/>
  <c r="G468" i="3"/>
  <c r="I467" i="3"/>
  <c r="H467" i="3"/>
  <c r="G467" i="3"/>
  <c r="I466" i="3"/>
  <c r="H466" i="3"/>
  <c r="G466" i="3"/>
  <c r="I465" i="3"/>
  <c r="H465" i="3"/>
  <c r="G465" i="3"/>
  <c r="I464" i="3"/>
  <c r="H464" i="3"/>
  <c r="G464" i="3"/>
  <c r="I463" i="3"/>
  <c r="H463" i="3"/>
  <c r="G463" i="3"/>
  <c r="I462" i="3"/>
  <c r="H462" i="3"/>
  <c r="G462" i="3"/>
  <c r="I461" i="3"/>
  <c r="H461" i="3"/>
  <c r="G461" i="3"/>
  <c r="I460" i="3"/>
  <c r="H460" i="3"/>
  <c r="G460" i="3"/>
  <c r="I459" i="3"/>
  <c r="H459" i="3"/>
  <c r="G459" i="3"/>
  <c r="I458" i="3"/>
  <c r="H458" i="3"/>
  <c r="G458" i="3"/>
  <c r="I457" i="3"/>
  <c r="H457" i="3"/>
  <c r="G457" i="3"/>
  <c r="I456" i="3"/>
  <c r="H456" i="3"/>
  <c r="G456" i="3"/>
  <c r="I455" i="3"/>
  <c r="H455" i="3"/>
  <c r="G455" i="3"/>
  <c r="I454" i="3"/>
  <c r="H454" i="3"/>
  <c r="G454" i="3"/>
  <c r="I453" i="3"/>
  <c r="H453" i="3"/>
  <c r="G453" i="3"/>
  <c r="I452" i="3"/>
  <c r="H452" i="3"/>
  <c r="G452" i="3"/>
  <c r="I451" i="3"/>
  <c r="H451" i="3"/>
  <c r="G451" i="3"/>
  <c r="I450" i="3"/>
  <c r="H450" i="3"/>
  <c r="G450" i="3"/>
  <c r="I449" i="3"/>
  <c r="H449" i="3"/>
  <c r="G449" i="3"/>
  <c r="I448" i="3"/>
  <c r="H448" i="3"/>
  <c r="G448" i="3"/>
  <c r="I447" i="3"/>
  <c r="H447" i="3"/>
  <c r="G447" i="3"/>
  <c r="I446" i="3"/>
  <c r="H446" i="3"/>
  <c r="G446" i="3"/>
  <c r="I445" i="3"/>
  <c r="H445" i="3"/>
  <c r="G445" i="3"/>
  <c r="I444" i="3"/>
  <c r="H444" i="3"/>
  <c r="G444" i="3"/>
  <c r="I443" i="3"/>
  <c r="H443" i="3"/>
  <c r="G443" i="3"/>
  <c r="I442" i="3"/>
  <c r="H442" i="3"/>
  <c r="G442" i="3"/>
  <c r="I441" i="3"/>
  <c r="H441" i="3"/>
  <c r="G441" i="3"/>
  <c r="I440" i="3"/>
  <c r="H440" i="3"/>
  <c r="G440" i="3"/>
  <c r="I439" i="3"/>
  <c r="H439" i="3"/>
  <c r="G439" i="3"/>
  <c r="I438" i="3"/>
  <c r="H438" i="3"/>
  <c r="G438" i="3"/>
  <c r="I437" i="3"/>
  <c r="H437" i="3"/>
  <c r="G437" i="3"/>
  <c r="I436" i="3"/>
  <c r="H436" i="3"/>
  <c r="G436" i="3"/>
  <c r="I435" i="3"/>
  <c r="H435" i="3"/>
  <c r="G435" i="3"/>
  <c r="I434" i="3"/>
  <c r="H434" i="3"/>
  <c r="G434" i="3"/>
  <c r="I433" i="3"/>
  <c r="H433" i="3"/>
  <c r="G433" i="3"/>
  <c r="I432" i="3"/>
  <c r="H432" i="3"/>
  <c r="G432" i="3"/>
  <c r="I431" i="3"/>
  <c r="H431" i="3"/>
  <c r="G431" i="3"/>
  <c r="I430" i="3"/>
  <c r="H430" i="3"/>
  <c r="G430" i="3"/>
  <c r="I429" i="3"/>
  <c r="H429" i="3"/>
  <c r="G429" i="3"/>
  <c r="I428" i="3"/>
  <c r="H428" i="3"/>
  <c r="G428" i="3"/>
  <c r="I427" i="3"/>
  <c r="H427" i="3"/>
  <c r="G427" i="3"/>
  <c r="I426" i="3"/>
  <c r="H426" i="3"/>
  <c r="G426" i="3"/>
  <c r="I425" i="3"/>
  <c r="H425" i="3"/>
  <c r="G425" i="3"/>
  <c r="I424" i="3"/>
  <c r="H424" i="3"/>
  <c r="G424" i="3"/>
  <c r="I423" i="3"/>
  <c r="H423" i="3"/>
  <c r="G423" i="3"/>
  <c r="I422" i="3"/>
  <c r="H422" i="3"/>
  <c r="G422" i="3"/>
  <c r="I421" i="3"/>
  <c r="H421" i="3"/>
  <c r="G421" i="3"/>
  <c r="I420" i="3"/>
  <c r="H420" i="3"/>
  <c r="G420" i="3"/>
  <c r="I419" i="3"/>
  <c r="H419" i="3"/>
  <c r="G419" i="3"/>
  <c r="I418" i="3"/>
  <c r="H418" i="3"/>
  <c r="G418" i="3"/>
  <c r="I417" i="3"/>
  <c r="H417" i="3"/>
  <c r="G417" i="3"/>
  <c r="I416" i="3"/>
  <c r="H416" i="3"/>
  <c r="G416" i="3"/>
  <c r="I415" i="3"/>
  <c r="H415" i="3"/>
  <c r="G415" i="3"/>
  <c r="I414" i="3"/>
  <c r="H414" i="3"/>
  <c r="G414" i="3"/>
  <c r="I413" i="3"/>
  <c r="H413" i="3"/>
  <c r="G413" i="3"/>
  <c r="I412" i="3"/>
  <c r="H412" i="3"/>
  <c r="G412" i="3"/>
  <c r="I411" i="3"/>
  <c r="H411" i="3"/>
  <c r="G411" i="3"/>
  <c r="I410" i="3"/>
  <c r="H410" i="3"/>
  <c r="G410" i="3"/>
  <c r="I409" i="3"/>
  <c r="H409" i="3"/>
  <c r="G409" i="3"/>
  <c r="I408" i="3"/>
  <c r="H408" i="3"/>
  <c r="G408" i="3"/>
  <c r="I407" i="3"/>
  <c r="H407" i="3"/>
  <c r="G407" i="3"/>
  <c r="I406" i="3"/>
  <c r="H406" i="3"/>
  <c r="G406" i="3"/>
  <c r="I405" i="3"/>
  <c r="H405" i="3"/>
  <c r="G405" i="3"/>
  <c r="I404" i="3"/>
  <c r="H404" i="3"/>
  <c r="G404" i="3"/>
  <c r="I403" i="3"/>
  <c r="H403" i="3"/>
  <c r="G403" i="3"/>
  <c r="I402" i="3"/>
  <c r="H402" i="3"/>
  <c r="G402" i="3"/>
  <c r="I401" i="3"/>
  <c r="H401" i="3"/>
  <c r="G401" i="3"/>
  <c r="I400" i="3"/>
  <c r="H400" i="3"/>
  <c r="G400" i="3"/>
  <c r="I399" i="3"/>
  <c r="H399" i="3"/>
  <c r="G399" i="3"/>
  <c r="I398" i="3"/>
  <c r="H398" i="3"/>
  <c r="G398" i="3"/>
  <c r="I397" i="3"/>
  <c r="H397" i="3"/>
  <c r="G397" i="3"/>
  <c r="I396" i="3"/>
  <c r="H396" i="3"/>
  <c r="G396" i="3"/>
  <c r="I395" i="3"/>
  <c r="H395" i="3"/>
  <c r="G395" i="3"/>
  <c r="I394" i="3"/>
  <c r="H394" i="3"/>
  <c r="G394" i="3"/>
  <c r="I393" i="3"/>
  <c r="H393" i="3"/>
  <c r="G393" i="3"/>
  <c r="I392" i="3"/>
  <c r="H392" i="3"/>
  <c r="G392" i="3"/>
  <c r="I391" i="3"/>
  <c r="H391" i="3"/>
  <c r="G391" i="3"/>
  <c r="I390" i="3"/>
  <c r="H390" i="3"/>
  <c r="G390" i="3"/>
  <c r="I389" i="3"/>
  <c r="H389" i="3"/>
  <c r="G389" i="3"/>
  <c r="I388" i="3"/>
  <c r="H388" i="3"/>
  <c r="G388" i="3"/>
  <c r="I387" i="3"/>
  <c r="H387" i="3"/>
  <c r="G387" i="3"/>
  <c r="I386" i="3"/>
  <c r="H386" i="3"/>
  <c r="G386" i="3"/>
  <c r="I385" i="3"/>
  <c r="H385" i="3"/>
  <c r="G385" i="3"/>
  <c r="I384" i="3"/>
  <c r="H384" i="3"/>
  <c r="G384" i="3"/>
  <c r="I383" i="3"/>
  <c r="H383" i="3"/>
  <c r="G383" i="3"/>
  <c r="I382" i="3"/>
  <c r="H382" i="3"/>
  <c r="G382" i="3"/>
  <c r="I381" i="3"/>
  <c r="H381" i="3"/>
  <c r="G381" i="3"/>
  <c r="I380" i="3"/>
  <c r="H380" i="3"/>
  <c r="G380" i="3"/>
  <c r="I379" i="3"/>
  <c r="H379" i="3"/>
  <c r="G379" i="3"/>
  <c r="I378" i="3"/>
  <c r="H378" i="3"/>
  <c r="G378" i="3"/>
  <c r="I377" i="3"/>
  <c r="H377" i="3"/>
  <c r="G377" i="3"/>
  <c r="I376" i="3"/>
  <c r="H376" i="3"/>
  <c r="G376" i="3"/>
  <c r="I375" i="3"/>
  <c r="H375" i="3"/>
  <c r="G375" i="3"/>
  <c r="I374" i="3"/>
  <c r="H374" i="3"/>
  <c r="G374" i="3"/>
  <c r="I373" i="3"/>
  <c r="H373" i="3"/>
  <c r="G373" i="3"/>
  <c r="I372" i="3"/>
  <c r="H372" i="3"/>
  <c r="G372" i="3"/>
  <c r="I371" i="3"/>
  <c r="H371" i="3"/>
  <c r="G371" i="3"/>
  <c r="I370" i="3"/>
  <c r="H370" i="3"/>
  <c r="G370" i="3"/>
  <c r="I369" i="3"/>
  <c r="H369" i="3"/>
  <c r="G369" i="3"/>
  <c r="I368" i="3"/>
  <c r="H368" i="3"/>
  <c r="G368" i="3"/>
  <c r="I367" i="3"/>
  <c r="H367" i="3"/>
  <c r="G367" i="3"/>
  <c r="I366" i="3"/>
  <c r="H366" i="3"/>
  <c r="G366" i="3"/>
  <c r="I365" i="3"/>
  <c r="H365" i="3"/>
  <c r="G365" i="3"/>
  <c r="I364" i="3"/>
  <c r="H364" i="3"/>
  <c r="G364" i="3"/>
  <c r="I363" i="3"/>
  <c r="H363" i="3"/>
  <c r="G363" i="3"/>
  <c r="I362" i="3"/>
  <c r="H362" i="3"/>
  <c r="G362" i="3"/>
  <c r="I361" i="3"/>
  <c r="H361" i="3"/>
  <c r="G361" i="3"/>
  <c r="I360" i="3"/>
  <c r="H360" i="3"/>
  <c r="G360" i="3"/>
  <c r="I359" i="3"/>
  <c r="H359" i="3"/>
  <c r="G359" i="3"/>
  <c r="I358" i="3"/>
  <c r="H358" i="3"/>
  <c r="G358" i="3"/>
  <c r="I357" i="3"/>
  <c r="H357" i="3"/>
  <c r="G357" i="3"/>
  <c r="I356" i="3"/>
  <c r="H356" i="3"/>
  <c r="G356" i="3"/>
  <c r="I355" i="3"/>
  <c r="H355" i="3"/>
  <c r="G355" i="3"/>
  <c r="I354" i="3"/>
  <c r="H354" i="3"/>
  <c r="G354" i="3"/>
  <c r="I353" i="3"/>
  <c r="H353" i="3"/>
  <c r="G353" i="3"/>
  <c r="I352" i="3"/>
  <c r="H352" i="3"/>
  <c r="G352" i="3"/>
  <c r="I351" i="3"/>
  <c r="H351" i="3"/>
  <c r="G351" i="3"/>
  <c r="I350" i="3"/>
  <c r="H350" i="3"/>
  <c r="G350" i="3"/>
  <c r="I349" i="3"/>
  <c r="H349" i="3"/>
  <c r="G349" i="3"/>
  <c r="I348" i="3"/>
  <c r="H348" i="3"/>
  <c r="G348" i="3"/>
  <c r="I347" i="3"/>
  <c r="H347" i="3"/>
  <c r="G347" i="3"/>
  <c r="I346" i="3"/>
  <c r="H346" i="3"/>
  <c r="G346" i="3"/>
  <c r="I345" i="3"/>
  <c r="H345" i="3"/>
  <c r="G345" i="3"/>
  <c r="I344" i="3"/>
  <c r="H344" i="3"/>
  <c r="G344" i="3"/>
  <c r="I343" i="3"/>
  <c r="H343" i="3"/>
  <c r="G343" i="3"/>
  <c r="I342" i="3"/>
  <c r="H342" i="3"/>
  <c r="G342" i="3"/>
  <c r="I341" i="3"/>
  <c r="H341" i="3"/>
  <c r="G341" i="3"/>
  <c r="I340" i="3"/>
  <c r="H340" i="3"/>
  <c r="G340" i="3"/>
  <c r="I339" i="3"/>
  <c r="H339" i="3"/>
  <c r="G339" i="3"/>
  <c r="I338" i="3"/>
  <c r="H338" i="3"/>
  <c r="G338" i="3"/>
  <c r="I337" i="3"/>
  <c r="H337" i="3"/>
  <c r="G337" i="3"/>
  <c r="I336" i="3"/>
  <c r="H336" i="3"/>
  <c r="G336" i="3"/>
  <c r="I335" i="3"/>
  <c r="H335" i="3"/>
  <c r="G335" i="3"/>
  <c r="I334" i="3"/>
  <c r="H334" i="3"/>
  <c r="G334" i="3"/>
  <c r="I333" i="3"/>
  <c r="H333" i="3"/>
  <c r="G333" i="3"/>
  <c r="I332" i="3"/>
  <c r="H332" i="3"/>
  <c r="G332" i="3"/>
  <c r="I331" i="3"/>
  <c r="H331" i="3"/>
  <c r="G331" i="3"/>
  <c r="I330" i="3"/>
  <c r="H330" i="3"/>
  <c r="G330" i="3"/>
  <c r="I329" i="3"/>
  <c r="H329" i="3"/>
  <c r="G329" i="3"/>
  <c r="I328" i="3"/>
  <c r="H328" i="3"/>
  <c r="G328" i="3"/>
  <c r="I327" i="3"/>
  <c r="H327" i="3"/>
  <c r="G327" i="3"/>
  <c r="I326" i="3"/>
  <c r="H326" i="3"/>
  <c r="G326" i="3"/>
  <c r="I325" i="3"/>
  <c r="H325" i="3"/>
  <c r="G325" i="3"/>
  <c r="I324" i="3"/>
  <c r="H324" i="3"/>
  <c r="G324" i="3"/>
  <c r="I323" i="3"/>
  <c r="H323" i="3"/>
  <c r="G323" i="3"/>
  <c r="I322" i="3"/>
  <c r="H322" i="3"/>
  <c r="G322" i="3"/>
  <c r="I321" i="3"/>
  <c r="H321" i="3"/>
  <c r="G321" i="3"/>
  <c r="I320" i="3"/>
  <c r="H320" i="3"/>
  <c r="G320" i="3"/>
  <c r="I319" i="3"/>
  <c r="H319" i="3"/>
  <c r="G319" i="3"/>
  <c r="I318" i="3"/>
  <c r="H318" i="3"/>
  <c r="G318" i="3"/>
  <c r="I317" i="3"/>
  <c r="H317" i="3"/>
  <c r="G317" i="3"/>
  <c r="I316" i="3"/>
  <c r="H316" i="3"/>
  <c r="G316" i="3"/>
  <c r="I315" i="3"/>
  <c r="H315" i="3"/>
  <c r="G315" i="3"/>
  <c r="I314" i="3"/>
  <c r="H314" i="3"/>
  <c r="G314" i="3"/>
  <c r="I313" i="3"/>
  <c r="H313" i="3"/>
  <c r="G313" i="3"/>
  <c r="I312" i="3"/>
  <c r="H312" i="3"/>
  <c r="G312" i="3"/>
  <c r="I311" i="3"/>
  <c r="H311" i="3"/>
  <c r="G311" i="3"/>
  <c r="I310" i="3"/>
  <c r="H310" i="3"/>
  <c r="G310" i="3"/>
  <c r="I309" i="3"/>
  <c r="H309" i="3"/>
  <c r="G309" i="3"/>
  <c r="I308" i="3"/>
  <c r="H308" i="3"/>
  <c r="G308" i="3"/>
  <c r="I307" i="3"/>
  <c r="H307" i="3"/>
  <c r="G307" i="3"/>
  <c r="I306" i="3"/>
  <c r="H306" i="3"/>
  <c r="G306" i="3"/>
  <c r="I305" i="3"/>
  <c r="H305" i="3"/>
  <c r="G305" i="3"/>
  <c r="I304" i="3"/>
  <c r="H304" i="3"/>
  <c r="G304" i="3"/>
  <c r="I303" i="3"/>
  <c r="H303" i="3"/>
  <c r="G303" i="3"/>
  <c r="I302" i="3"/>
  <c r="H302" i="3"/>
  <c r="G302" i="3"/>
  <c r="I301" i="3"/>
  <c r="H301" i="3"/>
  <c r="G301" i="3"/>
  <c r="I300" i="3"/>
  <c r="H300" i="3"/>
  <c r="G300" i="3"/>
  <c r="I299" i="3"/>
  <c r="H299" i="3"/>
  <c r="G299" i="3"/>
  <c r="I298" i="3"/>
  <c r="H298" i="3"/>
  <c r="G298" i="3"/>
  <c r="I297" i="3"/>
  <c r="H297" i="3"/>
  <c r="G297" i="3"/>
  <c r="I296" i="3"/>
  <c r="H296" i="3"/>
  <c r="G296" i="3"/>
  <c r="I295" i="3"/>
  <c r="H295" i="3"/>
  <c r="G295" i="3"/>
  <c r="I294" i="3"/>
  <c r="H294" i="3"/>
  <c r="G294" i="3"/>
  <c r="I293" i="3"/>
  <c r="H293" i="3"/>
  <c r="G293" i="3"/>
  <c r="I292" i="3"/>
  <c r="H292" i="3"/>
  <c r="G292" i="3"/>
  <c r="I291" i="3"/>
  <c r="H291" i="3"/>
  <c r="G291" i="3"/>
  <c r="I290" i="3"/>
  <c r="H290" i="3"/>
  <c r="G290" i="3"/>
  <c r="I289" i="3"/>
  <c r="H289" i="3"/>
  <c r="G289" i="3"/>
  <c r="I288" i="3"/>
  <c r="H288" i="3"/>
  <c r="G288" i="3"/>
  <c r="I287" i="3"/>
  <c r="H287" i="3"/>
  <c r="G287" i="3"/>
  <c r="I286" i="3"/>
  <c r="H286" i="3"/>
  <c r="G286" i="3"/>
  <c r="I285" i="3"/>
  <c r="H285" i="3"/>
  <c r="G285" i="3"/>
  <c r="I284" i="3"/>
  <c r="H284" i="3"/>
  <c r="G284" i="3"/>
  <c r="I283" i="3"/>
  <c r="H283" i="3"/>
  <c r="G283" i="3"/>
  <c r="I282" i="3"/>
  <c r="H282" i="3"/>
  <c r="G282" i="3"/>
  <c r="I281" i="3"/>
  <c r="H281" i="3"/>
  <c r="G281" i="3"/>
  <c r="I280" i="3"/>
  <c r="H280" i="3"/>
  <c r="G280" i="3"/>
  <c r="I279" i="3"/>
  <c r="H279" i="3"/>
  <c r="G279" i="3"/>
  <c r="I278" i="3"/>
  <c r="H278" i="3"/>
  <c r="G278" i="3"/>
  <c r="I277" i="3"/>
  <c r="H277" i="3"/>
  <c r="G277" i="3"/>
  <c r="I276" i="3"/>
  <c r="H276" i="3"/>
  <c r="G276" i="3"/>
  <c r="I275" i="3"/>
  <c r="H275" i="3"/>
  <c r="G275" i="3"/>
  <c r="I274" i="3"/>
  <c r="H274" i="3"/>
  <c r="G274" i="3"/>
  <c r="I273" i="3"/>
  <c r="H273" i="3"/>
  <c r="G273" i="3"/>
  <c r="I272" i="3"/>
  <c r="H272" i="3"/>
  <c r="G272" i="3"/>
  <c r="I271" i="3"/>
  <c r="H271" i="3"/>
  <c r="G271" i="3"/>
  <c r="I270" i="3"/>
  <c r="H270" i="3"/>
  <c r="G270" i="3"/>
  <c r="I269" i="3"/>
  <c r="H269" i="3"/>
  <c r="G269" i="3"/>
  <c r="I268" i="3"/>
  <c r="H268" i="3"/>
  <c r="G268" i="3"/>
  <c r="I267" i="3"/>
  <c r="H267" i="3"/>
  <c r="G267" i="3"/>
  <c r="I266" i="3"/>
  <c r="H266" i="3"/>
  <c r="G266" i="3"/>
  <c r="I265" i="3"/>
  <c r="H265" i="3"/>
  <c r="G265" i="3"/>
  <c r="I264" i="3"/>
  <c r="H264" i="3"/>
  <c r="G264" i="3"/>
  <c r="I263" i="3"/>
  <c r="H263" i="3"/>
  <c r="G263" i="3"/>
  <c r="I262" i="3"/>
  <c r="H262" i="3"/>
  <c r="G262" i="3"/>
  <c r="I261" i="3"/>
  <c r="H261" i="3"/>
  <c r="G261" i="3"/>
  <c r="I260" i="3"/>
  <c r="H260" i="3"/>
  <c r="G260" i="3"/>
  <c r="I259" i="3"/>
  <c r="H259" i="3"/>
  <c r="G259" i="3"/>
  <c r="I258" i="3"/>
  <c r="H258" i="3"/>
  <c r="G258" i="3"/>
  <c r="I257" i="3"/>
  <c r="H257" i="3"/>
  <c r="G257" i="3"/>
  <c r="I256" i="3"/>
  <c r="H256" i="3"/>
  <c r="G256" i="3"/>
  <c r="I255" i="3"/>
  <c r="H255" i="3"/>
  <c r="G255" i="3"/>
  <c r="I254" i="3"/>
  <c r="H254" i="3"/>
  <c r="G254" i="3"/>
  <c r="I253" i="3"/>
  <c r="H253" i="3"/>
  <c r="G253" i="3"/>
  <c r="I252" i="3"/>
  <c r="H252" i="3"/>
  <c r="G252" i="3"/>
  <c r="I251" i="3"/>
  <c r="H251" i="3"/>
  <c r="G251" i="3"/>
  <c r="I250" i="3"/>
  <c r="H250" i="3"/>
  <c r="G250" i="3"/>
  <c r="I249" i="3"/>
  <c r="H249" i="3"/>
  <c r="G249" i="3"/>
  <c r="I248" i="3"/>
  <c r="H248" i="3"/>
  <c r="G248" i="3"/>
  <c r="I247" i="3"/>
  <c r="H247" i="3"/>
  <c r="G247" i="3"/>
  <c r="I246" i="3"/>
  <c r="H246" i="3"/>
  <c r="G246" i="3"/>
  <c r="I245" i="3"/>
  <c r="H245" i="3"/>
  <c r="G245" i="3"/>
  <c r="I244" i="3"/>
  <c r="H244" i="3"/>
  <c r="G244" i="3"/>
  <c r="I243" i="3"/>
  <c r="H243" i="3"/>
  <c r="G243" i="3"/>
  <c r="I242" i="3"/>
  <c r="H242" i="3"/>
  <c r="G242" i="3"/>
  <c r="I241" i="3"/>
  <c r="H241" i="3"/>
  <c r="G241" i="3"/>
  <c r="I240" i="3"/>
  <c r="H240" i="3"/>
  <c r="G240" i="3"/>
  <c r="I239" i="3"/>
  <c r="H239" i="3"/>
  <c r="G239" i="3"/>
  <c r="I238" i="3"/>
  <c r="H238" i="3"/>
  <c r="G238" i="3"/>
  <c r="I237" i="3"/>
  <c r="H237" i="3"/>
  <c r="G237" i="3"/>
  <c r="I236" i="3"/>
  <c r="H236" i="3"/>
  <c r="G236" i="3"/>
  <c r="I235" i="3"/>
  <c r="H235" i="3"/>
  <c r="G235" i="3"/>
  <c r="I234" i="3"/>
  <c r="H234" i="3"/>
  <c r="G234" i="3"/>
  <c r="I233" i="3"/>
  <c r="H233" i="3"/>
  <c r="G233" i="3"/>
  <c r="I232" i="3"/>
  <c r="H232" i="3"/>
  <c r="G232" i="3"/>
  <c r="I231" i="3"/>
  <c r="H231" i="3"/>
  <c r="G231" i="3"/>
  <c r="I230" i="3"/>
  <c r="H230" i="3"/>
  <c r="G230" i="3"/>
  <c r="I229" i="3"/>
  <c r="H229" i="3"/>
  <c r="G229" i="3"/>
  <c r="I228" i="3"/>
  <c r="H228" i="3"/>
  <c r="G228" i="3"/>
  <c r="I227" i="3"/>
  <c r="H227" i="3"/>
  <c r="G227" i="3"/>
  <c r="I226" i="3"/>
  <c r="H226" i="3"/>
  <c r="G226" i="3"/>
  <c r="I225" i="3"/>
  <c r="H225" i="3"/>
  <c r="G225" i="3"/>
  <c r="I224" i="3"/>
  <c r="H224" i="3"/>
  <c r="G224" i="3"/>
  <c r="I223" i="3"/>
  <c r="H223" i="3"/>
  <c r="G223" i="3"/>
  <c r="I222" i="3"/>
  <c r="H222" i="3"/>
  <c r="G222" i="3"/>
  <c r="I221" i="3"/>
  <c r="H221" i="3"/>
  <c r="G221" i="3"/>
  <c r="I220" i="3"/>
  <c r="H220" i="3"/>
  <c r="G220" i="3"/>
  <c r="I219" i="3"/>
  <c r="H219" i="3"/>
  <c r="G219" i="3"/>
  <c r="I218" i="3"/>
  <c r="H218" i="3"/>
  <c r="G218" i="3"/>
  <c r="I217" i="3"/>
  <c r="H217" i="3"/>
  <c r="G217" i="3"/>
  <c r="I216" i="3"/>
  <c r="H216" i="3"/>
  <c r="G216" i="3"/>
  <c r="I215" i="3"/>
  <c r="H215" i="3"/>
  <c r="G215" i="3"/>
  <c r="I214" i="3"/>
  <c r="H214" i="3"/>
  <c r="G214" i="3"/>
  <c r="I213" i="3"/>
  <c r="H213" i="3"/>
  <c r="G213" i="3"/>
  <c r="I212" i="3"/>
  <c r="H212" i="3"/>
  <c r="G212" i="3"/>
  <c r="I211" i="3"/>
  <c r="H211" i="3"/>
  <c r="G211" i="3"/>
  <c r="I210" i="3"/>
  <c r="H210" i="3"/>
  <c r="G210" i="3"/>
  <c r="I209" i="3"/>
  <c r="H209" i="3"/>
  <c r="G209" i="3"/>
  <c r="I208" i="3"/>
  <c r="H208" i="3"/>
  <c r="G208" i="3"/>
  <c r="I207" i="3"/>
  <c r="H207" i="3"/>
  <c r="G207" i="3"/>
  <c r="I206" i="3"/>
  <c r="H206" i="3"/>
  <c r="G206" i="3"/>
  <c r="I205" i="3"/>
  <c r="H205" i="3"/>
  <c r="G205" i="3"/>
  <c r="I204" i="3"/>
  <c r="H204" i="3"/>
  <c r="G204" i="3"/>
  <c r="I203" i="3"/>
  <c r="H203" i="3"/>
  <c r="G203" i="3"/>
  <c r="I202" i="3"/>
  <c r="H202" i="3"/>
  <c r="G202" i="3"/>
  <c r="I201" i="3"/>
  <c r="H201" i="3"/>
  <c r="G201" i="3"/>
  <c r="I200" i="3"/>
  <c r="H200" i="3"/>
  <c r="G200" i="3"/>
  <c r="I199" i="3"/>
  <c r="H199" i="3"/>
  <c r="G199" i="3"/>
  <c r="I198" i="3"/>
  <c r="H198" i="3"/>
  <c r="G198" i="3"/>
  <c r="I197" i="3"/>
  <c r="H197" i="3"/>
  <c r="G197" i="3"/>
  <c r="I196" i="3"/>
  <c r="H196" i="3"/>
  <c r="G196" i="3"/>
  <c r="I195" i="3"/>
  <c r="H195" i="3"/>
  <c r="G195" i="3"/>
  <c r="I194" i="3"/>
  <c r="H194" i="3"/>
  <c r="G194" i="3"/>
  <c r="I193" i="3"/>
  <c r="H193" i="3"/>
  <c r="G193" i="3"/>
  <c r="I192" i="3"/>
  <c r="H192" i="3"/>
  <c r="G192" i="3"/>
  <c r="I191" i="3"/>
  <c r="H191" i="3"/>
  <c r="G191" i="3"/>
  <c r="I190" i="3"/>
  <c r="H190" i="3"/>
  <c r="G190" i="3"/>
  <c r="I189" i="3"/>
  <c r="H189" i="3"/>
  <c r="G189" i="3"/>
  <c r="I188" i="3"/>
  <c r="H188" i="3"/>
  <c r="G188" i="3"/>
  <c r="I187" i="3"/>
  <c r="H187" i="3"/>
  <c r="G187" i="3"/>
  <c r="I186" i="3"/>
  <c r="H186" i="3"/>
  <c r="G186" i="3"/>
  <c r="I185" i="3"/>
  <c r="H185" i="3"/>
  <c r="G185" i="3"/>
  <c r="I184" i="3"/>
  <c r="H184" i="3"/>
  <c r="G184" i="3"/>
  <c r="I183" i="3"/>
  <c r="H183" i="3"/>
  <c r="G183" i="3"/>
  <c r="I182" i="3"/>
  <c r="H182" i="3"/>
  <c r="G182" i="3"/>
  <c r="I181" i="3"/>
  <c r="H181" i="3"/>
  <c r="G181" i="3"/>
  <c r="I180" i="3"/>
  <c r="H180" i="3"/>
  <c r="G180" i="3"/>
  <c r="I179" i="3"/>
  <c r="H179" i="3"/>
  <c r="G179" i="3"/>
  <c r="I178" i="3"/>
  <c r="H178" i="3"/>
  <c r="G178" i="3"/>
  <c r="I177" i="3"/>
  <c r="H177" i="3"/>
  <c r="G177" i="3"/>
  <c r="I176" i="3"/>
  <c r="H176" i="3"/>
  <c r="G176" i="3"/>
  <c r="I175" i="3"/>
  <c r="H175" i="3"/>
  <c r="G175" i="3"/>
  <c r="I174" i="3"/>
  <c r="H174" i="3"/>
  <c r="G174" i="3"/>
  <c r="I173" i="3"/>
  <c r="H173" i="3"/>
  <c r="G173" i="3"/>
  <c r="I172" i="3"/>
  <c r="H172" i="3"/>
  <c r="G172" i="3"/>
  <c r="I171" i="3"/>
  <c r="H171" i="3"/>
  <c r="G171" i="3"/>
  <c r="I170" i="3"/>
  <c r="H170" i="3"/>
  <c r="G170" i="3"/>
  <c r="I169" i="3"/>
  <c r="H169" i="3"/>
  <c r="G169" i="3"/>
  <c r="I168" i="3"/>
  <c r="H168" i="3"/>
  <c r="G168" i="3"/>
  <c r="I167" i="3"/>
  <c r="H167" i="3"/>
  <c r="G167" i="3"/>
  <c r="I166" i="3"/>
  <c r="H166" i="3"/>
  <c r="G166" i="3"/>
  <c r="I165" i="3"/>
  <c r="H165" i="3"/>
  <c r="G165" i="3"/>
  <c r="I164" i="3"/>
  <c r="H164" i="3"/>
  <c r="G164" i="3"/>
  <c r="I163" i="3"/>
  <c r="H163" i="3"/>
  <c r="G163" i="3"/>
  <c r="I162" i="3"/>
  <c r="H162" i="3"/>
  <c r="G162" i="3"/>
  <c r="I161" i="3"/>
  <c r="H161" i="3"/>
  <c r="G161" i="3"/>
  <c r="I160" i="3"/>
  <c r="H160" i="3"/>
  <c r="G160" i="3"/>
  <c r="I159" i="3"/>
  <c r="H159" i="3"/>
  <c r="G159" i="3"/>
  <c r="I158" i="3"/>
  <c r="H158" i="3"/>
  <c r="G158" i="3"/>
  <c r="I157" i="3"/>
  <c r="H157" i="3"/>
  <c r="G157" i="3"/>
  <c r="I156" i="3"/>
  <c r="H156" i="3"/>
  <c r="G156" i="3"/>
  <c r="I155" i="3"/>
  <c r="H155" i="3"/>
  <c r="G155" i="3"/>
  <c r="I154" i="3"/>
  <c r="H154" i="3"/>
  <c r="G154" i="3"/>
  <c r="I153" i="3"/>
  <c r="H153" i="3"/>
  <c r="G153" i="3"/>
  <c r="I152" i="3"/>
  <c r="H152" i="3"/>
  <c r="G152" i="3"/>
  <c r="I151" i="3"/>
  <c r="H151" i="3"/>
  <c r="G151" i="3"/>
  <c r="I150" i="3"/>
  <c r="H150" i="3"/>
  <c r="G150" i="3"/>
  <c r="I149" i="3"/>
  <c r="H149" i="3"/>
  <c r="G149" i="3"/>
  <c r="I148" i="3"/>
  <c r="H148" i="3"/>
  <c r="G148" i="3"/>
  <c r="I147" i="3"/>
  <c r="H147" i="3"/>
  <c r="G147" i="3"/>
  <c r="I146" i="3"/>
  <c r="H146" i="3"/>
  <c r="G146" i="3"/>
  <c r="I145" i="3"/>
  <c r="H145" i="3"/>
  <c r="G145" i="3"/>
  <c r="I144" i="3"/>
  <c r="H144" i="3"/>
  <c r="G144" i="3"/>
  <c r="I143" i="3"/>
  <c r="H143" i="3"/>
  <c r="G143" i="3"/>
  <c r="I142" i="3"/>
  <c r="H142" i="3"/>
  <c r="G142" i="3"/>
  <c r="I141" i="3"/>
  <c r="H141" i="3"/>
  <c r="G141" i="3"/>
  <c r="I140" i="3"/>
  <c r="H140" i="3"/>
  <c r="G140" i="3"/>
  <c r="I139" i="3"/>
  <c r="H139" i="3"/>
  <c r="G139" i="3"/>
  <c r="I138" i="3"/>
  <c r="H138" i="3"/>
  <c r="G138" i="3"/>
  <c r="I137" i="3"/>
  <c r="H137" i="3"/>
  <c r="G137" i="3"/>
  <c r="I136" i="3"/>
  <c r="H136" i="3"/>
  <c r="G136" i="3"/>
  <c r="I135" i="3"/>
  <c r="H135" i="3"/>
  <c r="G135" i="3"/>
  <c r="I134" i="3"/>
  <c r="H134" i="3"/>
  <c r="G134" i="3"/>
  <c r="I133" i="3"/>
  <c r="H133" i="3"/>
  <c r="G133" i="3"/>
  <c r="I132" i="3"/>
  <c r="H132" i="3"/>
  <c r="G132" i="3"/>
  <c r="I131" i="3"/>
  <c r="H131" i="3"/>
  <c r="G131" i="3"/>
  <c r="I130" i="3"/>
  <c r="H130" i="3"/>
  <c r="G130" i="3"/>
  <c r="I129" i="3"/>
  <c r="H129" i="3"/>
  <c r="G129" i="3"/>
  <c r="I128" i="3"/>
  <c r="H128" i="3"/>
  <c r="G128" i="3"/>
  <c r="I127" i="3"/>
  <c r="H127" i="3"/>
  <c r="G127" i="3"/>
  <c r="I126" i="3"/>
  <c r="H126" i="3"/>
  <c r="G126" i="3"/>
  <c r="I125" i="3"/>
  <c r="H125" i="3"/>
  <c r="G125" i="3"/>
  <c r="I124" i="3"/>
  <c r="H124" i="3"/>
  <c r="G124" i="3"/>
  <c r="I123" i="3"/>
  <c r="H123" i="3"/>
  <c r="G123" i="3"/>
  <c r="I122" i="3"/>
  <c r="H122" i="3"/>
  <c r="G122" i="3"/>
  <c r="I121" i="3"/>
  <c r="H121" i="3"/>
  <c r="G121" i="3"/>
  <c r="I120" i="3"/>
  <c r="H120" i="3"/>
  <c r="G120" i="3"/>
  <c r="I119" i="3"/>
  <c r="H119" i="3"/>
  <c r="G119" i="3"/>
  <c r="I118" i="3"/>
  <c r="H118" i="3"/>
  <c r="G118" i="3"/>
  <c r="I117" i="3"/>
  <c r="H117" i="3"/>
  <c r="G117" i="3"/>
  <c r="I116" i="3"/>
  <c r="H116" i="3"/>
  <c r="G116" i="3"/>
  <c r="I115" i="3"/>
  <c r="H115" i="3"/>
  <c r="G115" i="3"/>
  <c r="I114" i="3"/>
  <c r="H114" i="3"/>
  <c r="G114" i="3"/>
  <c r="I113" i="3"/>
  <c r="H113" i="3"/>
  <c r="G113" i="3"/>
  <c r="I112" i="3"/>
  <c r="H112" i="3"/>
  <c r="G112" i="3"/>
  <c r="I111" i="3"/>
  <c r="H111" i="3"/>
  <c r="G111" i="3"/>
  <c r="I110" i="3"/>
  <c r="H110" i="3"/>
  <c r="G110" i="3"/>
  <c r="I109" i="3"/>
  <c r="H109" i="3"/>
  <c r="G109" i="3"/>
  <c r="I108" i="3"/>
  <c r="H108" i="3"/>
  <c r="G108" i="3"/>
  <c r="I107" i="3"/>
  <c r="H107" i="3"/>
  <c r="G107" i="3"/>
  <c r="I106" i="3"/>
  <c r="H106" i="3"/>
  <c r="G106" i="3"/>
  <c r="I105" i="3"/>
  <c r="H105" i="3"/>
  <c r="G105" i="3"/>
  <c r="I104" i="3"/>
  <c r="H104" i="3"/>
  <c r="G104" i="3"/>
  <c r="I103" i="3"/>
  <c r="H103" i="3"/>
  <c r="G103" i="3"/>
  <c r="I102" i="3"/>
  <c r="H102" i="3"/>
  <c r="G102" i="3"/>
  <c r="I101" i="3"/>
  <c r="H101" i="3"/>
  <c r="G101" i="3"/>
  <c r="I100" i="3"/>
  <c r="H100" i="3"/>
  <c r="G100" i="3"/>
  <c r="I99" i="3"/>
  <c r="H99" i="3"/>
  <c r="G99" i="3"/>
  <c r="I98" i="3"/>
  <c r="H98" i="3"/>
  <c r="G98" i="3"/>
  <c r="I97" i="3"/>
  <c r="H97" i="3"/>
  <c r="G97" i="3"/>
  <c r="I96" i="3"/>
  <c r="H96" i="3"/>
  <c r="G96" i="3"/>
  <c r="I95" i="3"/>
  <c r="H95" i="3"/>
  <c r="G95" i="3"/>
  <c r="I94" i="3"/>
  <c r="H94" i="3"/>
  <c r="G94" i="3"/>
  <c r="I93" i="3"/>
  <c r="H93" i="3"/>
  <c r="G93" i="3"/>
  <c r="I92" i="3"/>
  <c r="H92" i="3"/>
  <c r="G92" i="3"/>
  <c r="I91" i="3"/>
  <c r="H91" i="3"/>
  <c r="G91" i="3"/>
  <c r="I90" i="3"/>
  <c r="H90" i="3"/>
  <c r="G90" i="3"/>
  <c r="I89" i="3"/>
  <c r="H89" i="3"/>
  <c r="G89" i="3"/>
  <c r="I88" i="3"/>
  <c r="H88" i="3"/>
  <c r="G88" i="3"/>
  <c r="I87" i="3"/>
  <c r="H87" i="3"/>
  <c r="G87" i="3"/>
  <c r="I86" i="3"/>
  <c r="H86" i="3"/>
  <c r="G86" i="3"/>
  <c r="I85" i="3"/>
  <c r="H85" i="3"/>
  <c r="G85" i="3"/>
  <c r="I84" i="3"/>
  <c r="H84" i="3"/>
  <c r="G84" i="3"/>
  <c r="I83" i="3"/>
  <c r="H83" i="3"/>
  <c r="G83" i="3"/>
  <c r="I82" i="3"/>
  <c r="H82" i="3"/>
  <c r="G82" i="3"/>
  <c r="I81" i="3"/>
  <c r="H81" i="3"/>
  <c r="G81" i="3"/>
  <c r="I80" i="3"/>
  <c r="H80" i="3"/>
  <c r="G80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9" i="3"/>
  <c r="H69" i="3"/>
  <c r="G69" i="3"/>
  <c r="I68" i="3"/>
  <c r="H68" i="3"/>
  <c r="G68" i="3"/>
  <c r="I67" i="3"/>
  <c r="H67" i="3"/>
  <c r="G67" i="3"/>
  <c r="I66" i="3"/>
  <c r="H66" i="3"/>
  <c r="G66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9" i="3"/>
  <c r="H59" i="3"/>
  <c r="G59" i="3"/>
  <c r="I58" i="3"/>
  <c r="H58" i="3"/>
  <c r="G58" i="3"/>
  <c r="I57" i="3"/>
  <c r="H57" i="3"/>
  <c r="G57" i="3"/>
  <c r="I56" i="3"/>
  <c r="H56" i="3"/>
  <c r="G56" i="3"/>
  <c r="I55" i="3"/>
  <c r="H55" i="3"/>
  <c r="G55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8" i="3"/>
  <c r="H48" i="3"/>
  <c r="G48" i="3"/>
  <c r="I47" i="3"/>
  <c r="H47" i="3"/>
  <c r="G47" i="3"/>
  <c r="I46" i="3"/>
  <c r="H46" i="3"/>
  <c r="G46" i="3"/>
  <c r="I45" i="3"/>
  <c r="H45" i="3"/>
  <c r="G45" i="3"/>
  <c r="I44" i="3"/>
  <c r="H44" i="3"/>
  <c r="G44" i="3"/>
  <c r="I43" i="3"/>
  <c r="H43" i="3"/>
  <c r="G43" i="3"/>
  <c r="I42" i="3"/>
  <c r="H42" i="3"/>
  <c r="G42" i="3"/>
  <c r="I41" i="3"/>
  <c r="H41" i="3"/>
  <c r="G41" i="3"/>
  <c r="I40" i="3"/>
  <c r="H40" i="3"/>
  <c r="G40" i="3"/>
  <c r="I39" i="3"/>
  <c r="H39" i="3"/>
  <c r="G39" i="3"/>
  <c r="I38" i="3"/>
  <c r="H38" i="3"/>
  <c r="G38" i="3"/>
  <c r="I37" i="3"/>
  <c r="H37" i="3"/>
  <c r="G37" i="3"/>
  <c r="I36" i="3"/>
  <c r="H36" i="3"/>
  <c r="G36" i="3"/>
  <c r="I35" i="3"/>
  <c r="H35" i="3"/>
  <c r="G35" i="3"/>
  <c r="I34" i="3"/>
  <c r="H34" i="3"/>
  <c r="G34" i="3"/>
  <c r="I33" i="3"/>
  <c r="H33" i="3"/>
  <c r="G33" i="3"/>
  <c r="I32" i="3"/>
  <c r="H32" i="3"/>
  <c r="G32" i="3"/>
  <c r="I31" i="3"/>
  <c r="H31" i="3"/>
  <c r="G31" i="3"/>
  <c r="I30" i="3"/>
  <c r="H30" i="3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G25" i="3"/>
  <c r="I24" i="3"/>
  <c r="H24" i="3"/>
  <c r="G24" i="3"/>
  <c r="I23" i="3"/>
  <c r="H23" i="3"/>
  <c r="G23" i="3"/>
  <c r="I22" i="3"/>
  <c r="H22" i="3"/>
  <c r="G22" i="3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I13" i="3"/>
  <c r="H13" i="3"/>
  <c r="G13" i="3"/>
  <c r="I12" i="3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I7" i="3"/>
  <c r="H7" i="3"/>
  <c r="G7" i="3"/>
  <c r="I6" i="3"/>
  <c r="H6" i="3"/>
  <c r="G6" i="3"/>
  <c r="I5" i="3"/>
  <c r="H5" i="3"/>
  <c r="G5" i="3"/>
  <c r="I4" i="3"/>
  <c r="H4" i="3"/>
  <c r="G4" i="3"/>
  <c r="I3" i="3"/>
  <c r="H3" i="3"/>
  <c r="G3" i="3"/>
  <c r="I2" i="3"/>
  <c r="H2" i="3"/>
  <c r="G2" i="3"/>
  <c r="N299" i="2"/>
  <c r="L299" i="2"/>
  <c r="K299" i="2"/>
  <c r="J299" i="2"/>
  <c r="I299" i="2"/>
  <c r="N298" i="2"/>
  <c r="L298" i="2"/>
  <c r="K298" i="2"/>
  <c r="J298" i="2"/>
  <c r="I298" i="2"/>
  <c r="N297" i="2"/>
  <c r="L297" i="2"/>
  <c r="K297" i="2"/>
  <c r="J297" i="2"/>
  <c r="I297" i="2"/>
  <c r="N296" i="2"/>
  <c r="L296" i="2"/>
  <c r="K296" i="2"/>
  <c r="J296" i="2"/>
  <c r="I296" i="2"/>
  <c r="N295" i="2"/>
  <c r="L295" i="2"/>
  <c r="K295" i="2"/>
  <c r="J295" i="2"/>
  <c r="I295" i="2"/>
  <c r="N294" i="2"/>
  <c r="L294" i="2"/>
  <c r="K294" i="2"/>
  <c r="J294" i="2"/>
  <c r="I294" i="2"/>
  <c r="N293" i="2"/>
  <c r="L293" i="2"/>
  <c r="K293" i="2"/>
  <c r="J293" i="2"/>
  <c r="I293" i="2"/>
  <c r="N292" i="2"/>
  <c r="L292" i="2"/>
  <c r="K292" i="2"/>
  <c r="J292" i="2"/>
  <c r="I292" i="2"/>
  <c r="N291" i="2"/>
  <c r="L291" i="2"/>
  <c r="K291" i="2"/>
  <c r="J291" i="2"/>
  <c r="I291" i="2"/>
  <c r="N290" i="2"/>
  <c r="L290" i="2"/>
  <c r="K290" i="2"/>
  <c r="J290" i="2"/>
  <c r="I290" i="2"/>
  <c r="N289" i="2"/>
  <c r="L289" i="2"/>
  <c r="K289" i="2"/>
  <c r="J289" i="2"/>
  <c r="I289" i="2"/>
  <c r="N288" i="2"/>
  <c r="L288" i="2"/>
  <c r="K288" i="2"/>
  <c r="J288" i="2"/>
  <c r="I288" i="2"/>
  <c r="N287" i="2"/>
  <c r="L287" i="2"/>
  <c r="K287" i="2"/>
  <c r="J287" i="2"/>
  <c r="I287" i="2"/>
  <c r="N286" i="2"/>
  <c r="L286" i="2"/>
  <c r="K286" i="2"/>
  <c r="J286" i="2"/>
  <c r="I286" i="2"/>
  <c r="N285" i="2"/>
  <c r="L285" i="2"/>
  <c r="K285" i="2"/>
  <c r="J285" i="2"/>
  <c r="I285" i="2"/>
  <c r="N284" i="2"/>
  <c r="L284" i="2"/>
  <c r="K284" i="2"/>
  <c r="J284" i="2"/>
  <c r="I284" i="2"/>
  <c r="N283" i="2"/>
  <c r="L283" i="2"/>
  <c r="K283" i="2"/>
  <c r="J283" i="2"/>
  <c r="I283" i="2"/>
  <c r="N282" i="2"/>
  <c r="L282" i="2"/>
  <c r="K282" i="2"/>
  <c r="J282" i="2"/>
  <c r="I282" i="2"/>
  <c r="N281" i="2"/>
  <c r="L281" i="2"/>
  <c r="K281" i="2"/>
  <c r="J281" i="2"/>
  <c r="I281" i="2"/>
  <c r="N280" i="2"/>
  <c r="L280" i="2"/>
  <c r="K280" i="2"/>
  <c r="J280" i="2"/>
  <c r="I280" i="2"/>
  <c r="N279" i="2"/>
  <c r="L279" i="2"/>
  <c r="K279" i="2"/>
  <c r="J279" i="2"/>
  <c r="I279" i="2"/>
  <c r="N278" i="2"/>
  <c r="L278" i="2"/>
  <c r="K278" i="2"/>
  <c r="J278" i="2"/>
  <c r="I278" i="2"/>
  <c r="N277" i="2"/>
  <c r="L277" i="2"/>
  <c r="K277" i="2"/>
  <c r="J277" i="2"/>
  <c r="I277" i="2"/>
  <c r="N276" i="2"/>
  <c r="L276" i="2"/>
  <c r="K276" i="2"/>
  <c r="J276" i="2"/>
  <c r="I276" i="2"/>
  <c r="N275" i="2"/>
  <c r="L275" i="2"/>
  <c r="K275" i="2"/>
  <c r="J275" i="2"/>
  <c r="I275" i="2"/>
  <c r="N274" i="2"/>
  <c r="L274" i="2"/>
  <c r="K274" i="2"/>
  <c r="J274" i="2"/>
  <c r="I274" i="2"/>
  <c r="N273" i="2"/>
  <c r="L273" i="2"/>
  <c r="K273" i="2"/>
  <c r="J273" i="2"/>
  <c r="I273" i="2"/>
  <c r="N272" i="2"/>
  <c r="L272" i="2"/>
  <c r="K272" i="2"/>
  <c r="J272" i="2"/>
  <c r="I272" i="2"/>
  <c r="N271" i="2"/>
  <c r="L271" i="2"/>
  <c r="K271" i="2"/>
  <c r="J271" i="2"/>
  <c r="I271" i="2"/>
  <c r="N270" i="2"/>
  <c r="L270" i="2"/>
  <c r="K270" i="2"/>
  <c r="J270" i="2"/>
  <c r="I270" i="2"/>
  <c r="N269" i="2"/>
  <c r="L269" i="2"/>
  <c r="K269" i="2"/>
  <c r="J269" i="2"/>
  <c r="I269" i="2"/>
  <c r="N268" i="2"/>
  <c r="L268" i="2"/>
  <c r="K268" i="2"/>
  <c r="J268" i="2"/>
  <c r="I268" i="2"/>
  <c r="N267" i="2"/>
  <c r="L267" i="2"/>
  <c r="K267" i="2"/>
  <c r="J267" i="2"/>
  <c r="I267" i="2"/>
  <c r="N266" i="2"/>
  <c r="L266" i="2"/>
  <c r="K266" i="2"/>
  <c r="J266" i="2"/>
  <c r="I266" i="2"/>
  <c r="N265" i="2"/>
  <c r="L265" i="2"/>
  <c r="K265" i="2"/>
  <c r="J265" i="2"/>
  <c r="I265" i="2"/>
  <c r="N264" i="2"/>
  <c r="L264" i="2"/>
  <c r="K264" i="2"/>
  <c r="J264" i="2"/>
  <c r="I264" i="2"/>
  <c r="N263" i="2"/>
  <c r="L263" i="2"/>
  <c r="K263" i="2"/>
  <c r="J263" i="2"/>
  <c r="I263" i="2"/>
  <c r="N262" i="2"/>
  <c r="L262" i="2"/>
  <c r="K262" i="2"/>
  <c r="J262" i="2"/>
  <c r="I262" i="2"/>
  <c r="N261" i="2"/>
  <c r="L261" i="2"/>
  <c r="K261" i="2"/>
  <c r="J261" i="2"/>
  <c r="I261" i="2"/>
  <c r="N260" i="2"/>
  <c r="L260" i="2"/>
  <c r="K260" i="2"/>
  <c r="J260" i="2"/>
  <c r="I260" i="2"/>
  <c r="N259" i="2"/>
  <c r="L259" i="2"/>
  <c r="K259" i="2"/>
  <c r="J259" i="2"/>
  <c r="I259" i="2"/>
  <c r="N258" i="2"/>
  <c r="L258" i="2"/>
  <c r="K258" i="2"/>
  <c r="J258" i="2"/>
  <c r="I258" i="2"/>
  <c r="N257" i="2"/>
  <c r="L257" i="2"/>
  <c r="K257" i="2"/>
  <c r="J257" i="2"/>
  <c r="I257" i="2"/>
  <c r="N256" i="2"/>
  <c r="L256" i="2"/>
  <c r="K256" i="2"/>
  <c r="J256" i="2"/>
  <c r="I256" i="2"/>
  <c r="N255" i="2"/>
  <c r="L255" i="2"/>
  <c r="K255" i="2"/>
  <c r="J255" i="2"/>
  <c r="I255" i="2"/>
  <c r="N254" i="2"/>
  <c r="L254" i="2"/>
  <c r="K254" i="2"/>
  <c r="J254" i="2"/>
  <c r="I254" i="2"/>
  <c r="N253" i="2"/>
  <c r="L253" i="2"/>
  <c r="K253" i="2"/>
  <c r="J253" i="2"/>
  <c r="I253" i="2"/>
  <c r="N252" i="2"/>
  <c r="L252" i="2"/>
  <c r="K252" i="2"/>
  <c r="J252" i="2"/>
  <c r="I252" i="2"/>
  <c r="N251" i="2"/>
  <c r="L251" i="2"/>
  <c r="K251" i="2"/>
  <c r="J251" i="2"/>
  <c r="I251" i="2"/>
  <c r="N250" i="2"/>
  <c r="L250" i="2"/>
  <c r="K250" i="2"/>
  <c r="J250" i="2"/>
  <c r="I250" i="2"/>
  <c r="N249" i="2"/>
  <c r="L249" i="2"/>
  <c r="K249" i="2"/>
  <c r="J249" i="2"/>
  <c r="I249" i="2"/>
  <c r="N248" i="2"/>
  <c r="L248" i="2"/>
  <c r="K248" i="2"/>
  <c r="J248" i="2"/>
  <c r="I248" i="2"/>
  <c r="N247" i="2"/>
  <c r="L247" i="2"/>
  <c r="K247" i="2"/>
  <c r="J247" i="2"/>
  <c r="I247" i="2"/>
  <c r="N246" i="2"/>
  <c r="L246" i="2"/>
  <c r="K246" i="2"/>
  <c r="J246" i="2"/>
  <c r="I246" i="2"/>
  <c r="N245" i="2"/>
  <c r="L245" i="2"/>
  <c r="K245" i="2"/>
  <c r="J245" i="2"/>
  <c r="I245" i="2"/>
  <c r="N244" i="2"/>
  <c r="L244" i="2"/>
  <c r="K244" i="2"/>
  <c r="J244" i="2"/>
  <c r="I244" i="2"/>
  <c r="N243" i="2"/>
  <c r="L243" i="2"/>
  <c r="K243" i="2"/>
  <c r="J243" i="2"/>
  <c r="I243" i="2"/>
  <c r="N242" i="2"/>
  <c r="L242" i="2"/>
  <c r="K242" i="2"/>
  <c r="J242" i="2"/>
  <c r="I242" i="2"/>
  <c r="N241" i="2"/>
  <c r="L241" i="2"/>
  <c r="K241" i="2"/>
  <c r="J241" i="2"/>
  <c r="I241" i="2"/>
  <c r="N240" i="2"/>
  <c r="L240" i="2"/>
  <c r="K240" i="2"/>
  <c r="J240" i="2"/>
  <c r="I240" i="2"/>
  <c r="N239" i="2"/>
  <c r="L239" i="2"/>
  <c r="K239" i="2"/>
  <c r="J239" i="2"/>
  <c r="I239" i="2"/>
  <c r="N238" i="2"/>
  <c r="L238" i="2"/>
  <c r="K238" i="2"/>
  <c r="J238" i="2"/>
  <c r="I238" i="2"/>
  <c r="N237" i="2"/>
  <c r="L237" i="2"/>
  <c r="K237" i="2"/>
  <c r="J237" i="2"/>
  <c r="I237" i="2"/>
  <c r="N236" i="2"/>
  <c r="L236" i="2"/>
  <c r="K236" i="2"/>
  <c r="J236" i="2"/>
  <c r="I236" i="2"/>
  <c r="N235" i="2"/>
  <c r="L235" i="2"/>
  <c r="K235" i="2"/>
  <c r="J235" i="2"/>
  <c r="I235" i="2"/>
  <c r="N234" i="2"/>
  <c r="L234" i="2"/>
  <c r="K234" i="2"/>
  <c r="J234" i="2"/>
  <c r="I234" i="2"/>
  <c r="N233" i="2"/>
  <c r="L233" i="2"/>
  <c r="K233" i="2"/>
  <c r="J233" i="2"/>
  <c r="I233" i="2"/>
  <c r="N232" i="2"/>
  <c r="L232" i="2"/>
  <c r="K232" i="2"/>
  <c r="J232" i="2"/>
  <c r="I232" i="2"/>
  <c r="N231" i="2"/>
  <c r="L231" i="2"/>
  <c r="K231" i="2"/>
  <c r="J231" i="2"/>
  <c r="I231" i="2"/>
  <c r="N230" i="2"/>
  <c r="L230" i="2"/>
  <c r="K230" i="2"/>
  <c r="J230" i="2"/>
  <c r="I230" i="2"/>
  <c r="N229" i="2"/>
  <c r="L229" i="2"/>
  <c r="K229" i="2"/>
  <c r="J229" i="2"/>
  <c r="I229" i="2"/>
  <c r="N228" i="2"/>
  <c r="L228" i="2"/>
  <c r="K228" i="2"/>
  <c r="J228" i="2"/>
  <c r="I228" i="2"/>
  <c r="N227" i="2"/>
  <c r="L227" i="2"/>
  <c r="K227" i="2"/>
  <c r="J227" i="2"/>
  <c r="I227" i="2"/>
  <c r="N226" i="2"/>
  <c r="L226" i="2"/>
  <c r="K226" i="2"/>
  <c r="J226" i="2"/>
  <c r="I226" i="2"/>
  <c r="N225" i="2"/>
  <c r="L225" i="2"/>
  <c r="K225" i="2"/>
  <c r="J225" i="2"/>
  <c r="I225" i="2"/>
  <c r="N224" i="2"/>
  <c r="L224" i="2"/>
  <c r="K224" i="2"/>
  <c r="J224" i="2"/>
  <c r="I224" i="2"/>
  <c r="N223" i="2"/>
  <c r="L223" i="2"/>
  <c r="K223" i="2"/>
  <c r="J223" i="2"/>
  <c r="I223" i="2"/>
  <c r="N222" i="2"/>
  <c r="L222" i="2"/>
  <c r="K222" i="2"/>
  <c r="J222" i="2"/>
  <c r="I222" i="2"/>
  <c r="N221" i="2"/>
  <c r="L221" i="2"/>
  <c r="K221" i="2"/>
  <c r="J221" i="2"/>
  <c r="I221" i="2"/>
  <c r="N220" i="2"/>
  <c r="L220" i="2"/>
  <c r="K220" i="2"/>
  <c r="J220" i="2"/>
  <c r="I220" i="2"/>
  <c r="N219" i="2"/>
  <c r="L219" i="2"/>
  <c r="K219" i="2"/>
  <c r="J219" i="2"/>
  <c r="I219" i="2"/>
  <c r="N218" i="2"/>
  <c r="L218" i="2"/>
  <c r="K218" i="2"/>
  <c r="J218" i="2"/>
  <c r="I218" i="2"/>
  <c r="N217" i="2"/>
  <c r="L217" i="2"/>
  <c r="K217" i="2"/>
  <c r="J217" i="2"/>
  <c r="I217" i="2"/>
  <c r="N216" i="2"/>
  <c r="L216" i="2"/>
  <c r="K216" i="2"/>
  <c r="J216" i="2"/>
  <c r="I216" i="2"/>
  <c r="N215" i="2"/>
  <c r="L215" i="2"/>
  <c r="K215" i="2"/>
  <c r="J215" i="2"/>
  <c r="I215" i="2"/>
  <c r="N214" i="2"/>
  <c r="L214" i="2"/>
  <c r="K214" i="2"/>
  <c r="J214" i="2"/>
  <c r="I214" i="2"/>
  <c r="N213" i="2"/>
  <c r="L213" i="2"/>
  <c r="K213" i="2"/>
  <c r="J213" i="2"/>
  <c r="I213" i="2"/>
  <c r="N212" i="2"/>
  <c r="L212" i="2"/>
  <c r="K212" i="2"/>
  <c r="J212" i="2"/>
  <c r="I212" i="2"/>
  <c r="N211" i="2"/>
  <c r="L211" i="2"/>
  <c r="K211" i="2"/>
  <c r="J211" i="2"/>
  <c r="I211" i="2"/>
  <c r="N210" i="2"/>
  <c r="L210" i="2"/>
  <c r="K210" i="2"/>
  <c r="J210" i="2"/>
  <c r="I210" i="2"/>
  <c r="N209" i="2"/>
  <c r="L209" i="2"/>
  <c r="K209" i="2"/>
  <c r="J209" i="2"/>
  <c r="I209" i="2"/>
  <c r="N208" i="2"/>
  <c r="L208" i="2"/>
  <c r="K208" i="2"/>
  <c r="J208" i="2"/>
  <c r="I208" i="2"/>
  <c r="N207" i="2"/>
  <c r="L207" i="2"/>
  <c r="K207" i="2"/>
  <c r="J207" i="2"/>
  <c r="I207" i="2"/>
  <c r="N206" i="2"/>
  <c r="L206" i="2"/>
  <c r="K206" i="2"/>
  <c r="J206" i="2"/>
  <c r="I206" i="2"/>
  <c r="N205" i="2"/>
  <c r="L205" i="2"/>
  <c r="K205" i="2"/>
  <c r="J205" i="2"/>
  <c r="I205" i="2"/>
  <c r="N204" i="2"/>
  <c r="L204" i="2"/>
  <c r="K204" i="2"/>
  <c r="J204" i="2"/>
  <c r="I204" i="2"/>
  <c r="N203" i="2"/>
  <c r="L203" i="2"/>
  <c r="K203" i="2"/>
  <c r="J203" i="2"/>
  <c r="I203" i="2"/>
  <c r="N202" i="2"/>
  <c r="L202" i="2"/>
  <c r="K202" i="2"/>
  <c r="J202" i="2"/>
  <c r="I202" i="2"/>
  <c r="N201" i="2"/>
  <c r="L201" i="2"/>
  <c r="K201" i="2"/>
  <c r="J201" i="2"/>
  <c r="I201" i="2"/>
  <c r="N200" i="2"/>
  <c r="L200" i="2"/>
  <c r="K200" i="2"/>
  <c r="J200" i="2"/>
  <c r="I200" i="2"/>
  <c r="N199" i="2"/>
  <c r="L199" i="2"/>
  <c r="K199" i="2"/>
  <c r="J199" i="2"/>
  <c r="I199" i="2"/>
  <c r="N198" i="2"/>
  <c r="L198" i="2"/>
  <c r="K198" i="2"/>
  <c r="J198" i="2"/>
  <c r="I198" i="2"/>
  <c r="N197" i="2"/>
  <c r="L197" i="2"/>
  <c r="K197" i="2"/>
  <c r="J197" i="2"/>
  <c r="I197" i="2"/>
  <c r="N196" i="2"/>
  <c r="L196" i="2"/>
  <c r="K196" i="2"/>
  <c r="J196" i="2"/>
  <c r="I196" i="2"/>
  <c r="N195" i="2"/>
  <c r="L195" i="2"/>
  <c r="K195" i="2"/>
  <c r="J195" i="2"/>
  <c r="I195" i="2"/>
  <c r="N194" i="2"/>
  <c r="L194" i="2"/>
  <c r="K194" i="2"/>
  <c r="J194" i="2"/>
  <c r="I194" i="2"/>
  <c r="N193" i="2"/>
  <c r="L193" i="2"/>
  <c r="K193" i="2"/>
  <c r="J193" i="2"/>
  <c r="I193" i="2"/>
  <c r="N192" i="2"/>
  <c r="L192" i="2"/>
  <c r="K192" i="2"/>
  <c r="J192" i="2"/>
  <c r="I192" i="2"/>
  <c r="N191" i="2"/>
  <c r="L191" i="2"/>
  <c r="K191" i="2"/>
  <c r="J191" i="2"/>
  <c r="I191" i="2"/>
  <c r="N190" i="2"/>
  <c r="L190" i="2"/>
  <c r="K190" i="2"/>
  <c r="J190" i="2"/>
  <c r="I190" i="2"/>
  <c r="N189" i="2"/>
  <c r="L189" i="2"/>
  <c r="K189" i="2"/>
  <c r="J189" i="2"/>
  <c r="I189" i="2"/>
  <c r="N188" i="2"/>
  <c r="L188" i="2"/>
  <c r="K188" i="2"/>
  <c r="J188" i="2"/>
  <c r="I188" i="2"/>
  <c r="N187" i="2"/>
  <c r="L187" i="2"/>
  <c r="K187" i="2"/>
  <c r="J187" i="2"/>
  <c r="I187" i="2"/>
  <c r="N186" i="2"/>
  <c r="L186" i="2"/>
  <c r="K186" i="2"/>
  <c r="J186" i="2"/>
  <c r="I186" i="2"/>
  <c r="N185" i="2"/>
  <c r="L185" i="2"/>
  <c r="K185" i="2"/>
  <c r="J185" i="2"/>
  <c r="I185" i="2"/>
  <c r="N184" i="2"/>
  <c r="L184" i="2"/>
  <c r="K184" i="2"/>
  <c r="J184" i="2"/>
  <c r="I184" i="2"/>
  <c r="N183" i="2"/>
  <c r="L183" i="2"/>
  <c r="K183" i="2"/>
  <c r="J183" i="2"/>
  <c r="I183" i="2"/>
  <c r="N182" i="2"/>
  <c r="L182" i="2"/>
  <c r="K182" i="2"/>
  <c r="J182" i="2"/>
  <c r="I182" i="2"/>
  <c r="N181" i="2"/>
  <c r="L181" i="2"/>
  <c r="K181" i="2"/>
  <c r="J181" i="2"/>
  <c r="I181" i="2"/>
  <c r="N180" i="2"/>
  <c r="L180" i="2"/>
  <c r="K180" i="2"/>
  <c r="J180" i="2"/>
  <c r="I180" i="2"/>
  <c r="N179" i="2"/>
  <c r="L179" i="2"/>
  <c r="K179" i="2"/>
  <c r="J179" i="2"/>
  <c r="I179" i="2"/>
  <c r="N178" i="2"/>
  <c r="L178" i="2"/>
  <c r="K178" i="2"/>
  <c r="J178" i="2"/>
  <c r="I178" i="2"/>
  <c r="N177" i="2"/>
  <c r="L177" i="2"/>
  <c r="K177" i="2"/>
  <c r="J177" i="2"/>
  <c r="I177" i="2"/>
  <c r="N176" i="2"/>
  <c r="L176" i="2"/>
  <c r="K176" i="2"/>
  <c r="J176" i="2"/>
  <c r="I176" i="2"/>
  <c r="N175" i="2"/>
  <c r="L175" i="2"/>
  <c r="K175" i="2"/>
  <c r="J175" i="2"/>
  <c r="I175" i="2"/>
  <c r="N174" i="2"/>
  <c r="L174" i="2"/>
  <c r="K174" i="2"/>
  <c r="J174" i="2"/>
  <c r="I174" i="2"/>
  <c r="N173" i="2"/>
  <c r="L173" i="2"/>
  <c r="K173" i="2"/>
  <c r="J173" i="2"/>
  <c r="I173" i="2"/>
  <c r="N172" i="2"/>
  <c r="L172" i="2"/>
  <c r="K172" i="2"/>
  <c r="J172" i="2"/>
  <c r="I172" i="2"/>
  <c r="N171" i="2"/>
  <c r="L171" i="2"/>
  <c r="K171" i="2"/>
  <c r="J171" i="2"/>
  <c r="I171" i="2"/>
  <c r="N170" i="2"/>
  <c r="L170" i="2"/>
  <c r="K170" i="2"/>
  <c r="J170" i="2"/>
  <c r="I170" i="2"/>
  <c r="N169" i="2"/>
  <c r="L169" i="2"/>
  <c r="K169" i="2"/>
  <c r="J169" i="2"/>
  <c r="I169" i="2"/>
  <c r="N168" i="2"/>
  <c r="L168" i="2"/>
  <c r="K168" i="2"/>
  <c r="J168" i="2"/>
  <c r="I168" i="2"/>
  <c r="N167" i="2"/>
  <c r="L167" i="2"/>
  <c r="K167" i="2"/>
  <c r="J167" i="2"/>
  <c r="I167" i="2"/>
  <c r="N166" i="2"/>
  <c r="L166" i="2"/>
  <c r="K166" i="2"/>
  <c r="J166" i="2"/>
  <c r="I166" i="2"/>
  <c r="N165" i="2"/>
  <c r="L165" i="2"/>
  <c r="K165" i="2"/>
  <c r="J165" i="2"/>
  <c r="I165" i="2"/>
  <c r="N164" i="2"/>
  <c r="L164" i="2"/>
  <c r="K164" i="2"/>
  <c r="J164" i="2"/>
  <c r="I164" i="2"/>
  <c r="N163" i="2"/>
  <c r="L163" i="2"/>
  <c r="K163" i="2"/>
  <c r="J163" i="2"/>
  <c r="I163" i="2"/>
  <c r="N162" i="2"/>
  <c r="L162" i="2"/>
  <c r="K162" i="2"/>
  <c r="J162" i="2"/>
  <c r="I162" i="2"/>
  <c r="N161" i="2"/>
  <c r="L161" i="2"/>
  <c r="K161" i="2"/>
  <c r="J161" i="2"/>
  <c r="I161" i="2"/>
  <c r="N160" i="2"/>
  <c r="L160" i="2"/>
  <c r="K160" i="2"/>
  <c r="J160" i="2"/>
  <c r="I160" i="2"/>
  <c r="N159" i="2"/>
  <c r="L159" i="2"/>
  <c r="K159" i="2"/>
  <c r="J159" i="2"/>
  <c r="I159" i="2"/>
  <c r="N158" i="2"/>
  <c r="L158" i="2"/>
  <c r="K158" i="2"/>
  <c r="J158" i="2"/>
  <c r="I158" i="2"/>
  <c r="N157" i="2"/>
  <c r="L157" i="2"/>
  <c r="K157" i="2"/>
  <c r="J157" i="2"/>
  <c r="I157" i="2"/>
  <c r="N156" i="2"/>
  <c r="L156" i="2"/>
  <c r="K156" i="2"/>
  <c r="J156" i="2"/>
  <c r="I156" i="2"/>
  <c r="N155" i="2"/>
  <c r="L155" i="2"/>
  <c r="K155" i="2"/>
  <c r="J155" i="2"/>
  <c r="I155" i="2"/>
  <c r="N154" i="2"/>
  <c r="L154" i="2"/>
  <c r="K154" i="2"/>
  <c r="J154" i="2"/>
  <c r="I154" i="2"/>
  <c r="N153" i="2"/>
  <c r="L153" i="2"/>
  <c r="K153" i="2"/>
  <c r="J153" i="2"/>
  <c r="I153" i="2"/>
  <c r="N152" i="2"/>
  <c r="L152" i="2"/>
  <c r="K152" i="2"/>
  <c r="J152" i="2"/>
  <c r="I152" i="2"/>
  <c r="N151" i="2"/>
  <c r="L151" i="2"/>
  <c r="K151" i="2"/>
  <c r="J151" i="2"/>
  <c r="I151" i="2"/>
  <c r="N150" i="2"/>
  <c r="L150" i="2"/>
  <c r="K150" i="2"/>
  <c r="J150" i="2"/>
  <c r="I150" i="2"/>
  <c r="N149" i="2"/>
  <c r="L149" i="2"/>
  <c r="K149" i="2"/>
  <c r="J149" i="2"/>
  <c r="I149" i="2"/>
  <c r="N148" i="2"/>
  <c r="L148" i="2"/>
  <c r="K148" i="2"/>
  <c r="J148" i="2"/>
  <c r="I148" i="2"/>
  <c r="N147" i="2"/>
  <c r="L147" i="2"/>
  <c r="K147" i="2"/>
  <c r="J147" i="2"/>
  <c r="I147" i="2"/>
  <c r="N146" i="2"/>
  <c r="L146" i="2"/>
  <c r="K146" i="2"/>
  <c r="J146" i="2"/>
  <c r="I146" i="2"/>
  <c r="N145" i="2"/>
  <c r="L145" i="2"/>
  <c r="K145" i="2"/>
  <c r="J145" i="2"/>
  <c r="I145" i="2"/>
  <c r="N144" i="2"/>
  <c r="L144" i="2"/>
  <c r="K144" i="2"/>
  <c r="J144" i="2"/>
  <c r="I144" i="2"/>
  <c r="N143" i="2"/>
  <c r="L143" i="2"/>
  <c r="K143" i="2"/>
  <c r="J143" i="2"/>
  <c r="I143" i="2"/>
  <c r="N142" i="2"/>
  <c r="L142" i="2"/>
  <c r="K142" i="2"/>
  <c r="J142" i="2"/>
  <c r="I142" i="2"/>
  <c r="N141" i="2"/>
  <c r="L141" i="2"/>
  <c r="K141" i="2"/>
  <c r="J141" i="2"/>
  <c r="I141" i="2"/>
  <c r="N140" i="2"/>
  <c r="L140" i="2"/>
  <c r="K140" i="2"/>
  <c r="J140" i="2"/>
  <c r="I140" i="2"/>
  <c r="N139" i="2"/>
  <c r="L139" i="2"/>
  <c r="K139" i="2"/>
  <c r="J139" i="2"/>
  <c r="I139" i="2"/>
  <c r="N138" i="2"/>
  <c r="L138" i="2"/>
  <c r="K138" i="2"/>
  <c r="J138" i="2"/>
  <c r="I138" i="2"/>
  <c r="N137" i="2"/>
  <c r="L137" i="2"/>
  <c r="K137" i="2"/>
  <c r="J137" i="2"/>
  <c r="I137" i="2"/>
  <c r="N136" i="2"/>
  <c r="L136" i="2"/>
  <c r="K136" i="2"/>
  <c r="J136" i="2"/>
  <c r="I136" i="2"/>
  <c r="N135" i="2"/>
  <c r="L135" i="2"/>
  <c r="K135" i="2"/>
  <c r="J135" i="2"/>
  <c r="I135" i="2"/>
  <c r="N134" i="2"/>
  <c r="L134" i="2"/>
  <c r="K134" i="2"/>
  <c r="J134" i="2"/>
  <c r="I134" i="2"/>
  <c r="N133" i="2"/>
  <c r="L133" i="2"/>
  <c r="K133" i="2"/>
  <c r="J133" i="2"/>
  <c r="I133" i="2"/>
  <c r="N132" i="2"/>
  <c r="L132" i="2"/>
  <c r="K132" i="2"/>
  <c r="J132" i="2"/>
  <c r="I132" i="2"/>
  <c r="N131" i="2"/>
  <c r="L131" i="2"/>
  <c r="K131" i="2"/>
  <c r="J131" i="2"/>
  <c r="I131" i="2"/>
  <c r="N130" i="2"/>
  <c r="L130" i="2"/>
  <c r="K130" i="2"/>
  <c r="J130" i="2"/>
  <c r="I130" i="2"/>
  <c r="N129" i="2"/>
  <c r="L129" i="2"/>
  <c r="K129" i="2"/>
  <c r="J129" i="2"/>
  <c r="I129" i="2"/>
  <c r="N128" i="2"/>
  <c r="L128" i="2"/>
  <c r="K128" i="2"/>
  <c r="J128" i="2"/>
  <c r="I128" i="2"/>
  <c r="N127" i="2"/>
  <c r="L127" i="2"/>
  <c r="K127" i="2"/>
  <c r="J127" i="2"/>
  <c r="I127" i="2"/>
  <c r="N126" i="2"/>
  <c r="L126" i="2"/>
  <c r="K126" i="2"/>
  <c r="J126" i="2"/>
  <c r="I126" i="2"/>
  <c r="N125" i="2"/>
  <c r="L125" i="2"/>
  <c r="K125" i="2"/>
  <c r="J125" i="2"/>
  <c r="I125" i="2"/>
  <c r="N124" i="2"/>
  <c r="L124" i="2"/>
  <c r="K124" i="2"/>
  <c r="J124" i="2"/>
  <c r="I124" i="2"/>
  <c r="N123" i="2"/>
  <c r="L123" i="2"/>
  <c r="K123" i="2"/>
  <c r="J123" i="2"/>
  <c r="I123" i="2"/>
  <c r="N122" i="2"/>
  <c r="L122" i="2"/>
  <c r="K122" i="2"/>
  <c r="J122" i="2"/>
  <c r="I122" i="2"/>
  <c r="N121" i="2"/>
  <c r="L121" i="2"/>
  <c r="K121" i="2"/>
  <c r="J121" i="2"/>
  <c r="I121" i="2"/>
  <c r="N120" i="2"/>
  <c r="L120" i="2"/>
  <c r="K120" i="2"/>
  <c r="J120" i="2"/>
  <c r="I120" i="2"/>
  <c r="N119" i="2"/>
  <c r="L119" i="2"/>
  <c r="K119" i="2"/>
  <c r="J119" i="2"/>
  <c r="I119" i="2"/>
  <c r="N118" i="2"/>
  <c r="L118" i="2"/>
  <c r="K118" i="2"/>
  <c r="J118" i="2"/>
  <c r="I118" i="2"/>
  <c r="N117" i="2"/>
  <c r="L117" i="2"/>
  <c r="K117" i="2"/>
  <c r="J117" i="2"/>
  <c r="I117" i="2"/>
  <c r="N116" i="2"/>
  <c r="L116" i="2"/>
  <c r="K116" i="2"/>
  <c r="J116" i="2"/>
  <c r="I116" i="2"/>
  <c r="N115" i="2"/>
  <c r="L115" i="2"/>
  <c r="K115" i="2"/>
  <c r="J115" i="2"/>
  <c r="I115" i="2"/>
  <c r="N114" i="2"/>
  <c r="L114" i="2"/>
  <c r="K114" i="2"/>
  <c r="J114" i="2"/>
  <c r="I114" i="2"/>
  <c r="N113" i="2"/>
  <c r="L113" i="2"/>
  <c r="K113" i="2"/>
  <c r="J113" i="2"/>
  <c r="I113" i="2"/>
  <c r="N112" i="2"/>
  <c r="L112" i="2"/>
  <c r="K112" i="2"/>
  <c r="J112" i="2"/>
  <c r="I112" i="2"/>
  <c r="N111" i="2"/>
  <c r="L111" i="2"/>
  <c r="K111" i="2"/>
  <c r="J111" i="2"/>
  <c r="I111" i="2"/>
  <c r="N110" i="2"/>
  <c r="L110" i="2"/>
  <c r="K110" i="2"/>
  <c r="J110" i="2"/>
  <c r="I110" i="2"/>
  <c r="N109" i="2"/>
  <c r="L109" i="2"/>
  <c r="K109" i="2"/>
  <c r="J109" i="2"/>
  <c r="I109" i="2"/>
  <c r="N108" i="2"/>
  <c r="L108" i="2"/>
  <c r="K108" i="2"/>
  <c r="J108" i="2"/>
  <c r="I108" i="2"/>
  <c r="N107" i="2"/>
  <c r="L107" i="2"/>
  <c r="K107" i="2"/>
  <c r="J107" i="2"/>
  <c r="I107" i="2"/>
  <c r="N106" i="2"/>
  <c r="L106" i="2"/>
  <c r="K106" i="2"/>
  <c r="J106" i="2"/>
  <c r="I106" i="2"/>
  <c r="N105" i="2"/>
  <c r="L105" i="2"/>
  <c r="K105" i="2"/>
  <c r="J105" i="2"/>
  <c r="I105" i="2"/>
  <c r="N104" i="2"/>
  <c r="L104" i="2"/>
  <c r="K104" i="2"/>
  <c r="J104" i="2"/>
  <c r="I104" i="2"/>
  <c r="N103" i="2"/>
  <c r="L103" i="2"/>
  <c r="K103" i="2"/>
  <c r="J103" i="2"/>
  <c r="I103" i="2"/>
  <c r="N102" i="2"/>
  <c r="L102" i="2"/>
  <c r="K102" i="2"/>
  <c r="J102" i="2"/>
  <c r="I102" i="2"/>
  <c r="N101" i="2"/>
  <c r="L101" i="2"/>
  <c r="K101" i="2"/>
  <c r="J101" i="2"/>
  <c r="I101" i="2"/>
  <c r="N100" i="2"/>
  <c r="L100" i="2"/>
  <c r="K100" i="2"/>
  <c r="J100" i="2"/>
  <c r="I100" i="2"/>
  <c r="N99" i="2"/>
  <c r="L99" i="2"/>
  <c r="K99" i="2"/>
  <c r="J99" i="2"/>
  <c r="I99" i="2"/>
  <c r="N98" i="2"/>
  <c r="L98" i="2"/>
  <c r="K98" i="2"/>
  <c r="J98" i="2"/>
  <c r="I98" i="2"/>
  <c r="N97" i="2"/>
  <c r="L97" i="2"/>
  <c r="K97" i="2"/>
  <c r="J97" i="2"/>
  <c r="I97" i="2"/>
  <c r="N96" i="2"/>
  <c r="L96" i="2"/>
  <c r="K96" i="2"/>
  <c r="J96" i="2"/>
  <c r="I96" i="2"/>
  <c r="N95" i="2"/>
  <c r="L95" i="2"/>
  <c r="K95" i="2"/>
  <c r="J95" i="2"/>
  <c r="I95" i="2"/>
  <c r="N94" i="2"/>
  <c r="L94" i="2"/>
  <c r="K94" i="2"/>
  <c r="J94" i="2"/>
  <c r="I94" i="2"/>
  <c r="N93" i="2"/>
  <c r="L93" i="2"/>
  <c r="K93" i="2"/>
  <c r="J93" i="2"/>
  <c r="I93" i="2"/>
  <c r="N92" i="2"/>
  <c r="L92" i="2"/>
  <c r="K92" i="2"/>
  <c r="J92" i="2"/>
  <c r="I92" i="2"/>
  <c r="N91" i="2"/>
  <c r="L91" i="2"/>
  <c r="K91" i="2"/>
  <c r="J91" i="2"/>
  <c r="I91" i="2"/>
  <c r="N90" i="2"/>
  <c r="L90" i="2"/>
  <c r="K90" i="2"/>
  <c r="J90" i="2"/>
  <c r="I90" i="2"/>
  <c r="N89" i="2"/>
  <c r="L89" i="2"/>
  <c r="K89" i="2"/>
  <c r="J89" i="2"/>
  <c r="I89" i="2"/>
  <c r="N88" i="2"/>
  <c r="L88" i="2"/>
  <c r="K88" i="2"/>
  <c r="J88" i="2"/>
  <c r="I88" i="2"/>
  <c r="N87" i="2"/>
  <c r="L87" i="2"/>
  <c r="K87" i="2"/>
  <c r="J87" i="2"/>
  <c r="I87" i="2"/>
  <c r="N86" i="2"/>
  <c r="L86" i="2"/>
  <c r="K86" i="2"/>
  <c r="J86" i="2"/>
  <c r="I86" i="2"/>
  <c r="N85" i="2"/>
  <c r="L85" i="2"/>
  <c r="K85" i="2"/>
  <c r="J85" i="2"/>
  <c r="I85" i="2"/>
  <c r="N84" i="2"/>
  <c r="L84" i="2"/>
  <c r="K84" i="2"/>
  <c r="J84" i="2"/>
  <c r="I84" i="2"/>
  <c r="N83" i="2"/>
  <c r="L83" i="2"/>
  <c r="K83" i="2"/>
  <c r="J83" i="2"/>
  <c r="I83" i="2"/>
  <c r="N82" i="2"/>
  <c r="L82" i="2"/>
  <c r="K82" i="2"/>
  <c r="J82" i="2"/>
  <c r="I82" i="2"/>
  <c r="N81" i="2"/>
  <c r="L81" i="2"/>
  <c r="K81" i="2"/>
  <c r="J81" i="2"/>
  <c r="I81" i="2"/>
  <c r="N80" i="2"/>
  <c r="L80" i="2"/>
  <c r="K80" i="2"/>
  <c r="J80" i="2"/>
  <c r="I80" i="2"/>
  <c r="N79" i="2"/>
  <c r="L79" i="2"/>
  <c r="K79" i="2"/>
  <c r="J79" i="2"/>
  <c r="I79" i="2"/>
  <c r="N78" i="2"/>
  <c r="L78" i="2"/>
  <c r="K78" i="2"/>
  <c r="J78" i="2"/>
  <c r="I78" i="2"/>
  <c r="N77" i="2"/>
  <c r="L77" i="2"/>
  <c r="K77" i="2"/>
  <c r="J77" i="2"/>
  <c r="I77" i="2"/>
  <c r="N76" i="2"/>
  <c r="L76" i="2"/>
  <c r="K76" i="2"/>
  <c r="J76" i="2"/>
  <c r="I76" i="2"/>
  <c r="N75" i="2"/>
  <c r="L75" i="2"/>
  <c r="K75" i="2"/>
  <c r="J75" i="2"/>
  <c r="I75" i="2"/>
  <c r="N74" i="2"/>
  <c r="L74" i="2"/>
  <c r="K74" i="2"/>
  <c r="J74" i="2"/>
  <c r="I74" i="2"/>
  <c r="N73" i="2"/>
  <c r="L73" i="2"/>
  <c r="K73" i="2"/>
  <c r="J73" i="2"/>
  <c r="I73" i="2"/>
  <c r="N72" i="2"/>
  <c r="L72" i="2"/>
  <c r="K72" i="2"/>
  <c r="J72" i="2"/>
  <c r="I72" i="2"/>
  <c r="N71" i="2"/>
  <c r="L71" i="2"/>
  <c r="K71" i="2"/>
  <c r="J71" i="2"/>
  <c r="I71" i="2"/>
  <c r="N70" i="2"/>
  <c r="L70" i="2"/>
  <c r="K70" i="2"/>
  <c r="J70" i="2"/>
  <c r="I70" i="2"/>
  <c r="N69" i="2"/>
  <c r="L69" i="2"/>
  <c r="K69" i="2"/>
  <c r="J69" i="2"/>
  <c r="I69" i="2"/>
  <c r="N68" i="2"/>
  <c r="L68" i="2"/>
  <c r="K68" i="2"/>
  <c r="J68" i="2"/>
  <c r="I68" i="2"/>
  <c r="N67" i="2"/>
  <c r="L67" i="2"/>
  <c r="K67" i="2"/>
  <c r="J67" i="2"/>
  <c r="I67" i="2"/>
  <c r="N66" i="2"/>
  <c r="L66" i="2"/>
  <c r="K66" i="2"/>
  <c r="J66" i="2"/>
  <c r="I66" i="2"/>
  <c r="N65" i="2"/>
  <c r="L65" i="2"/>
  <c r="K65" i="2"/>
  <c r="J65" i="2"/>
  <c r="I65" i="2"/>
  <c r="N64" i="2"/>
  <c r="L64" i="2"/>
  <c r="K64" i="2"/>
  <c r="J64" i="2"/>
  <c r="I64" i="2"/>
  <c r="N63" i="2"/>
  <c r="L63" i="2"/>
  <c r="K63" i="2"/>
  <c r="J63" i="2"/>
  <c r="I63" i="2"/>
  <c r="N62" i="2"/>
  <c r="L62" i="2"/>
  <c r="K62" i="2"/>
  <c r="J62" i="2"/>
  <c r="I62" i="2"/>
  <c r="N61" i="2"/>
  <c r="L61" i="2"/>
  <c r="K61" i="2"/>
  <c r="J61" i="2"/>
  <c r="I61" i="2"/>
  <c r="N60" i="2"/>
  <c r="L60" i="2"/>
  <c r="K60" i="2"/>
  <c r="J60" i="2"/>
  <c r="I60" i="2"/>
  <c r="N59" i="2"/>
  <c r="L59" i="2"/>
  <c r="K59" i="2"/>
  <c r="J59" i="2"/>
  <c r="I59" i="2"/>
  <c r="N58" i="2"/>
  <c r="L58" i="2"/>
  <c r="K58" i="2"/>
  <c r="J58" i="2"/>
  <c r="I58" i="2"/>
  <c r="N57" i="2"/>
  <c r="L57" i="2"/>
  <c r="K57" i="2"/>
  <c r="J57" i="2"/>
  <c r="I57" i="2"/>
  <c r="N56" i="2"/>
  <c r="L56" i="2"/>
  <c r="K56" i="2"/>
  <c r="J56" i="2"/>
  <c r="I56" i="2"/>
  <c r="N55" i="2"/>
  <c r="L55" i="2"/>
  <c r="K55" i="2"/>
  <c r="J55" i="2"/>
  <c r="I55" i="2"/>
  <c r="N54" i="2"/>
  <c r="L54" i="2"/>
  <c r="K54" i="2"/>
  <c r="J54" i="2"/>
  <c r="I54" i="2"/>
  <c r="N53" i="2"/>
  <c r="L53" i="2"/>
  <c r="K53" i="2"/>
  <c r="J53" i="2"/>
  <c r="I53" i="2"/>
  <c r="N52" i="2"/>
  <c r="L52" i="2"/>
  <c r="K52" i="2"/>
  <c r="J52" i="2"/>
  <c r="I52" i="2"/>
  <c r="N51" i="2"/>
  <c r="L51" i="2"/>
  <c r="K51" i="2"/>
  <c r="J51" i="2"/>
  <c r="I51" i="2"/>
  <c r="N50" i="2"/>
  <c r="L50" i="2"/>
  <c r="K50" i="2"/>
  <c r="J50" i="2"/>
  <c r="I50" i="2"/>
  <c r="N49" i="2"/>
  <c r="L49" i="2"/>
  <c r="K49" i="2"/>
  <c r="J49" i="2"/>
  <c r="I49" i="2"/>
  <c r="N48" i="2"/>
  <c r="L48" i="2"/>
  <c r="K48" i="2"/>
  <c r="J48" i="2"/>
  <c r="I48" i="2"/>
  <c r="N47" i="2"/>
  <c r="L47" i="2"/>
  <c r="K47" i="2"/>
  <c r="J47" i="2"/>
  <c r="I47" i="2"/>
  <c r="N46" i="2"/>
  <c r="L46" i="2"/>
  <c r="K46" i="2"/>
  <c r="J46" i="2"/>
  <c r="I46" i="2"/>
  <c r="N45" i="2"/>
  <c r="L45" i="2"/>
  <c r="K45" i="2"/>
  <c r="J45" i="2"/>
  <c r="I45" i="2"/>
  <c r="N44" i="2"/>
  <c r="L44" i="2"/>
  <c r="K44" i="2"/>
  <c r="J44" i="2"/>
  <c r="I44" i="2"/>
  <c r="N43" i="2"/>
  <c r="L43" i="2"/>
  <c r="K43" i="2"/>
  <c r="J43" i="2"/>
  <c r="I43" i="2"/>
  <c r="N42" i="2"/>
  <c r="L42" i="2"/>
  <c r="K42" i="2"/>
  <c r="J42" i="2"/>
  <c r="I42" i="2"/>
  <c r="N41" i="2"/>
  <c r="L41" i="2"/>
  <c r="K41" i="2"/>
  <c r="J41" i="2"/>
  <c r="I41" i="2"/>
  <c r="N40" i="2"/>
  <c r="L40" i="2"/>
  <c r="K40" i="2"/>
  <c r="J40" i="2"/>
  <c r="I40" i="2"/>
  <c r="N39" i="2"/>
  <c r="L39" i="2"/>
  <c r="K39" i="2"/>
  <c r="J39" i="2"/>
  <c r="I39" i="2"/>
  <c r="N38" i="2"/>
  <c r="L38" i="2"/>
  <c r="K38" i="2"/>
  <c r="J38" i="2"/>
  <c r="I38" i="2"/>
  <c r="N37" i="2"/>
  <c r="L37" i="2"/>
  <c r="K37" i="2"/>
  <c r="J37" i="2"/>
  <c r="I37" i="2"/>
  <c r="N36" i="2"/>
  <c r="L36" i="2"/>
  <c r="K36" i="2"/>
  <c r="J36" i="2"/>
  <c r="I36" i="2"/>
  <c r="N35" i="2"/>
  <c r="L35" i="2"/>
  <c r="K35" i="2"/>
  <c r="J35" i="2"/>
  <c r="I35" i="2"/>
  <c r="N34" i="2"/>
  <c r="L34" i="2"/>
  <c r="K34" i="2"/>
  <c r="J34" i="2"/>
  <c r="I34" i="2"/>
  <c r="N33" i="2"/>
  <c r="L33" i="2"/>
  <c r="K33" i="2"/>
  <c r="J33" i="2"/>
  <c r="I33" i="2"/>
  <c r="N32" i="2"/>
  <c r="L32" i="2"/>
  <c r="K32" i="2"/>
  <c r="J32" i="2"/>
  <c r="I32" i="2"/>
  <c r="N31" i="2"/>
  <c r="L31" i="2"/>
  <c r="K31" i="2"/>
  <c r="J31" i="2"/>
  <c r="I31" i="2"/>
  <c r="N30" i="2"/>
  <c r="L30" i="2"/>
  <c r="K30" i="2"/>
  <c r="J30" i="2"/>
  <c r="I30" i="2"/>
  <c r="N29" i="2"/>
  <c r="L29" i="2"/>
  <c r="K29" i="2"/>
  <c r="J29" i="2"/>
  <c r="I29" i="2"/>
  <c r="N28" i="2"/>
  <c r="L28" i="2"/>
  <c r="K28" i="2"/>
  <c r="J28" i="2"/>
  <c r="I28" i="2"/>
  <c r="N27" i="2"/>
  <c r="L27" i="2"/>
  <c r="K27" i="2"/>
  <c r="J27" i="2"/>
  <c r="I27" i="2"/>
  <c r="N26" i="2"/>
  <c r="L26" i="2"/>
  <c r="K26" i="2"/>
  <c r="J26" i="2"/>
  <c r="I26" i="2"/>
  <c r="N25" i="2"/>
  <c r="L25" i="2"/>
  <c r="K25" i="2"/>
  <c r="J25" i="2"/>
  <c r="I25" i="2"/>
  <c r="N24" i="2"/>
  <c r="L24" i="2"/>
  <c r="K24" i="2"/>
  <c r="J24" i="2"/>
  <c r="I24" i="2"/>
  <c r="N23" i="2"/>
  <c r="L23" i="2"/>
  <c r="K23" i="2"/>
  <c r="J23" i="2"/>
  <c r="I23" i="2"/>
  <c r="N22" i="2"/>
  <c r="L22" i="2"/>
  <c r="K22" i="2"/>
  <c r="J22" i="2"/>
  <c r="I22" i="2"/>
  <c r="N21" i="2"/>
  <c r="L21" i="2"/>
  <c r="K21" i="2"/>
  <c r="J21" i="2"/>
  <c r="I21" i="2"/>
  <c r="N20" i="2"/>
  <c r="L20" i="2"/>
  <c r="K20" i="2"/>
  <c r="J20" i="2"/>
  <c r="I20" i="2"/>
  <c r="N19" i="2"/>
  <c r="L19" i="2"/>
  <c r="K19" i="2"/>
  <c r="J19" i="2"/>
  <c r="I19" i="2"/>
  <c r="N18" i="2"/>
  <c r="L18" i="2"/>
  <c r="K18" i="2"/>
  <c r="J18" i="2"/>
  <c r="I18" i="2"/>
  <c r="N17" i="2"/>
  <c r="L17" i="2"/>
  <c r="K17" i="2"/>
  <c r="J17" i="2"/>
  <c r="I17" i="2"/>
  <c r="N16" i="2"/>
  <c r="L16" i="2"/>
  <c r="K16" i="2"/>
  <c r="J16" i="2"/>
  <c r="I16" i="2"/>
  <c r="N15" i="2"/>
  <c r="L15" i="2"/>
  <c r="K15" i="2"/>
  <c r="J15" i="2"/>
  <c r="I15" i="2"/>
  <c r="N14" i="2"/>
  <c r="L14" i="2"/>
  <c r="K14" i="2"/>
  <c r="J14" i="2"/>
  <c r="I14" i="2"/>
  <c r="N13" i="2"/>
  <c r="L13" i="2"/>
  <c r="K13" i="2"/>
  <c r="J13" i="2"/>
  <c r="I13" i="2"/>
  <c r="N12" i="2"/>
  <c r="L12" i="2"/>
  <c r="K12" i="2"/>
  <c r="J12" i="2"/>
  <c r="I12" i="2"/>
  <c r="N11" i="2"/>
  <c r="L11" i="2"/>
  <c r="K11" i="2"/>
  <c r="J11" i="2"/>
  <c r="I11" i="2"/>
  <c r="N10" i="2"/>
  <c r="L10" i="2"/>
  <c r="K10" i="2"/>
  <c r="J10" i="2"/>
  <c r="I10" i="2"/>
  <c r="N9" i="2"/>
  <c r="L9" i="2"/>
  <c r="K9" i="2"/>
  <c r="J9" i="2"/>
  <c r="I9" i="2"/>
  <c r="N8" i="2"/>
  <c r="L8" i="2"/>
  <c r="K8" i="2"/>
  <c r="J8" i="2"/>
  <c r="I8" i="2"/>
  <c r="N7" i="2"/>
  <c r="L7" i="2"/>
  <c r="K7" i="2"/>
  <c r="J7" i="2"/>
  <c r="I7" i="2"/>
  <c r="N6" i="2"/>
  <c r="L6" i="2"/>
  <c r="K6" i="2"/>
  <c r="J6" i="2"/>
  <c r="I6" i="2"/>
  <c r="N5" i="2"/>
  <c r="L5" i="2"/>
  <c r="K5" i="2"/>
  <c r="J5" i="2"/>
  <c r="I5" i="2"/>
  <c r="N4" i="2"/>
  <c r="L4" i="2"/>
  <c r="K4" i="2"/>
  <c r="J4" i="2"/>
  <c r="I4" i="2"/>
  <c r="N3" i="2"/>
  <c r="L3" i="2"/>
  <c r="K3" i="2"/>
  <c r="J3" i="2"/>
  <c r="I3" i="2"/>
  <c r="N2" i="2"/>
  <c r="L2" i="2"/>
  <c r="K2" i="2"/>
  <c r="J2" i="2"/>
  <c r="I2" i="2"/>
</calcChain>
</file>

<file path=xl/sharedStrings.xml><?xml version="1.0" encoding="utf-8"?>
<sst xmlns="http://schemas.openxmlformats.org/spreadsheetml/2006/main" count="4066" uniqueCount="638">
  <si>
    <t>Section</t>
  </si>
  <si>
    <t>Item</t>
  </si>
  <si>
    <t>Detail</t>
  </si>
  <si>
    <t>Notice</t>
  </si>
  <si>
    <t>SYNTHETIC DATA</t>
  </si>
  <si>
    <t>SYNTHETIC DATA - demo/testing only. Every value in this workbook is simulated. It does not represent real Microsoft Azure capacity, real customers or real commitments.</t>
  </si>
  <si>
    <t>Purpose</t>
  </si>
  <si>
    <t>Overview</t>
  </si>
  <si>
    <t>Simulated Stratus capacity and availability dataset for an AI agent that answers questions about a customer's future Azure capacity needs.</t>
  </si>
  <si>
    <t>Agent tasks</t>
  </si>
  <si>
    <t>Parse these tables to (1) project future capacity needs by Region/AZ/VM SKU, (2) flag capacity restrictions that block forecast growth, and (3) recommend proactive actions (buildout alignment, alternative SKUs, alternative regions, quota pre-approval).</t>
  </si>
  <si>
    <t>Dataset family</t>
  </si>
  <si>
    <t>One of three synthetic datasets. The other two simulate the MSX opportunity pipeline and CX Observe inventory/ACR. Join across the three on Region + AvailabilityZone + VMSKU.</t>
  </si>
  <si>
    <t>Source</t>
  </si>
  <si>
    <t>Source system</t>
  </si>
  <si>
    <t>Stratus (simulated) - Azure capacity and availability management system.</t>
  </si>
  <si>
    <t>Snapshot date</t>
  </si>
  <si>
    <t>Forecast horizon</t>
  </si>
  <si>
    <t>2026-10-01 to 2027-09-01 (12 monthly periods, first of month).</t>
  </si>
  <si>
    <t>Currency / units</t>
  </si>
  <si>
    <t>Capacity is expressed in physical cores; utilisation as a percentage of total capacity cores.</t>
  </si>
  <si>
    <t>Join keys</t>
  </si>
  <si>
    <t>Primary join key</t>
  </si>
  <si>
    <t>Region + AvailabilityZone + VMSKU</t>
  </si>
  <si>
    <t>Forecast grain</t>
  </si>
  <si>
    <t>Region + AvailabilityZone + VMSKU + ForecastMonth</t>
  </si>
  <si>
    <t>Key integrity</t>
  </si>
  <si>
    <t>Region, AvailabilityZone and VMSKU strings are identical across all three synthetic datasets and are enumerated on the Reference_Data sheet.</t>
  </si>
  <si>
    <t>Parsing rules</t>
  </si>
  <si>
    <t>Layout</t>
  </si>
  <si>
    <t>Every data sheet is a flat table with a single header row at row 1, no merged cells, no blank spacer rows or columns, one record per row.</t>
  </si>
  <si>
    <t>Types</t>
  </si>
  <si>
    <t>Dates are real Excel dates (yyyy-mm-dd), numbers are real numbers, percentages are stored as fractions formatted 0.0%.</t>
  </si>
  <si>
    <t>Derived columns</t>
  </si>
  <si>
    <t>AvailableCores, UtilisationPct, AvailableVMCount, CapacityStatus, QuotaApprovalRequired, ProjectedAvailableCores, ProjectedUtilisationPct and ForecastStatus are live Excel formulas and recalculate if inputs change.</t>
  </si>
  <si>
    <t>Controlled vocabularies</t>
  </si>
  <si>
    <t>CapacityStatus, RestrictionLevel, QuotaApprovalRequired, Confidence, Status and MigrationComplexity values are defined on Reference_Data.</t>
  </si>
  <si>
    <t>Sheet inventory</t>
  </si>
  <si>
    <t>Readme</t>
  </si>
  <si>
    <t>This sheet: purpose, source, sheet inventory, column dictionary, join keys.</t>
  </si>
  <si>
    <t>Capacity_Current</t>
  </si>
  <si>
    <t>Current capacity position, one row per Region x AvailabilityZone x VMSKU that is offered.</t>
  </si>
  <si>
    <t>Capacity_Forecast</t>
  </si>
  <si>
    <t>12-month forward projection for constrained and core general-purpose SKUs.</t>
  </si>
  <si>
    <t>Capacity_Buildout_Plan</t>
  </si>
  <si>
    <t>Planned datacentre and cluster expansions with online dates and confidence.</t>
  </si>
  <si>
    <t>SKU_Alternatives</t>
  </si>
  <si>
    <t>Recommended substitute SKUs / regions for every SKU at Critical or Sold Out status.</t>
  </si>
  <si>
    <t>Reference_Data</t>
  </si>
  <si>
    <t>Region, AZ and SKU master lists plus status, restriction, confidence and complexity definitions.</t>
  </si>
  <si>
    <t>Column dictionary</t>
  </si>
  <si>
    <t>Capacity_Current.CapacityID</t>
  </si>
  <si>
    <t>Text. Surrogate key for the capacity record (CAP-nnnn).</t>
  </si>
  <si>
    <t>Capacity_Current.Region</t>
  </si>
  <si>
    <t>Text. Azure region name. Join key.</t>
  </si>
  <si>
    <t>Capacity_Current.AvailabilityZone</t>
  </si>
  <si>
    <t>Text. AZ-1 / AZ-2 / AZ-3. Join key.</t>
  </si>
  <si>
    <t>Capacity_Current.VMSKU</t>
  </si>
  <si>
    <t>Text. Azure VM SKU name. Join key.</t>
  </si>
  <si>
    <t>Capacity_Current.VMFamily</t>
  </si>
  <si>
    <t>Text. SKU family code (e.g. Dsv5, NDisrH100v5).</t>
  </si>
  <si>
    <t>Capacity_Current.vCPUsPerVM</t>
  </si>
  <si>
    <t>Integer. vCPUs consumed by one VM of this SKU.</t>
  </si>
  <si>
    <t>Capacity_Current.TotalCapacityCores</t>
  </si>
  <si>
    <t>Integer. Physical cores installed for this SKU in this Region/AZ.</t>
  </si>
  <si>
    <t>Capacity_Current.AllocatedCores</t>
  </si>
  <si>
    <t>Integer. Cores already allocated to customer workloads.</t>
  </si>
  <si>
    <t>Capacity_Current.AvailableCores</t>
  </si>
  <si>
    <t>Formula. TotalCapacityCores - AllocatedCores.</t>
  </si>
  <si>
    <t>Capacity_Current.UtilisationPct</t>
  </si>
  <si>
    <t>Formula. AllocatedCores / TotalCapacityCores, formatted 0.0%.</t>
  </si>
  <si>
    <t>Capacity_Current.AvailableVMCount</t>
  </si>
  <si>
    <t>Formula. AvailableCores / vCPUsPerVM rounded down: deployable VMs today.</t>
  </si>
  <si>
    <t>Capacity_Current.CapacityStatus</t>
  </si>
  <si>
    <t>Formula. Healthy &lt;70%, Constrained 70-85%, Critical 85-97%, Sold Out &gt;97%.</t>
  </si>
  <si>
    <t>Capacity_Current.RestrictionLevel</t>
  </si>
  <si>
    <t>Text. None / New Customers Restricted / Quota Increase Required / Allocation Blocked.</t>
  </si>
  <si>
    <t>Capacity_Current.QuotaApprovalRequired</t>
  </si>
  <si>
    <t>Formula. Yes when RestrictionLevel is not None.</t>
  </si>
  <si>
    <t>Capacity_Current.SnapshotDate</t>
  </si>
  <si>
    <t>Date. Date the capacity position was captured.</t>
  </si>
  <si>
    <t>Capacity_Forecast.ForecastMonth</t>
  </si>
  <si>
    <t>Date. First day of the forecast month.</t>
  </si>
  <si>
    <t>Capacity_Forecast.ProjectedTotalCapacityCores</t>
  </si>
  <si>
    <t>Integer. Installed cores expected that month, including landed buildout.</t>
  </si>
  <si>
    <t>Capacity_Forecast.ProjectedDemandCores</t>
  </si>
  <si>
    <t>Integer. Projected allocated cores from modelled customer growth.</t>
  </si>
  <si>
    <t>Capacity_Forecast.ProjectedAvailableCores</t>
  </si>
  <si>
    <t>Formula. Projected total minus projected demand; negative means a shortfall.</t>
  </si>
  <si>
    <t>Capacity_Forecast.ProjectedUtilisationPct</t>
  </si>
  <si>
    <t>Formula. Projected demand / projected total capacity.</t>
  </si>
  <si>
    <t>Capacity_Forecast.ForecastStatus</t>
  </si>
  <si>
    <t>Formula. Same thresholds as CapacityStatus, applied to the projection.</t>
  </si>
  <si>
    <t>Capacity_Forecast.NewCapacityLandingCores</t>
  </si>
  <si>
    <t>Integer. Additional cores landing in that month (0 when none).</t>
  </si>
  <si>
    <t>Capacity_Forecast.NewCapacityETA</t>
  </si>
  <si>
    <t>Date. Month the additional capacity is expected online; blank when none.</t>
  </si>
  <si>
    <t>Capacity_Buildout_Plan.BuildoutID</t>
  </si>
  <si>
    <t>Text. Buildout key (BLD-nnn).</t>
  </si>
  <si>
    <t>Capacity_Buildout_Plan.AdditionalCores</t>
  </si>
  <si>
    <t>Integer. Cores added to the pool when the buildout completes.</t>
  </si>
  <si>
    <t>Capacity_Buildout_Plan.PlannedOnlineDate</t>
  </si>
  <si>
    <t>Date. Planned first day the capacity is allocatable.</t>
  </si>
  <si>
    <t>Capacity_Buildout_Plan.Confidence</t>
  </si>
  <si>
    <t>Text. High / Medium / Low confidence in the planned online date.</t>
  </si>
  <si>
    <t>Capacity_Buildout_Plan.Status</t>
  </si>
  <si>
    <t>Text. Planned / In Progress / Delayed / Complete.</t>
  </si>
  <si>
    <t>SKU_Alternatives.ConstrainedVMSKU</t>
  </si>
  <si>
    <t>Text. SKU at Critical or Sold Out status somewhere in the estate.</t>
  </si>
  <si>
    <t>SKU_Alternatives.RecommendedAlternativeSKU</t>
  </si>
  <si>
    <t>Text. Substitute SKU to propose to the customer.</t>
  </si>
  <si>
    <t>SKU_Alternatives.AlternativeRegion</t>
  </si>
  <si>
    <t>Text. Region where the alternative currently has headroom.</t>
  </si>
  <si>
    <t>SKU_Alternatives.AlternativeAvailabilityZone</t>
  </si>
  <si>
    <t>Text. AZ where the alternative currently has headroom.</t>
  </si>
  <si>
    <t>SKU_Alternatives.PerformanceDeltaPct</t>
  </si>
  <si>
    <t>Number. Expected performance change vs the constrained SKU, formatted 0.0%.</t>
  </si>
  <si>
    <t>SKU_Alternatives.CostDeltaPct</t>
  </si>
  <si>
    <t>Number. Expected list-cost change vs the constrained SKU, formatted 0.0%.</t>
  </si>
  <si>
    <t>SKU_Alternatives.MigrationComplexity</t>
  </si>
  <si>
    <t>Text. Low / Medium / High effort to move the workload.</t>
  </si>
  <si>
    <t>Reference_Data.RefCategory</t>
  </si>
  <si>
    <t>Text. Which vocabulary the row defines (Region, AvailabilityZone, VMSKU, CapacityStatus, ...).</t>
  </si>
  <si>
    <t>Reference_Data.Code</t>
  </si>
  <si>
    <t>Text. The exact literal value used in the data sheets.</t>
  </si>
  <si>
    <t>Reference_Data.Description</t>
  </si>
  <si>
    <t>Text. Meaning of the code, for agent validation.</t>
  </si>
  <si>
    <t>Caveat</t>
  </si>
  <si>
    <t>Interpretation</t>
  </si>
  <si>
    <t>Utilisation, restriction levels and buildout dates are modelled, not observed. Use them to exercise analysis logic only; never as input to a real customer commitment.</t>
  </si>
  <si>
    <t>CapacityID</t>
  </si>
  <si>
    <t>Region</t>
  </si>
  <si>
    <t>AvailabilityZone</t>
  </si>
  <si>
    <t>VMSKU</t>
  </si>
  <si>
    <t>VMFamily</t>
  </si>
  <si>
    <t>vCPUsPerVM</t>
  </si>
  <si>
    <t>TotalCapacityCores</t>
  </si>
  <si>
    <t>AllocatedCores</t>
  </si>
  <si>
    <t>AvailableCores</t>
  </si>
  <si>
    <t>UtilisationPct</t>
  </si>
  <si>
    <t>AvailableVMCount</t>
  </si>
  <si>
    <t>CapacityStatus</t>
  </si>
  <si>
    <t>RestrictionLevel</t>
  </si>
  <si>
    <t>QuotaApprovalRequired</t>
  </si>
  <si>
    <t>SnapshotDate</t>
  </si>
  <si>
    <t>CAP-0001</t>
  </si>
  <si>
    <t>West Europe</t>
  </si>
  <si>
    <t>AZ-1</t>
  </si>
  <si>
    <t>Standard_D8s_v5</t>
  </si>
  <si>
    <t>Dsv5</t>
  </si>
  <si>
    <t>Quota Increase Required</t>
  </si>
  <si>
    <t>CAP-0002</t>
  </si>
  <si>
    <t>Standard_D16s_v5</t>
  </si>
  <si>
    <t>None</t>
  </si>
  <si>
    <t>CAP-0003</t>
  </si>
  <si>
    <t>Standard_D32s_v5</t>
  </si>
  <si>
    <t>CAP-0004</t>
  </si>
  <si>
    <t>Standard_D64s_v5</t>
  </si>
  <si>
    <t>CAP-0005</t>
  </si>
  <si>
    <t>Standard_E16s_v5</t>
  </si>
  <si>
    <t>Esv5</t>
  </si>
  <si>
    <t>CAP-0006</t>
  </si>
  <si>
    <t>Standard_E32ds_v5</t>
  </si>
  <si>
    <t>Edsv5</t>
  </si>
  <si>
    <t>CAP-0007</t>
  </si>
  <si>
    <t>Standard_E64ds_v5</t>
  </si>
  <si>
    <t>Allocation Blocked</t>
  </si>
  <si>
    <t>CAP-0008</t>
  </si>
  <si>
    <t>Standard_F32s_v2</t>
  </si>
  <si>
    <t>Fsv2</t>
  </si>
  <si>
    <t>CAP-0009</t>
  </si>
  <si>
    <t>Standard_L16s_v3</t>
  </si>
  <si>
    <t>Lsv3</t>
  </si>
  <si>
    <t>CAP-0010</t>
  </si>
  <si>
    <t>Standard_M128ms</t>
  </si>
  <si>
    <t>Mms</t>
  </si>
  <si>
    <t>CAP-0011</t>
  </si>
  <si>
    <t>Standard_D16as_v6</t>
  </si>
  <si>
    <t>Dasv6</t>
  </si>
  <si>
    <t>CAP-0012</t>
  </si>
  <si>
    <t>Standard_E32as_v6</t>
  </si>
  <si>
    <t>Easv6</t>
  </si>
  <si>
    <t>CAP-0013</t>
  </si>
  <si>
    <t>Standard_HB176rs_v4</t>
  </si>
  <si>
    <t>HBv4</t>
  </si>
  <si>
    <t>CAP-0014</t>
  </si>
  <si>
    <t>Standard_NC24ads_A100_v4</t>
  </si>
  <si>
    <t>NCadsA100v4</t>
  </si>
  <si>
    <t>CAP-0015</t>
  </si>
  <si>
    <t>Standard_ND96isr_H100_v5</t>
  </si>
  <si>
    <t>NDisrH100v5</t>
  </si>
  <si>
    <t>New Customers Restricted</t>
  </si>
  <si>
    <t>CAP-0016</t>
  </si>
  <si>
    <t>Standard_NC40ads_H100_v5</t>
  </si>
  <si>
    <t>NCadsH100v5</t>
  </si>
  <si>
    <t>CAP-0017</t>
  </si>
  <si>
    <t>AZ-2</t>
  </si>
  <si>
    <t>CAP-0018</t>
  </si>
  <si>
    <t>CAP-0019</t>
  </si>
  <si>
    <t>CAP-0020</t>
  </si>
  <si>
    <t>CAP-0021</t>
  </si>
  <si>
    <t>CAP-0022</t>
  </si>
  <si>
    <t>CAP-0023</t>
  </si>
  <si>
    <t>CAP-0024</t>
  </si>
  <si>
    <t>CAP-0025</t>
  </si>
  <si>
    <t>CAP-0026</t>
  </si>
  <si>
    <t>CAP-0027</t>
  </si>
  <si>
    <t>CAP-0028</t>
  </si>
  <si>
    <t>CAP-0029</t>
  </si>
  <si>
    <t>CAP-0030</t>
  </si>
  <si>
    <t>CAP-0031</t>
  </si>
  <si>
    <t>CAP-0032</t>
  </si>
  <si>
    <t>AZ-3</t>
  </si>
  <si>
    <t>CAP-0033</t>
  </si>
  <si>
    <t>CAP-0034</t>
  </si>
  <si>
    <t>CAP-0035</t>
  </si>
  <si>
    <t>CAP-0036</t>
  </si>
  <si>
    <t>CAP-0037</t>
  </si>
  <si>
    <t>CAP-0038</t>
  </si>
  <si>
    <t>CAP-0039</t>
  </si>
  <si>
    <t>North Europe</t>
  </si>
  <si>
    <t>CAP-0040</t>
  </si>
  <si>
    <t>CAP-0041</t>
  </si>
  <si>
    <t>CAP-0042</t>
  </si>
  <si>
    <t>CAP-0043</t>
  </si>
  <si>
    <t>CAP-0044</t>
  </si>
  <si>
    <t>CAP-0045</t>
  </si>
  <si>
    <t>CAP-0046</t>
  </si>
  <si>
    <t>CAP-0047</t>
  </si>
  <si>
    <t>CAP-0048</t>
  </si>
  <si>
    <t>CAP-0049</t>
  </si>
  <si>
    <t>CAP-0050</t>
  </si>
  <si>
    <t>CAP-0051</t>
  </si>
  <si>
    <t>CAP-0052</t>
  </si>
  <si>
    <t>CAP-0053</t>
  </si>
  <si>
    <t>CAP-0054</t>
  </si>
  <si>
    <t>CAP-0055</t>
  </si>
  <si>
    <t>CAP-0056</t>
  </si>
  <si>
    <t>CAP-0057</t>
  </si>
  <si>
    <t>CAP-0058</t>
  </si>
  <si>
    <t>CAP-0059</t>
  </si>
  <si>
    <t>CAP-0060</t>
  </si>
  <si>
    <t>CAP-0061</t>
  </si>
  <si>
    <t>CAP-0062</t>
  </si>
  <si>
    <t>CAP-0063</t>
  </si>
  <si>
    <t>CAP-0064</t>
  </si>
  <si>
    <t>CAP-0065</t>
  </si>
  <si>
    <t>CAP-0066</t>
  </si>
  <si>
    <t>CAP-0067</t>
  </si>
  <si>
    <t>CAP-0068</t>
  </si>
  <si>
    <t>CAP-0069</t>
  </si>
  <si>
    <t>CAP-0070</t>
  </si>
  <si>
    <t>CAP-0071</t>
  </si>
  <si>
    <t>CAP-0072</t>
  </si>
  <si>
    <t>CAP-0073</t>
  </si>
  <si>
    <t>CAP-0074</t>
  </si>
  <si>
    <t>CAP-0075</t>
  </si>
  <si>
    <t>CAP-0076</t>
  </si>
  <si>
    <t>CAP-0077</t>
  </si>
  <si>
    <t>Sweden Central</t>
  </si>
  <si>
    <t>CAP-0078</t>
  </si>
  <si>
    <t>CAP-0079</t>
  </si>
  <si>
    <t>CAP-0080</t>
  </si>
  <si>
    <t>CAP-0081</t>
  </si>
  <si>
    <t>CAP-0082</t>
  </si>
  <si>
    <t>CAP-0083</t>
  </si>
  <si>
    <t>CAP-0084</t>
  </si>
  <si>
    <t>CAP-0085</t>
  </si>
  <si>
    <t>CAP-0086</t>
  </si>
  <si>
    <t>CAP-0087</t>
  </si>
  <si>
    <t>CAP-0088</t>
  </si>
  <si>
    <t>CAP-0089</t>
  </si>
  <si>
    <t>CAP-0090</t>
  </si>
  <si>
    <t>CAP-0091</t>
  </si>
  <si>
    <t>CAP-0092</t>
  </si>
  <si>
    <t>CAP-0093</t>
  </si>
  <si>
    <t>CAP-0094</t>
  </si>
  <si>
    <t>CAP-0095</t>
  </si>
  <si>
    <t>CAP-0096</t>
  </si>
  <si>
    <t>CAP-0097</t>
  </si>
  <si>
    <t>CAP-0098</t>
  </si>
  <si>
    <t>CAP-0099</t>
  </si>
  <si>
    <t>CAP-0100</t>
  </si>
  <si>
    <t>CAP-0101</t>
  </si>
  <si>
    <t>CAP-0102</t>
  </si>
  <si>
    <t>CAP-0103</t>
  </si>
  <si>
    <t>CAP-0104</t>
  </si>
  <si>
    <t>CAP-0105</t>
  </si>
  <si>
    <t>CAP-0106</t>
  </si>
  <si>
    <t>CAP-0107</t>
  </si>
  <si>
    <t>CAP-0108</t>
  </si>
  <si>
    <t>CAP-0109</t>
  </si>
  <si>
    <t>CAP-0110</t>
  </si>
  <si>
    <t>CAP-0111</t>
  </si>
  <si>
    <t>CAP-0112</t>
  </si>
  <si>
    <t>CAP-0113</t>
  </si>
  <si>
    <t>Germany West Central</t>
  </si>
  <si>
    <t>CAP-0114</t>
  </si>
  <si>
    <t>CAP-0115</t>
  </si>
  <si>
    <t>CAP-0116</t>
  </si>
  <si>
    <t>CAP-0117</t>
  </si>
  <si>
    <t>CAP-0118</t>
  </si>
  <si>
    <t>CAP-0119</t>
  </si>
  <si>
    <t>CAP-0120</t>
  </si>
  <si>
    <t>CAP-0121</t>
  </si>
  <si>
    <t>CAP-0122</t>
  </si>
  <si>
    <t>CAP-0123</t>
  </si>
  <si>
    <t>CAP-0124</t>
  </si>
  <si>
    <t>CAP-0125</t>
  </si>
  <si>
    <t>CAP-0126</t>
  </si>
  <si>
    <t>CAP-0127</t>
  </si>
  <si>
    <t>CAP-0128</t>
  </si>
  <si>
    <t>CAP-0129</t>
  </si>
  <si>
    <t>CAP-0130</t>
  </si>
  <si>
    <t>CAP-0131</t>
  </si>
  <si>
    <t>CAP-0132</t>
  </si>
  <si>
    <t>CAP-0133</t>
  </si>
  <si>
    <t>CAP-0134</t>
  </si>
  <si>
    <t>CAP-0135</t>
  </si>
  <si>
    <t>CAP-0136</t>
  </si>
  <si>
    <t>CAP-0137</t>
  </si>
  <si>
    <t>CAP-0138</t>
  </si>
  <si>
    <t>CAP-0139</t>
  </si>
  <si>
    <t>CAP-0140</t>
  </si>
  <si>
    <t>CAP-0141</t>
  </si>
  <si>
    <t>CAP-0142</t>
  </si>
  <si>
    <t>CAP-0143</t>
  </si>
  <si>
    <t>CAP-0144</t>
  </si>
  <si>
    <t>CAP-0145</t>
  </si>
  <si>
    <t>CAP-0146</t>
  </si>
  <si>
    <t>Italy North</t>
  </si>
  <si>
    <t>CAP-0147</t>
  </si>
  <si>
    <t>CAP-0148</t>
  </si>
  <si>
    <t>CAP-0149</t>
  </si>
  <si>
    <t>CAP-0150</t>
  </si>
  <si>
    <t>CAP-0151</t>
  </si>
  <si>
    <t>CAP-0152</t>
  </si>
  <si>
    <t>CAP-0153</t>
  </si>
  <si>
    <t>CAP-0154</t>
  </si>
  <si>
    <t>CAP-0155</t>
  </si>
  <si>
    <t>CAP-0156</t>
  </si>
  <si>
    <t>CAP-0157</t>
  </si>
  <si>
    <t>CAP-0158</t>
  </si>
  <si>
    <t>CAP-0159</t>
  </si>
  <si>
    <t>CAP-0160</t>
  </si>
  <si>
    <t>CAP-0161</t>
  </si>
  <si>
    <t>CAP-0162</t>
  </si>
  <si>
    <t>CAP-0163</t>
  </si>
  <si>
    <t>CAP-0164</t>
  </si>
  <si>
    <t>CAP-0165</t>
  </si>
  <si>
    <t>CAP-0166</t>
  </si>
  <si>
    <t>CAP-0167</t>
  </si>
  <si>
    <t>CAP-0168</t>
  </si>
  <si>
    <t>CAP-0169</t>
  </si>
  <si>
    <t>CAP-0170</t>
  </si>
  <si>
    <t>CAP-0171</t>
  </si>
  <si>
    <t>CAP-0172</t>
  </si>
  <si>
    <t>CAP-0173</t>
  </si>
  <si>
    <t>CAP-0174</t>
  </si>
  <si>
    <t>UK South</t>
  </si>
  <si>
    <t>CAP-0175</t>
  </si>
  <si>
    <t>CAP-0176</t>
  </si>
  <si>
    <t>CAP-0177</t>
  </si>
  <si>
    <t>CAP-0178</t>
  </si>
  <si>
    <t>CAP-0179</t>
  </si>
  <si>
    <t>CAP-0180</t>
  </si>
  <si>
    <t>CAP-0181</t>
  </si>
  <si>
    <t>CAP-0182</t>
  </si>
  <si>
    <t>CAP-0183</t>
  </si>
  <si>
    <t>CAP-0184</t>
  </si>
  <si>
    <t>CAP-0185</t>
  </si>
  <si>
    <t>CAP-0186</t>
  </si>
  <si>
    <t>CAP-0187</t>
  </si>
  <si>
    <t>CAP-0188</t>
  </si>
  <si>
    <t>CAP-0189</t>
  </si>
  <si>
    <t>CAP-0190</t>
  </si>
  <si>
    <t>CAP-0191</t>
  </si>
  <si>
    <t>CAP-0192</t>
  </si>
  <si>
    <t>CAP-0193</t>
  </si>
  <si>
    <t>CAP-0194</t>
  </si>
  <si>
    <t>CAP-0195</t>
  </si>
  <si>
    <t>CAP-0196</t>
  </si>
  <si>
    <t>CAP-0197</t>
  </si>
  <si>
    <t>CAP-0198</t>
  </si>
  <si>
    <t>CAP-0199</t>
  </si>
  <si>
    <t>CAP-0200</t>
  </si>
  <si>
    <t>CAP-0201</t>
  </si>
  <si>
    <t>CAP-0202</t>
  </si>
  <si>
    <t>CAP-0203</t>
  </si>
  <si>
    <t>CAP-0204</t>
  </si>
  <si>
    <t>CAP-0205</t>
  </si>
  <si>
    <t>CAP-0206</t>
  </si>
  <si>
    <t>CAP-0207</t>
  </si>
  <si>
    <t>CAP-0208</t>
  </si>
  <si>
    <t>CAP-0209</t>
  </si>
  <si>
    <t>France Central</t>
  </si>
  <si>
    <t>CAP-0210</t>
  </si>
  <si>
    <t>CAP-0211</t>
  </si>
  <si>
    <t>CAP-0212</t>
  </si>
  <si>
    <t>CAP-0213</t>
  </si>
  <si>
    <t>CAP-0214</t>
  </si>
  <si>
    <t>CAP-0215</t>
  </si>
  <si>
    <t>CAP-0216</t>
  </si>
  <si>
    <t>CAP-0217</t>
  </si>
  <si>
    <t>CAP-0218</t>
  </si>
  <si>
    <t>CAP-0219</t>
  </si>
  <si>
    <t>CAP-0220</t>
  </si>
  <si>
    <t>CAP-0221</t>
  </si>
  <si>
    <t>CAP-0222</t>
  </si>
  <si>
    <t>CAP-0223</t>
  </si>
  <si>
    <t>CAP-0224</t>
  </si>
  <si>
    <t>CAP-0225</t>
  </si>
  <si>
    <t>CAP-0226</t>
  </si>
  <si>
    <t>CAP-0227</t>
  </si>
  <si>
    <t>CAP-0228</t>
  </si>
  <si>
    <t>CAP-0229</t>
  </si>
  <si>
    <t>CAP-0230</t>
  </si>
  <si>
    <t>CAP-0231</t>
  </si>
  <si>
    <t>CAP-0232</t>
  </si>
  <si>
    <t>CAP-0233</t>
  </si>
  <si>
    <t>CAP-0234</t>
  </si>
  <si>
    <t>CAP-0235</t>
  </si>
  <si>
    <t>CAP-0236</t>
  </si>
  <si>
    <t>CAP-0237</t>
  </si>
  <si>
    <t>CAP-0238</t>
  </si>
  <si>
    <t>CAP-0239</t>
  </si>
  <si>
    <t>CAP-0240</t>
  </si>
  <si>
    <t>CAP-0241</t>
  </si>
  <si>
    <t>CAP-0242</t>
  </si>
  <si>
    <t>Switzerland North</t>
  </si>
  <si>
    <t>CAP-0243</t>
  </si>
  <si>
    <t>CAP-0244</t>
  </si>
  <si>
    <t>CAP-0245</t>
  </si>
  <si>
    <t>CAP-0246</t>
  </si>
  <si>
    <t>CAP-0247</t>
  </si>
  <si>
    <t>CAP-0248</t>
  </si>
  <si>
    <t>CAP-0249</t>
  </si>
  <si>
    <t>CAP-0250</t>
  </si>
  <si>
    <t>CAP-0251</t>
  </si>
  <si>
    <t>CAP-0252</t>
  </si>
  <si>
    <t>CAP-0253</t>
  </si>
  <si>
    <t>CAP-0254</t>
  </si>
  <si>
    <t>CAP-0255</t>
  </si>
  <si>
    <t>CAP-0256</t>
  </si>
  <si>
    <t>CAP-0257</t>
  </si>
  <si>
    <t>CAP-0258</t>
  </si>
  <si>
    <t>CAP-0259</t>
  </si>
  <si>
    <t>CAP-0260</t>
  </si>
  <si>
    <t>CAP-0261</t>
  </si>
  <si>
    <t>CAP-0262</t>
  </si>
  <si>
    <t>CAP-0263</t>
  </si>
  <si>
    <t>Poland Central</t>
  </si>
  <si>
    <t>CAP-0264</t>
  </si>
  <si>
    <t>CAP-0265</t>
  </si>
  <si>
    <t>CAP-0266</t>
  </si>
  <si>
    <t>CAP-0267</t>
  </si>
  <si>
    <t>CAP-0268</t>
  </si>
  <si>
    <t>CAP-0269</t>
  </si>
  <si>
    <t>CAP-0270</t>
  </si>
  <si>
    <t>CAP-0271</t>
  </si>
  <si>
    <t>CAP-0272</t>
  </si>
  <si>
    <t>CAP-0273</t>
  </si>
  <si>
    <t>CAP-0274</t>
  </si>
  <si>
    <t>CAP-0275</t>
  </si>
  <si>
    <t>CAP-0276</t>
  </si>
  <si>
    <t>CAP-0277</t>
  </si>
  <si>
    <t>CAP-0278</t>
  </si>
  <si>
    <t>CAP-0279</t>
  </si>
  <si>
    <t>CAP-0280</t>
  </si>
  <si>
    <t>CAP-0281</t>
  </si>
  <si>
    <t>CAP-0282</t>
  </si>
  <si>
    <t>CAP-0283</t>
  </si>
  <si>
    <t>CAP-0284</t>
  </si>
  <si>
    <t>CAP-0285</t>
  </si>
  <si>
    <t>CAP-0286</t>
  </si>
  <si>
    <t>CAP-0287</t>
  </si>
  <si>
    <t>Greece Central</t>
  </si>
  <si>
    <t>CAP-0288</t>
  </si>
  <si>
    <t>CAP-0289</t>
  </si>
  <si>
    <t>CAP-0290</t>
  </si>
  <si>
    <t>CAP-0291</t>
  </si>
  <si>
    <t>CAP-0292</t>
  </si>
  <si>
    <t>CAP-0293</t>
  </si>
  <si>
    <t>CAP-0294</t>
  </si>
  <si>
    <t>CAP-0295</t>
  </si>
  <si>
    <t>CAP-0296</t>
  </si>
  <si>
    <t>CAP-0297</t>
  </si>
  <si>
    <t>CAP-0298</t>
  </si>
  <si>
    <t>ForecastMonth</t>
  </si>
  <si>
    <t>ProjectedTotalCapacityCores</t>
  </si>
  <si>
    <t>ProjectedDemandCores</t>
  </si>
  <si>
    <t>ProjectedAvailableCores</t>
  </si>
  <si>
    <t>ProjectedUtilisationPct</t>
  </si>
  <si>
    <t>ForecastStatus</t>
  </si>
  <si>
    <t>NewCapacityLandingCores</t>
  </si>
  <si>
    <t>NewCapacityETA</t>
  </si>
  <si>
    <t>BuildoutID</t>
  </si>
  <si>
    <t>AdditionalCores</t>
  </si>
  <si>
    <t>PlannedOnlineDate</t>
  </si>
  <si>
    <t>Confidence</t>
  </si>
  <si>
    <t>Status</t>
  </si>
  <si>
    <t>Notes</t>
  </si>
  <si>
    <t>BLD-001</t>
  </si>
  <si>
    <t>Medium</t>
  </si>
  <si>
    <t>Delayed</t>
  </si>
  <si>
    <t>Slipped due to power/cooling constraints at the site.</t>
  </si>
  <si>
    <t>BLD-002</t>
  </si>
  <si>
    <t>High</t>
  </si>
  <si>
    <t>Complete</t>
  </si>
  <si>
    <t>Cluster online and released to allocation pool.</t>
  </si>
  <si>
    <t>BLD-003</t>
  </si>
  <si>
    <t>Low</t>
  </si>
  <si>
    <t>Planned</t>
  </si>
  <si>
    <t>Capacity request approved; cluster hardware on order.</t>
  </si>
  <si>
    <t>BLD-004</t>
  </si>
  <si>
    <t>In Progress</t>
  </si>
  <si>
    <t>Racks delivered; commissioning and burn-in under way.</t>
  </si>
  <si>
    <t>BLD-005</t>
  </si>
  <si>
    <t>BLD-006</t>
  </si>
  <si>
    <t>BLD-007</t>
  </si>
  <si>
    <t>BLD-008</t>
  </si>
  <si>
    <t>BLD-009</t>
  </si>
  <si>
    <t>BLD-010</t>
  </si>
  <si>
    <t>BLD-011</t>
  </si>
  <si>
    <t>BLD-012</t>
  </si>
  <si>
    <t>BLD-013</t>
  </si>
  <si>
    <t>BLD-014</t>
  </si>
  <si>
    <t>BLD-015</t>
  </si>
  <si>
    <t>BLD-016</t>
  </si>
  <si>
    <t>BLD-017</t>
  </si>
  <si>
    <t>BLD-018</t>
  </si>
  <si>
    <t>BLD-019</t>
  </si>
  <si>
    <t>BLD-020</t>
  </si>
  <si>
    <t>BLD-021</t>
  </si>
  <si>
    <t>BLD-022</t>
  </si>
  <si>
    <t>BLD-023</t>
  </si>
  <si>
    <t>BLD-024</t>
  </si>
  <si>
    <t>BLD-025</t>
  </si>
  <si>
    <t>BLD-026</t>
  </si>
  <si>
    <t>BLD-027</t>
  </si>
  <si>
    <t>BLD-028</t>
  </si>
  <si>
    <t>BLD-029</t>
  </si>
  <si>
    <t>BLD-030</t>
  </si>
  <si>
    <t>ConstrainedVMSKU</t>
  </si>
  <si>
    <t>RecommendedAlternativeSKU</t>
  </si>
  <si>
    <t>AlternativeRegion</t>
  </si>
  <si>
    <t>AlternativeAvailabilityZone</t>
  </si>
  <si>
    <t>PerformanceDeltaPct</t>
  </si>
  <si>
    <t>CostDeltaPct</t>
  </si>
  <si>
    <t>MigrationComplexity</t>
  </si>
  <si>
    <t>Intel v5 equivalent with comparable sizing.</t>
  </si>
  <si>
    <t>Scale out across two nodes to preserve total memory.</t>
  </si>
  <si>
    <t>AMD v6 memory-optimised; validate licensing and NUMA layout.</t>
  </si>
  <si>
    <t>Same HPC SKU in an alternate region; re-validate InfiniBand topology.</t>
  </si>
  <si>
    <t>Only for loosely-coupled HPC jobs; no RDMA fabric.</t>
  </si>
  <si>
    <t>Only for workloads under ~500 GiB RAM; SAP-certified sizing must be re-checked.</t>
  </si>
  <si>
    <t>Same SKU in an alternate region; requires data residency sign-off.</t>
  </si>
  <si>
    <t>Same SKU in an alternate region with available quota.</t>
  </si>
  <si>
    <t>Newer H100 part; higher unit cost, better throughput per GPU.</t>
  </si>
  <si>
    <t>Drop-in for inference workloads with lower per-GPU throughput.</t>
  </si>
  <si>
    <t>Same SKU in a healthier region/AZ; no code change required.</t>
  </si>
  <si>
    <t>Smaller H100 footprint; fits inference and fine-tuning, not large-scale training.</t>
  </si>
  <si>
    <t>A100 generation; acceptable for checkpointed training and inference.</t>
  </si>
  <si>
    <t>RefCategory</t>
  </si>
  <si>
    <t>Code</t>
  </si>
  <si>
    <t>Description</t>
  </si>
  <si>
    <t>vCPUs</t>
  </si>
  <si>
    <t>RAM_GiB</t>
  </si>
  <si>
    <t>GPUEnabled</t>
  </si>
  <si>
    <t>GPUsPerVM</t>
  </si>
  <si>
    <t>Azure region located in Netherlands; 3 availability zones modelled</t>
  </si>
  <si>
    <t>Azure region located in Ireland; 3 availability zones modelled</t>
  </si>
  <si>
    <t>Azure region located in Sweden; 3 availability zones modelled</t>
  </si>
  <si>
    <t>Azure region located in Germany; 3 availability zones modelled</t>
  </si>
  <si>
    <t>Azure region located in Italy; 3 availability zones modelled</t>
  </si>
  <si>
    <t>Azure region located in United Kingdom; 3 availability zones modelled</t>
  </si>
  <si>
    <t>Azure region located in France; 3 availability zones modelled</t>
  </si>
  <si>
    <t>Azure region located in Switzerland; 3 availability zones modelled</t>
  </si>
  <si>
    <t>Azure region located in Poland; 3 availability zones modelled</t>
  </si>
  <si>
    <t>Azure region located in Greece; 2 availability zones modelled</t>
  </si>
  <si>
    <t>Availability zone AZ-1 of region West Europe</t>
  </si>
  <si>
    <t>Availability zone AZ-2 of region West Europe</t>
  </si>
  <si>
    <t>Availability zone AZ-3 of region West Europe</t>
  </si>
  <si>
    <t>Availability zone AZ-1 of region North Europe</t>
  </si>
  <si>
    <t>Availability zone AZ-2 of region North Europe</t>
  </si>
  <si>
    <t>Availability zone AZ-3 of region North Europe</t>
  </si>
  <si>
    <t>Availability zone AZ-1 of region Sweden Central</t>
  </si>
  <si>
    <t>Availability zone AZ-2 of region Sweden Central</t>
  </si>
  <si>
    <t>Availability zone AZ-3 of region Sweden Central</t>
  </si>
  <si>
    <t>Availability zone AZ-1 of region Germany West Central</t>
  </si>
  <si>
    <t>Availability zone AZ-2 of region Germany West Central</t>
  </si>
  <si>
    <t>Availability zone AZ-3 of region Germany West Central</t>
  </si>
  <si>
    <t>Availability zone AZ-1 of region Italy North</t>
  </si>
  <si>
    <t>Availability zone AZ-2 of region Italy North</t>
  </si>
  <si>
    <t>Availability zone AZ-3 of region Italy North</t>
  </si>
  <si>
    <t>Availability zone AZ-1 of region UK South</t>
  </si>
  <si>
    <t>Availability zone AZ-2 of region UK South</t>
  </si>
  <si>
    <t>Availability zone AZ-3 of region UK South</t>
  </si>
  <si>
    <t>Availability zone AZ-1 of region France Central</t>
  </si>
  <si>
    <t>Availability zone AZ-2 of region France Central</t>
  </si>
  <si>
    <t>Availability zone AZ-3 of region France Central</t>
  </si>
  <si>
    <t>Availability zone AZ-1 of region Switzerland North</t>
  </si>
  <si>
    <t>Availability zone AZ-2 of region Switzerland North</t>
  </si>
  <si>
    <t>Availability zone AZ-3 of region Switzerland North</t>
  </si>
  <si>
    <t>Availability zone AZ-1 of region Poland Central</t>
  </si>
  <si>
    <t>Availability zone AZ-2 of region Poland Central</t>
  </si>
  <si>
    <t>Availability zone AZ-3 of region Poland Central</t>
  </si>
  <si>
    <t>Availability zone AZ-1 of region Greece Central</t>
  </si>
  <si>
    <t>Availability zone AZ-2 of region Greece Central</t>
  </si>
  <si>
    <t>General Purpose</t>
  </si>
  <si>
    <t>No</t>
  </si>
  <si>
    <t>Memory Optimised</t>
  </si>
  <si>
    <t>Compute Optimised</t>
  </si>
  <si>
    <t>Storage Optimised</t>
  </si>
  <si>
    <t>HPC</t>
  </si>
  <si>
    <t>GPU Accelerated</t>
  </si>
  <si>
    <t>Yes</t>
  </si>
  <si>
    <t>Healthy</t>
  </si>
  <si>
    <t>Utilisation below 70%: capacity available for new deployments.</t>
  </si>
  <si>
    <t>Constrained</t>
  </si>
  <si>
    <t>Utilisation 70% to below 85%: plan ahead, growth headroom limited.</t>
  </si>
  <si>
    <t>Critical</t>
  </si>
  <si>
    <t>Utilisation 85% to 97%: new large deployments likely to fail without a buildout.</t>
  </si>
  <si>
    <t>Sold Out</t>
  </si>
  <si>
    <t>Utilisation above 97%: no allocatable capacity in this Region/AZ/SKU.</t>
  </si>
  <si>
    <t>No restriction; standard quota process applies.</t>
  </si>
  <si>
    <t>Existing subscriptions only; new subscriptions cannot allocate.</t>
  </si>
  <si>
    <t>Allocation possible but requires an approved quota increase.</t>
  </si>
  <si>
    <t>All new allocation blocked until additional capacity lands.</t>
  </si>
  <si>
    <t>A quota approval request must be raised before deployment.</t>
  </si>
  <si>
    <t>No quota approval required at current restriction level.</t>
  </si>
  <si>
    <t>BuildoutConfidence</t>
  </si>
  <si>
    <t>Buildout funded and on schedule; high confidence in the online date.</t>
  </si>
  <si>
    <t>Buildout funded; date may move by up to one quarter.</t>
  </si>
  <si>
    <t>Buildout unfunded or dependent on site works; date is indicative only.</t>
  </si>
  <si>
    <t>Same family or same SKU elsewhere; no application change.</t>
  </si>
  <si>
    <t>Different silicon or family; re-test and re-baseline performance.</t>
  </si>
  <si>
    <t>Architectural change (scale-out, storage or licensing impact).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</si>
</sst>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#,##0;\(#,##0\)"/>
    <numFmt numFmtId="167" formatCode="0.0%;\(0.0%\);\-"/>
  </numFmts>
  <fonts count="4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rgb="FFFFFFFF"/>
      <name val="Calibri"/>
    </font>
    <font>
      <b/>
      <sz val="10"/>
      <color rgb="FFB7472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3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165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right" vertical="top"/>
    </xf>
    <xf numFmtId="167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23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36.7109375" customWidth="1"/>
    <col min="3" max="3" width="110.7109375" customWidth="1"/>
  </cols>
  <sheetData>
    <row r="1" spans="1:3" ht="30" customHeight="1">
      <c r="A1" s="2" t="s">
        <v>0</v>
      </c>
      <c r="B1" s="2" t="s">
        <v>1</v>
      </c>
      <c r="C1" s="2" t="s">
        <v>2</v>
      </c>
    </row>
    <row r="2" spans="1:3">
      <c r="A2" s="5" t="s">
        <v>3</v>
      </c>
      <c r="B2" s="5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3" t="s">
        <v>6</v>
      </c>
      <c r="B4" s="3" t="s">
        <v>9</v>
      </c>
      <c r="C4" s="3" t="s">
        <v>10</v>
      </c>
    </row>
    <row r="5" spans="1:3">
      <c r="A5" s="3" t="s">
        <v>6</v>
      </c>
      <c r="B5" s="3" t="s">
        <v>11</v>
      </c>
      <c r="C5" s="3" t="s">
        <v>12</v>
      </c>
    </row>
    <row r="6" spans="1:3">
      <c r="A6" s="3" t="s">
        <v>13</v>
      </c>
      <c r="B6" s="3" t="s">
        <v>14</v>
      </c>
      <c r="C6" s="3" t="s">
        <v>15</v>
      </c>
    </row>
    <row r="7" spans="1:3">
      <c r="A7" s="3" t="s">
        <v>13</v>
      </c>
      <c r="B7" s="3" t="s">
        <v>16</v>
      </c>
      <c r="C7" s="4">
        <v>46280</v>
      </c>
    </row>
    <row r="8" spans="1:3">
      <c r="A8" s="3" t="s">
        <v>13</v>
      </c>
      <c r="B8" s="3" t="s">
        <v>17</v>
      </c>
      <c r="C8" s="3" t="s">
        <v>18</v>
      </c>
    </row>
    <row r="9" spans="1:3">
      <c r="A9" s="3" t="s">
        <v>13</v>
      </c>
      <c r="B9" s="3" t="s">
        <v>19</v>
      </c>
      <c r="C9" s="3" t="s">
        <v>20</v>
      </c>
    </row>
    <row r="10" spans="1:3">
      <c r="A10" s="3" t="s">
        <v>21</v>
      </c>
      <c r="B10" s="3" t="s">
        <v>22</v>
      </c>
      <c r="C10" s="3" t="s">
        <v>23</v>
      </c>
    </row>
    <row r="11" spans="1:3">
      <c r="A11" s="3" t="s">
        <v>21</v>
      </c>
      <c r="B11" s="3" t="s">
        <v>24</v>
      </c>
      <c r="C11" s="3" t="s">
        <v>25</v>
      </c>
    </row>
    <row r="12" spans="1:3">
      <c r="A12" s="3" t="s">
        <v>21</v>
      </c>
      <c r="B12" s="3" t="s">
        <v>26</v>
      </c>
      <c r="C12" s="3" t="s">
        <v>27</v>
      </c>
    </row>
    <row r="13" spans="1:3">
      <c r="A13" s="3" t="s">
        <v>28</v>
      </c>
      <c r="B13" s="3" t="s">
        <v>29</v>
      </c>
      <c r="C13" s="3" t="s">
        <v>30</v>
      </c>
    </row>
    <row r="14" spans="1:3">
      <c r="A14" s="3" t="s">
        <v>28</v>
      </c>
      <c r="B14" s="3" t="s">
        <v>31</v>
      </c>
      <c r="C14" s="3" t="s">
        <v>32</v>
      </c>
    </row>
    <row r="15" spans="1:3">
      <c r="A15" s="3" t="s">
        <v>28</v>
      </c>
      <c r="B15" s="3" t="s">
        <v>33</v>
      </c>
      <c r="C15" s="3" t="s">
        <v>34</v>
      </c>
    </row>
    <row r="16" spans="1:3">
      <c r="A16" s="3" t="s">
        <v>28</v>
      </c>
      <c r="B16" s="3" t="s">
        <v>35</v>
      </c>
      <c r="C16" s="3" t="s">
        <v>36</v>
      </c>
    </row>
    <row r="17" spans="1:3">
      <c r="A17" s="3" t="s">
        <v>37</v>
      </c>
      <c r="B17" s="3" t="s">
        <v>38</v>
      </c>
      <c r="C17" s="3" t="s">
        <v>39</v>
      </c>
    </row>
    <row r="18" spans="1:3">
      <c r="A18" s="3" t="s">
        <v>37</v>
      </c>
      <c r="B18" s="3" t="s">
        <v>40</v>
      </c>
      <c r="C18" s="3" t="s">
        <v>41</v>
      </c>
    </row>
    <row r="19" spans="1:3">
      <c r="A19" s="3" t="s">
        <v>37</v>
      </c>
      <c r="B19" s="3" t="s">
        <v>42</v>
      </c>
      <c r="C19" s="3" t="s">
        <v>43</v>
      </c>
    </row>
    <row r="20" spans="1:3">
      <c r="A20" s="3" t="s">
        <v>37</v>
      </c>
      <c r="B20" s="3" t="s">
        <v>44</v>
      </c>
      <c r="C20" s="3" t="s">
        <v>45</v>
      </c>
    </row>
    <row r="21" spans="1:3">
      <c r="A21" s="3" t="s">
        <v>37</v>
      </c>
      <c r="B21" s="3" t="s">
        <v>46</v>
      </c>
      <c r="C21" s="3" t="s">
        <v>47</v>
      </c>
    </row>
    <row r="22" spans="1:3">
      <c r="A22" s="3" t="s">
        <v>37</v>
      </c>
      <c r="B22" s="3" t="s">
        <v>48</v>
      </c>
      <c r="C22" s="3" t="s">
        <v>49</v>
      </c>
    </row>
    <row r="23" spans="1:3">
      <c r="A23" s="3" t="s">
        <v>50</v>
      </c>
      <c r="B23" s="3" t="s">
        <v>51</v>
      </c>
      <c r="C23" s="3" t="s">
        <v>52</v>
      </c>
    </row>
    <row r="24" spans="1:3">
      <c r="A24" s="3" t="s">
        <v>50</v>
      </c>
      <c r="B24" s="3" t="s">
        <v>53</v>
      </c>
      <c r="C24" s="3" t="s">
        <v>54</v>
      </c>
    </row>
    <row r="25" spans="1:3">
      <c r="A25" s="3" t="s">
        <v>50</v>
      </c>
      <c r="B25" s="3" t="s">
        <v>55</v>
      </c>
      <c r="C25" s="3" t="s">
        <v>56</v>
      </c>
    </row>
    <row r="26" spans="1:3">
      <c r="A26" s="3" t="s">
        <v>50</v>
      </c>
      <c r="B26" s="3" t="s">
        <v>57</v>
      </c>
      <c r="C26" s="3" t="s">
        <v>58</v>
      </c>
    </row>
    <row r="27" spans="1:3">
      <c r="A27" s="3" t="s">
        <v>50</v>
      </c>
      <c r="B27" s="3" t="s">
        <v>59</v>
      </c>
      <c r="C27" s="3" t="s">
        <v>60</v>
      </c>
    </row>
    <row r="28" spans="1:3">
      <c r="A28" s="3" t="s">
        <v>50</v>
      </c>
      <c r="B28" s="3" t="s">
        <v>61</v>
      </c>
      <c r="C28" s="3" t="s">
        <v>62</v>
      </c>
    </row>
    <row r="29" spans="1:3">
      <c r="A29" s="3" t="s">
        <v>50</v>
      </c>
      <c r="B29" s="3" t="s">
        <v>63</v>
      </c>
      <c r="C29" s="3" t="s">
        <v>64</v>
      </c>
    </row>
    <row r="30" spans="1:3">
      <c r="A30" s="3" t="s">
        <v>50</v>
      </c>
      <c r="B30" s="3" t="s">
        <v>65</v>
      </c>
      <c r="C30" s="3" t="s">
        <v>66</v>
      </c>
    </row>
    <row r="31" spans="1:3">
      <c r="A31" s="3" t="s">
        <v>50</v>
      </c>
      <c r="B31" s="3" t="s">
        <v>67</v>
      </c>
      <c r="C31" s="3" t="s">
        <v>68</v>
      </c>
    </row>
    <row r="32" spans="1:3">
      <c r="A32" s="3" t="s">
        <v>50</v>
      </c>
      <c r="B32" s="3" t="s">
        <v>69</v>
      </c>
      <c r="C32" s="3" t="s">
        <v>70</v>
      </c>
    </row>
    <row r="33" spans="1:3">
      <c r="A33" s="3" t="s">
        <v>50</v>
      </c>
      <c r="B33" s="3" t="s">
        <v>71</v>
      </c>
      <c r="C33" s="3" t="s">
        <v>72</v>
      </c>
    </row>
    <row r="34" spans="1:3">
      <c r="A34" s="3" t="s">
        <v>50</v>
      </c>
      <c r="B34" s="3" t="s">
        <v>73</v>
      </c>
      <c r="C34" s="3" t="s">
        <v>74</v>
      </c>
    </row>
    <row r="35" spans="1:3">
      <c r="A35" s="3" t="s">
        <v>50</v>
      </c>
      <c r="B35" s="3" t="s">
        <v>75</v>
      </c>
      <c r="C35" s="3" t="s">
        <v>76</v>
      </c>
    </row>
    <row r="36" spans="1:3">
      <c r="A36" s="3" t="s">
        <v>50</v>
      </c>
      <c r="B36" s="3" t="s">
        <v>77</v>
      </c>
      <c r="C36" s="3" t="s">
        <v>78</v>
      </c>
    </row>
    <row r="37" spans="1:3">
      <c r="A37" s="3" t="s">
        <v>50</v>
      </c>
      <c r="B37" s="3" t="s">
        <v>79</v>
      </c>
      <c r="C37" s="3" t="s">
        <v>80</v>
      </c>
    </row>
    <row r="38" spans="1:3">
      <c r="A38" s="3" t="s">
        <v>50</v>
      </c>
      <c r="B38" s="3" t="s">
        <v>81</v>
      </c>
      <c r="C38" s="3" t="s">
        <v>82</v>
      </c>
    </row>
    <row r="39" spans="1:3">
      <c r="A39" s="3" t="s">
        <v>50</v>
      </c>
      <c r="B39" s="3" t="s">
        <v>83</v>
      </c>
      <c r="C39" s="3" t="s">
        <v>84</v>
      </c>
    </row>
    <row r="40" spans="1:3">
      <c r="A40" s="3" t="s">
        <v>50</v>
      </c>
      <c r="B40" s="3" t="s">
        <v>85</v>
      </c>
      <c r="C40" s="3" t="s">
        <v>86</v>
      </c>
    </row>
    <row r="41" spans="1:3">
      <c r="A41" s="3" t="s">
        <v>50</v>
      </c>
      <c r="B41" s="3" t="s">
        <v>87</v>
      </c>
      <c r="C41" s="3" t="s">
        <v>88</v>
      </c>
    </row>
    <row r="42" spans="1:3">
      <c r="A42" s="3" t="s">
        <v>50</v>
      </c>
      <c r="B42" s="3" t="s">
        <v>89</v>
      </c>
      <c r="C42" s="3" t="s">
        <v>90</v>
      </c>
    </row>
    <row r="43" spans="1:3">
      <c r="A43" s="3" t="s">
        <v>50</v>
      </c>
      <c r="B43" s="3" t="s">
        <v>91</v>
      </c>
      <c r="C43" s="3" t="s">
        <v>92</v>
      </c>
    </row>
    <row r="44" spans="1:3">
      <c r="A44" s="3" t="s">
        <v>50</v>
      </c>
      <c r="B44" s="3" t="s">
        <v>93</v>
      </c>
      <c r="C44" s="3" t="s">
        <v>94</v>
      </c>
    </row>
    <row r="45" spans="1:3">
      <c r="A45" s="3" t="s">
        <v>50</v>
      </c>
      <c r="B45" s="3" t="s">
        <v>95</v>
      </c>
      <c r="C45" s="3" t="s">
        <v>96</v>
      </c>
    </row>
    <row r="46" spans="1:3">
      <c r="A46" s="3" t="s">
        <v>50</v>
      </c>
      <c r="B46" s="3" t="s">
        <v>97</v>
      </c>
      <c r="C46" s="3" t="s">
        <v>98</v>
      </c>
    </row>
    <row r="47" spans="1:3">
      <c r="A47" s="3" t="s">
        <v>50</v>
      </c>
      <c r="B47" s="3" t="s">
        <v>99</v>
      </c>
      <c r="C47" s="3" t="s">
        <v>100</v>
      </c>
    </row>
    <row r="48" spans="1:3">
      <c r="A48" s="3" t="s">
        <v>50</v>
      </c>
      <c r="B48" s="3" t="s">
        <v>101</v>
      </c>
      <c r="C48" s="3" t="s">
        <v>102</v>
      </c>
    </row>
    <row r="49" spans="1:3">
      <c r="A49" s="3" t="s">
        <v>50</v>
      </c>
      <c r="B49" s="3" t="s">
        <v>103</v>
      </c>
      <c r="C49" s="3" t="s">
        <v>104</v>
      </c>
    </row>
    <row r="50" spans="1:3">
      <c r="A50" s="3" t="s">
        <v>50</v>
      </c>
      <c r="B50" s="3" t="s">
        <v>105</v>
      </c>
      <c r="C50" s="3" t="s">
        <v>106</v>
      </c>
    </row>
    <row r="51" spans="1:3">
      <c r="A51" s="3" t="s">
        <v>50</v>
      </c>
      <c r="B51" s="3" t="s">
        <v>107</v>
      </c>
      <c r="C51" s="3" t="s">
        <v>108</v>
      </c>
    </row>
    <row r="52" spans="1:3">
      <c r="A52" s="3" t="s">
        <v>50</v>
      </c>
      <c r="B52" s="3" t="s">
        <v>109</v>
      </c>
      <c r="C52" s="3" t="s">
        <v>110</v>
      </c>
    </row>
    <row r="53" spans="1:3">
      <c r="A53" s="3" t="s">
        <v>50</v>
      </c>
      <c r="B53" s="3" t="s">
        <v>111</v>
      </c>
      <c r="C53" s="3" t="s">
        <v>112</v>
      </c>
    </row>
    <row r="54" spans="1:3">
      <c r="A54" s="3" t="s">
        <v>50</v>
      </c>
      <c r="B54" s="3" t="s">
        <v>113</v>
      </c>
      <c r="C54" s="3" t="s">
        <v>114</v>
      </c>
    </row>
    <row r="55" spans="1:3">
      <c r="A55" s="3" t="s">
        <v>50</v>
      </c>
      <c r="B55" s="3" t="s">
        <v>115</v>
      </c>
      <c r="C55" s="3" t="s">
        <v>116</v>
      </c>
    </row>
    <row r="56" spans="1:3">
      <c r="A56" s="3" t="s">
        <v>50</v>
      </c>
      <c r="B56" s="3" t="s">
        <v>117</v>
      </c>
      <c r="C56" s="3" t="s">
        <v>118</v>
      </c>
    </row>
    <row r="57" spans="1:3">
      <c r="A57" s="3" t="s">
        <v>50</v>
      </c>
      <c r="B57" s="3" t="s">
        <v>119</v>
      </c>
      <c r="C57" s="3" t="s">
        <v>120</v>
      </c>
    </row>
    <row r="58" spans="1:3">
      <c r="A58" s="3" t="s">
        <v>50</v>
      </c>
      <c r="B58" s="3" t="s">
        <v>121</v>
      </c>
      <c r="C58" s="3" t="s">
        <v>122</v>
      </c>
    </row>
    <row r="59" spans="1:3">
      <c r="A59" s="3" t="s">
        <v>50</v>
      </c>
      <c r="B59" s="3" t="s">
        <v>123</v>
      </c>
      <c r="C59" s="3" t="s">
        <v>124</v>
      </c>
    </row>
    <row r="60" spans="1:3">
      <c r="A60" s="3" t="s">
        <v>50</v>
      </c>
      <c r="B60" s="3" t="s">
        <v>125</v>
      </c>
      <c r="C60" s="3" t="s">
        <v>126</v>
      </c>
    </row>
    <row r="61" spans="1:3">
      <c r="A61" s="3" t="s">
        <v>127</v>
      </c>
      <c r="B61" s="3" t="s">
        <v>128</v>
      </c>
      <c r="C61" s="3" t="s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6A0A-A515-4CC5-9C03-12F48CB4D829}">
  <dimension ref="A1:O299"/>
  <sheetViews>
    <sheetView workbookViewId="0">
      <pane ySplit="1" topLeftCell="A217" activePane="bottomLeft" state="frozen"/>
      <selection pane="bottomLeft"/>
    </sheetView>
  </sheetViews>
  <sheetFormatPr defaultRowHeight="15"/>
  <cols>
    <col min="1" max="1" width="8.7109375" bestFit="1" customWidth="1"/>
    <col min="2" max="2" width="18.5703125" bestFit="1" customWidth="1"/>
    <col min="3" max="3" width="12.5703125" bestFit="1" customWidth="1"/>
    <col min="4" max="4" width="23.5703125" bestFit="1" customWidth="1"/>
    <col min="5" max="5" width="11.7109375" bestFit="1" customWidth="1"/>
    <col min="6" max="6" width="10.5703125" bestFit="1" customWidth="1"/>
    <col min="7" max="7" width="15" bestFit="1" customWidth="1"/>
    <col min="8" max="8" width="12" bestFit="1" customWidth="1"/>
    <col min="9" max="9" width="11.7109375" bestFit="1" customWidth="1"/>
    <col min="10" max="10" width="16.85546875" customWidth="1"/>
    <col min="11" max="11" width="16.7109375" customWidth="1"/>
    <col min="12" max="12" width="11.7109375" bestFit="1" customWidth="1"/>
    <col min="13" max="13" width="21.5703125" bestFit="1" customWidth="1"/>
    <col min="14" max="14" width="19" bestFit="1" customWidth="1"/>
    <col min="15" max="15" width="11.28515625" bestFit="1" customWidth="1"/>
  </cols>
  <sheetData>
    <row r="1" spans="1:15" ht="30" customHeight="1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  <c r="J1" s="2" t="s">
        <v>139</v>
      </c>
      <c r="K1" s="2" t="s">
        <v>140</v>
      </c>
      <c r="L1" s="2" t="s">
        <v>141</v>
      </c>
      <c r="M1" s="2" t="s">
        <v>142</v>
      </c>
      <c r="N1" s="2" t="s">
        <v>143</v>
      </c>
      <c r="O1" s="2" t="s">
        <v>144</v>
      </c>
    </row>
    <row r="2" spans="1:15">
      <c r="A2" s="1" t="s">
        <v>145</v>
      </c>
      <c r="B2" s="1" t="s">
        <v>146</v>
      </c>
      <c r="C2" s="1" t="s">
        <v>147</v>
      </c>
      <c r="D2" s="1" t="s">
        <v>148</v>
      </c>
      <c r="E2" s="1" t="s">
        <v>149</v>
      </c>
      <c r="F2" s="6">
        <v>8</v>
      </c>
      <c r="G2" s="6">
        <v>6944</v>
      </c>
      <c r="H2" s="6">
        <v>4872</v>
      </c>
      <c r="I2" s="6">
        <f>G2-H2</f>
        <v>2072</v>
      </c>
      <c r="J2" s="7">
        <f>IF(G2=0,0,H2/G2)</f>
        <v>0.70161290322580649</v>
      </c>
      <c r="K2" s="6">
        <f>ROUNDDOWN(I2/F2,0)</f>
        <v>259</v>
      </c>
      <c r="L2" s="8" t="str">
        <f>IF(J2&gt;0.97,"Sold Out",IF(J2&gt;=0.85,"Critical",IF(J2&gt;=0.7,"Constrained","Healthy")))</f>
        <v>Constrained</v>
      </c>
      <c r="M2" s="8" t="s">
        <v>150</v>
      </c>
      <c r="N2" s="8" t="str">
        <f>IF(M2="None","No","Yes")</f>
        <v>Yes</v>
      </c>
      <c r="O2" s="9">
        <v>46280</v>
      </c>
    </row>
    <row r="3" spans="1:15">
      <c r="A3" s="1" t="s">
        <v>151</v>
      </c>
      <c r="B3" s="1" t="s">
        <v>146</v>
      </c>
      <c r="C3" s="1" t="s">
        <v>147</v>
      </c>
      <c r="D3" s="1" t="s">
        <v>152</v>
      </c>
      <c r="E3" s="1" t="s">
        <v>149</v>
      </c>
      <c r="F3" s="6">
        <v>16</v>
      </c>
      <c r="G3" s="6">
        <v>4080</v>
      </c>
      <c r="H3" s="6">
        <v>3024</v>
      </c>
      <c r="I3" s="6">
        <f>G3-H3</f>
        <v>1056</v>
      </c>
      <c r="J3" s="7">
        <f>IF(G3=0,0,H3/G3)</f>
        <v>0.74117647058823533</v>
      </c>
      <c r="K3" s="6">
        <f>ROUNDDOWN(I3/F3,0)</f>
        <v>66</v>
      </c>
      <c r="L3" s="8" t="str">
        <f>IF(J3&gt;0.97,"Sold Out",IF(J3&gt;=0.85,"Critical",IF(J3&gt;=0.7,"Constrained","Healthy")))</f>
        <v>Constrained</v>
      </c>
      <c r="M3" s="8" t="s">
        <v>153</v>
      </c>
      <c r="N3" s="8" t="str">
        <f>IF(M3="None","No","Yes")</f>
        <v>No</v>
      </c>
      <c r="O3" s="9">
        <v>46280</v>
      </c>
    </row>
    <row r="4" spans="1:15">
      <c r="A4" s="1" t="s">
        <v>154</v>
      </c>
      <c r="B4" s="1" t="s">
        <v>146</v>
      </c>
      <c r="C4" s="1" t="s">
        <v>147</v>
      </c>
      <c r="D4" s="1" t="s">
        <v>155</v>
      </c>
      <c r="E4" s="1" t="s">
        <v>149</v>
      </c>
      <c r="F4" s="6">
        <v>32</v>
      </c>
      <c r="G4" s="6">
        <v>18016</v>
      </c>
      <c r="H4" s="6">
        <v>13280</v>
      </c>
      <c r="I4" s="6">
        <f>G4-H4</f>
        <v>4736</v>
      </c>
      <c r="J4" s="7">
        <f>IF(G4=0,0,H4/G4)</f>
        <v>0.7371225577264654</v>
      </c>
      <c r="K4" s="6">
        <f>ROUNDDOWN(I4/F4,0)</f>
        <v>148</v>
      </c>
      <c r="L4" s="8" t="str">
        <f>IF(J4&gt;0.97,"Sold Out",IF(J4&gt;=0.85,"Critical",IF(J4&gt;=0.7,"Constrained","Healthy")))</f>
        <v>Constrained</v>
      </c>
      <c r="M4" s="8" t="s">
        <v>153</v>
      </c>
      <c r="N4" s="8" t="str">
        <f>IF(M4="None","No","Yes")</f>
        <v>No</v>
      </c>
      <c r="O4" s="9">
        <v>46280</v>
      </c>
    </row>
    <row r="5" spans="1:15">
      <c r="A5" s="1" t="s">
        <v>156</v>
      </c>
      <c r="B5" s="1" t="s">
        <v>146</v>
      </c>
      <c r="C5" s="1" t="s">
        <v>147</v>
      </c>
      <c r="D5" s="1" t="s">
        <v>157</v>
      </c>
      <c r="E5" s="1" t="s">
        <v>149</v>
      </c>
      <c r="F5" s="6">
        <v>64</v>
      </c>
      <c r="G5" s="6">
        <v>11136</v>
      </c>
      <c r="H5" s="6">
        <v>5312</v>
      </c>
      <c r="I5" s="6">
        <f>G5-H5</f>
        <v>5824</v>
      </c>
      <c r="J5" s="7">
        <f>IF(G5=0,0,H5/G5)</f>
        <v>0.47701149425287354</v>
      </c>
      <c r="K5" s="6">
        <f>ROUNDDOWN(I5/F5,0)</f>
        <v>91</v>
      </c>
      <c r="L5" s="8" t="str">
        <f>IF(J5&gt;0.97,"Sold Out",IF(J5&gt;=0.85,"Critical",IF(J5&gt;=0.7,"Constrained","Healthy")))</f>
        <v>Healthy</v>
      </c>
      <c r="M5" s="8" t="s">
        <v>153</v>
      </c>
      <c r="N5" s="8" t="str">
        <f>IF(M5="None","No","Yes")</f>
        <v>No</v>
      </c>
      <c r="O5" s="9">
        <v>46280</v>
      </c>
    </row>
    <row r="6" spans="1:15">
      <c r="A6" s="1" t="s">
        <v>158</v>
      </c>
      <c r="B6" s="1" t="s">
        <v>146</v>
      </c>
      <c r="C6" s="1" t="s">
        <v>147</v>
      </c>
      <c r="D6" s="1" t="s">
        <v>159</v>
      </c>
      <c r="E6" s="1" t="s">
        <v>160</v>
      </c>
      <c r="F6" s="6">
        <v>16</v>
      </c>
      <c r="G6" s="6">
        <v>5008</v>
      </c>
      <c r="H6" s="6">
        <v>3680</v>
      </c>
      <c r="I6" s="6">
        <f>G6-H6</f>
        <v>1328</v>
      </c>
      <c r="J6" s="7">
        <f>IF(G6=0,0,H6/G6)</f>
        <v>0.73482428115015974</v>
      </c>
      <c r="K6" s="6">
        <f>ROUNDDOWN(I6/F6,0)</f>
        <v>83</v>
      </c>
      <c r="L6" s="8" t="str">
        <f>IF(J6&gt;0.97,"Sold Out",IF(J6&gt;=0.85,"Critical",IF(J6&gt;=0.7,"Constrained","Healthy")))</f>
        <v>Constrained</v>
      </c>
      <c r="M6" s="8" t="s">
        <v>150</v>
      </c>
      <c r="N6" s="8" t="str">
        <f>IF(M6="None","No","Yes")</f>
        <v>Yes</v>
      </c>
      <c r="O6" s="9">
        <v>46280</v>
      </c>
    </row>
    <row r="7" spans="1:15">
      <c r="A7" s="1" t="s">
        <v>161</v>
      </c>
      <c r="B7" s="1" t="s">
        <v>146</v>
      </c>
      <c r="C7" s="1" t="s">
        <v>147</v>
      </c>
      <c r="D7" s="1" t="s">
        <v>162</v>
      </c>
      <c r="E7" s="1" t="s">
        <v>163</v>
      </c>
      <c r="F7" s="6">
        <v>32</v>
      </c>
      <c r="G7" s="6">
        <v>9824</v>
      </c>
      <c r="H7" s="6">
        <v>4384</v>
      </c>
      <c r="I7" s="6">
        <f>G7-H7</f>
        <v>5440</v>
      </c>
      <c r="J7" s="7">
        <f>IF(G7=0,0,H7/G7)</f>
        <v>0.44625407166123776</v>
      </c>
      <c r="K7" s="6">
        <f>ROUNDDOWN(I7/F7,0)</f>
        <v>170</v>
      </c>
      <c r="L7" s="8" t="str">
        <f>IF(J7&gt;0.97,"Sold Out",IF(J7&gt;=0.85,"Critical",IF(J7&gt;=0.7,"Constrained","Healthy")))</f>
        <v>Healthy</v>
      </c>
      <c r="M7" s="8" t="s">
        <v>153</v>
      </c>
      <c r="N7" s="8" t="str">
        <f>IF(M7="None","No","Yes")</f>
        <v>No</v>
      </c>
      <c r="O7" s="9">
        <v>46280</v>
      </c>
    </row>
    <row r="8" spans="1:15">
      <c r="A8" s="1" t="s">
        <v>164</v>
      </c>
      <c r="B8" s="1" t="s">
        <v>146</v>
      </c>
      <c r="C8" s="1" t="s">
        <v>147</v>
      </c>
      <c r="D8" s="1" t="s">
        <v>165</v>
      </c>
      <c r="E8" s="1" t="s">
        <v>163</v>
      </c>
      <c r="F8" s="6">
        <v>64</v>
      </c>
      <c r="G8" s="6">
        <v>11904</v>
      </c>
      <c r="H8" s="6">
        <v>11776</v>
      </c>
      <c r="I8" s="6">
        <f>G8-H8</f>
        <v>128</v>
      </c>
      <c r="J8" s="7">
        <f>IF(G8=0,0,H8/G8)</f>
        <v>0.989247311827957</v>
      </c>
      <c r="K8" s="6">
        <f>ROUNDDOWN(I8/F8,0)</f>
        <v>2</v>
      </c>
      <c r="L8" s="8" t="str">
        <f>IF(J8&gt;0.97,"Sold Out",IF(J8&gt;=0.85,"Critical",IF(J8&gt;=0.7,"Constrained","Healthy")))</f>
        <v>Sold Out</v>
      </c>
      <c r="M8" s="8" t="s">
        <v>166</v>
      </c>
      <c r="N8" s="8" t="str">
        <f>IF(M8="None","No","Yes")</f>
        <v>Yes</v>
      </c>
      <c r="O8" s="9">
        <v>46280</v>
      </c>
    </row>
    <row r="9" spans="1:15">
      <c r="A9" s="1" t="s">
        <v>167</v>
      </c>
      <c r="B9" s="1" t="s">
        <v>146</v>
      </c>
      <c r="C9" s="1" t="s">
        <v>147</v>
      </c>
      <c r="D9" s="1" t="s">
        <v>168</v>
      </c>
      <c r="E9" s="1" t="s">
        <v>169</v>
      </c>
      <c r="F9" s="6">
        <v>32</v>
      </c>
      <c r="G9" s="6">
        <v>28416</v>
      </c>
      <c r="H9" s="6">
        <v>17632</v>
      </c>
      <c r="I9" s="6">
        <f>G9-H9</f>
        <v>10784</v>
      </c>
      <c r="J9" s="7">
        <f>IF(G9=0,0,H9/G9)</f>
        <v>0.62049549549549554</v>
      </c>
      <c r="K9" s="6">
        <f>ROUNDDOWN(I9/F9,0)</f>
        <v>337</v>
      </c>
      <c r="L9" s="8" t="str">
        <f>IF(J9&gt;0.97,"Sold Out",IF(J9&gt;=0.85,"Critical",IF(J9&gt;=0.7,"Constrained","Healthy")))</f>
        <v>Healthy</v>
      </c>
      <c r="M9" s="8" t="s">
        <v>153</v>
      </c>
      <c r="N9" s="8" t="str">
        <f>IF(M9="None","No","Yes")</f>
        <v>No</v>
      </c>
      <c r="O9" s="9">
        <v>46280</v>
      </c>
    </row>
    <row r="10" spans="1:15">
      <c r="A10" s="1" t="s">
        <v>170</v>
      </c>
      <c r="B10" s="1" t="s">
        <v>146</v>
      </c>
      <c r="C10" s="1" t="s">
        <v>147</v>
      </c>
      <c r="D10" s="1" t="s">
        <v>171</v>
      </c>
      <c r="E10" s="1" t="s">
        <v>172</v>
      </c>
      <c r="F10" s="6">
        <v>16</v>
      </c>
      <c r="G10" s="6">
        <v>4352</v>
      </c>
      <c r="H10" s="6">
        <v>2144</v>
      </c>
      <c r="I10" s="6">
        <f>G10-H10</f>
        <v>2208</v>
      </c>
      <c r="J10" s="7">
        <f>IF(G10=0,0,H10/G10)</f>
        <v>0.49264705882352944</v>
      </c>
      <c r="K10" s="6">
        <f>ROUNDDOWN(I10/F10,0)</f>
        <v>138</v>
      </c>
      <c r="L10" s="8" t="str">
        <f>IF(J10&gt;0.97,"Sold Out",IF(J10&gt;=0.85,"Critical",IF(J10&gt;=0.7,"Constrained","Healthy")))</f>
        <v>Healthy</v>
      </c>
      <c r="M10" s="8" t="s">
        <v>153</v>
      </c>
      <c r="N10" s="8" t="str">
        <f>IF(M10="None","No","Yes")</f>
        <v>No</v>
      </c>
      <c r="O10" s="9">
        <v>46280</v>
      </c>
    </row>
    <row r="11" spans="1:15">
      <c r="A11" s="1" t="s">
        <v>173</v>
      </c>
      <c r="B11" s="1" t="s">
        <v>146</v>
      </c>
      <c r="C11" s="1" t="s">
        <v>147</v>
      </c>
      <c r="D11" s="1" t="s">
        <v>174</v>
      </c>
      <c r="E11" s="1" t="s">
        <v>175</v>
      </c>
      <c r="F11" s="6">
        <v>128</v>
      </c>
      <c r="G11" s="6">
        <v>3072</v>
      </c>
      <c r="H11" s="6">
        <v>3072</v>
      </c>
      <c r="I11" s="6">
        <f>G11-H11</f>
        <v>0</v>
      </c>
      <c r="J11" s="7">
        <f>IF(G11=0,0,H11/G11)</f>
        <v>1</v>
      </c>
      <c r="K11" s="6">
        <f>ROUNDDOWN(I11/F11,0)</f>
        <v>0</v>
      </c>
      <c r="L11" s="8" t="str">
        <f>IF(J11&gt;0.97,"Sold Out",IF(J11&gt;=0.85,"Critical",IF(J11&gt;=0.7,"Constrained","Healthy")))</f>
        <v>Sold Out</v>
      </c>
      <c r="M11" s="8" t="s">
        <v>166</v>
      </c>
      <c r="N11" s="8" t="str">
        <f>IF(M11="None","No","Yes")</f>
        <v>Yes</v>
      </c>
      <c r="O11" s="9">
        <v>46280</v>
      </c>
    </row>
    <row r="12" spans="1:15">
      <c r="A12" s="1" t="s">
        <v>176</v>
      </c>
      <c r="B12" s="1" t="s">
        <v>146</v>
      </c>
      <c r="C12" s="1" t="s">
        <v>147</v>
      </c>
      <c r="D12" s="1" t="s">
        <v>177</v>
      </c>
      <c r="E12" s="1" t="s">
        <v>178</v>
      </c>
      <c r="F12" s="6">
        <v>16</v>
      </c>
      <c r="G12" s="6">
        <v>4192</v>
      </c>
      <c r="H12" s="6">
        <v>2000</v>
      </c>
      <c r="I12" s="6">
        <f>G12-H12</f>
        <v>2192</v>
      </c>
      <c r="J12" s="7">
        <f>IF(G12=0,0,H12/G12)</f>
        <v>0.47709923664122139</v>
      </c>
      <c r="K12" s="6">
        <f>ROUNDDOWN(I12/F12,0)</f>
        <v>137</v>
      </c>
      <c r="L12" s="8" t="str">
        <f>IF(J12&gt;0.97,"Sold Out",IF(J12&gt;=0.85,"Critical",IF(J12&gt;=0.7,"Constrained","Healthy")))</f>
        <v>Healthy</v>
      </c>
      <c r="M12" s="8" t="s">
        <v>153</v>
      </c>
      <c r="N12" s="8" t="str">
        <f>IF(M12="None","No","Yes")</f>
        <v>No</v>
      </c>
      <c r="O12" s="9">
        <v>46280</v>
      </c>
    </row>
    <row r="13" spans="1:15">
      <c r="A13" s="1" t="s">
        <v>179</v>
      </c>
      <c r="B13" s="1" t="s">
        <v>146</v>
      </c>
      <c r="C13" s="1" t="s">
        <v>147</v>
      </c>
      <c r="D13" s="1" t="s">
        <v>180</v>
      </c>
      <c r="E13" s="1" t="s">
        <v>181</v>
      </c>
      <c r="F13" s="6">
        <v>32</v>
      </c>
      <c r="G13" s="6">
        <v>14912</v>
      </c>
      <c r="H13" s="6">
        <v>11392</v>
      </c>
      <c r="I13" s="6">
        <f>G13-H13</f>
        <v>3520</v>
      </c>
      <c r="J13" s="7">
        <f>IF(G13=0,0,H13/G13)</f>
        <v>0.76394849785407726</v>
      </c>
      <c r="K13" s="6">
        <f>ROUNDDOWN(I13/F13,0)</f>
        <v>110</v>
      </c>
      <c r="L13" s="8" t="str">
        <f>IF(J13&gt;0.97,"Sold Out",IF(J13&gt;=0.85,"Critical",IF(J13&gt;=0.7,"Constrained","Healthy")))</f>
        <v>Constrained</v>
      </c>
      <c r="M13" s="8" t="s">
        <v>153</v>
      </c>
      <c r="N13" s="8" t="str">
        <f>IF(M13="None","No","Yes")</f>
        <v>No</v>
      </c>
      <c r="O13" s="9">
        <v>46280</v>
      </c>
    </row>
    <row r="14" spans="1:15">
      <c r="A14" s="1" t="s">
        <v>182</v>
      </c>
      <c r="B14" s="1" t="s">
        <v>146</v>
      </c>
      <c r="C14" s="1" t="s">
        <v>147</v>
      </c>
      <c r="D14" s="1" t="s">
        <v>183</v>
      </c>
      <c r="E14" s="1" t="s">
        <v>184</v>
      </c>
      <c r="F14" s="6">
        <v>176</v>
      </c>
      <c r="G14" s="6">
        <v>2992</v>
      </c>
      <c r="H14" s="6">
        <v>1408</v>
      </c>
      <c r="I14" s="6">
        <f>G14-H14</f>
        <v>1584</v>
      </c>
      <c r="J14" s="7">
        <f>IF(G14=0,0,H14/G14)</f>
        <v>0.47058823529411764</v>
      </c>
      <c r="K14" s="6">
        <f>ROUNDDOWN(I14/F14,0)</f>
        <v>9</v>
      </c>
      <c r="L14" s="8" t="str">
        <f>IF(J14&gt;0.97,"Sold Out",IF(J14&gt;=0.85,"Critical",IF(J14&gt;=0.7,"Constrained","Healthy")))</f>
        <v>Healthy</v>
      </c>
      <c r="M14" s="8" t="s">
        <v>153</v>
      </c>
      <c r="N14" s="8" t="str">
        <f>IF(M14="None","No","Yes")</f>
        <v>No</v>
      </c>
      <c r="O14" s="9">
        <v>46280</v>
      </c>
    </row>
    <row r="15" spans="1:15">
      <c r="A15" s="1" t="s">
        <v>185</v>
      </c>
      <c r="B15" s="1" t="s">
        <v>146</v>
      </c>
      <c r="C15" s="1" t="s">
        <v>147</v>
      </c>
      <c r="D15" s="1" t="s">
        <v>186</v>
      </c>
      <c r="E15" s="1" t="s">
        <v>187</v>
      </c>
      <c r="F15" s="6">
        <v>24</v>
      </c>
      <c r="G15" s="6">
        <v>504</v>
      </c>
      <c r="H15" s="6">
        <v>456</v>
      </c>
      <c r="I15" s="6">
        <f>G15-H15</f>
        <v>48</v>
      </c>
      <c r="J15" s="7">
        <f>IF(G15=0,0,H15/G15)</f>
        <v>0.90476190476190477</v>
      </c>
      <c r="K15" s="6">
        <f>ROUNDDOWN(I15/F15,0)</f>
        <v>2</v>
      </c>
      <c r="L15" s="8" t="str">
        <f>IF(J15&gt;0.97,"Sold Out",IF(J15&gt;=0.85,"Critical",IF(J15&gt;=0.7,"Constrained","Healthy")))</f>
        <v>Critical</v>
      </c>
      <c r="M15" s="8" t="s">
        <v>150</v>
      </c>
      <c r="N15" s="8" t="str">
        <f>IF(M15="None","No","Yes")</f>
        <v>Yes</v>
      </c>
      <c r="O15" s="9">
        <v>46280</v>
      </c>
    </row>
    <row r="16" spans="1:15">
      <c r="A16" s="1" t="s">
        <v>188</v>
      </c>
      <c r="B16" s="1" t="s">
        <v>146</v>
      </c>
      <c r="C16" s="1" t="s">
        <v>147</v>
      </c>
      <c r="D16" s="1" t="s">
        <v>189</v>
      </c>
      <c r="E16" s="1" t="s">
        <v>190</v>
      </c>
      <c r="F16" s="6">
        <v>96</v>
      </c>
      <c r="G16" s="6">
        <v>2208</v>
      </c>
      <c r="H16" s="6">
        <v>2016</v>
      </c>
      <c r="I16" s="6">
        <f>G16-H16</f>
        <v>192</v>
      </c>
      <c r="J16" s="7">
        <f>IF(G16=0,0,H16/G16)</f>
        <v>0.91304347826086951</v>
      </c>
      <c r="K16" s="6">
        <f>ROUNDDOWN(I16/F16,0)</f>
        <v>2</v>
      </c>
      <c r="L16" s="8" t="str">
        <f>IF(J16&gt;0.97,"Sold Out",IF(J16&gt;=0.85,"Critical",IF(J16&gt;=0.7,"Constrained","Healthy")))</f>
        <v>Critical</v>
      </c>
      <c r="M16" s="8" t="s">
        <v>191</v>
      </c>
      <c r="N16" s="8" t="str">
        <f>IF(M16="None","No","Yes")</f>
        <v>Yes</v>
      </c>
      <c r="O16" s="9">
        <v>46280</v>
      </c>
    </row>
    <row r="17" spans="1:15">
      <c r="A17" s="1" t="s">
        <v>192</v>
      </c>
      <c r="B17" s="1" t="s">
        <v>146</v>
      </c>
      <c r="C17" s="1" t="s">
        <v>147</v>
      </c>
      <c r="D17" s="1" t="s">
        <v>193</v>
      </c>
      <c r="E17" s="1" t="s">
        <v>194</v>
      </c>
      <c r="F17" s="6">
        <v>40</v>
      </c>
      <c r="G17" s="6">
        <v>1720</v>
      </c>
      <c r="H17" s="6">
        <v>1680</v>
      </c>
      <c r="I17" s="6">
        <f>G17-H17</f>
        <v>40</v>
      </c>
      <c r="J17" s="7">
        <f>IF(G17=0,0,H17/G17)</f>
        <v>0.97674418604651159</v>
      </c>
      <c r="K17" s="6">
        <f>ROUNDDOWN(I17/F17,0)</f>
        <v>1</v>
      </c>
      <c r="L17" s="8" t="str">
        <f>IF(J17&gt;0.97,"Sold Out",IF(J17&gt;=0.85,"Critical",IF(J17&gt;=0.7,"Constrained","Healthy")))</f>
        <v>Sold Out</v>
      </c>
      <c r="M17" s="8" t="s">
        <v>166</v>
      </c>
      <c r="N17" s="8" t="str">
        <f>IF(M17="None","No","Yes")</f>
        <v>Yes</v>
      </c>
      <c r="O17" s="9">
        <v>46280</v>
      </c>
    </row>
    <row r="18" spans="1:15">
      <c r="A18" s="1" t="s">
        <v>195</v>
      </c>
      <c r="B18" s="1" t="s">
        <v>146</v>
      </c>
      <c r="C18" s="1" t="s">
        <v>196</v>
      </c>
      <c r="D18" s="1" t="s">
        <v>148</v>
      </c>
      <c r="E18" s="1" t="s">
        <v>149</v>
      </c>
      <c r="F18" s="6">
        <v>8</v>
      </c>
      <c r="G18" s="6">
        <v>4528</v>
      </c>
      <c r="H18" s="6">
        <v>2640</v>
      </c>
      <c r="I18" s="6">
        <f>G18-H18</f>
        <v>1888</v>
      </c>
      <c r="J18" s="7">
        <f>IF(G18=0,0,H18/G18)</f>
        <v>0.58303886925795056</v>
      </c>
      <c r="K18" s="6">
        <f>ROUNDDOWN(I18/F18,0)</f>
        <v>236</v>
      </c>
      <c r="L18" s="8" t="str">
        <f>IF(J18&gt;0.97,"Sold Out",IF(J18&gt;=0.85,"Critical",IF(J18&gt;=0.7,"Constrained","Healthy")))</f>
        <v>Healthy</v>
      </c>
      <c r="M18" s="8" t="s">
        <v>153</v>
      </c>
      <c r="N18" s="8" t="str">
        <f>IF(M18="None","No","Yes")</f>
        <v>No</v>
      </c>
      <c r="O18" s="9">
        <v>46280</v>
      </c>
    </row>
    <row r="19" spans="1:15">
      <c r="A19" s="1" t="s">
        <v>197</v>
      </c>
      <c r="B19" s="1" t="s">
        <v>146</v>
      </c>
      <c r="C19" s="1" t="s">
        <v>196</v>
      </c>
      <c r="D19" s="1" t="s">
        <v>152</v>
      </c>
      <c r="E19" s="1" t="s">
        <v>149</v>
      </c>
      <c r="F19" s="6">
        <v>16</v>
      </c>
      <c r="G19" s="6">
        <v>2848</v>
      </c>
      <c r="H19" s="6">
        <v>1536</v>
      </c>
      <c r="I19" s="6">
        <f>G19-H19</f>
        <v>1312</v>
      </c>
      <c r="J19" s="7">
        <f>IF(G19=0,0,H19/G19)</f>
        <v>0.5393258426966292</v>
      </c>
      <c r="K19" s="6">
        <f>ROUNDDOWN(I19/F19,0)</f>
        <v>82</v>
      </c>
      <c r="L19" s="8" t="str">
        <f>IF(J19&gt;0.97,"Sold Out",IF(J19&gt;=0.85,"Critical",IF(J19&gt;=0.7,"Constrained","Healthy")))</f>
        <v>Healthy</v>
      </c>
      <c r="M19" s="8" t="s">
        <v>153</v>
      </c>
      <c r="N19" s="8" t="str">
        <f>IF(M19="None","No","Yes")</f>
        <v>No</v>
      </c>
      <c r="O19" s="9">
        <v>46280</v>
      </c>
    </row>
    <row r="20" spans="1:15">
      <c r="A20" s="1" t="s">
        <v>198</v>
      </c>
      <c r="B20" s="1" t="s">
        <v>146</v>
      </c>
      <c r="C20" s="1" t="s">
        <v>196</v>
      </c>
      <c r="D20" s="1" t="s">
        <v>155</v>
      </c>
      <c r="E20" s="1" t="s">
        <v>149</v>
      </c>
      <c r="F20" s="6">
        <v>32</v>
      </c>
      <c r="G20" s="6">
        <v>14656</v>
      </c>
      <c r="H20" s="6">
        <v>10912</v>
      </c>
      <c r="I20" s="6">
        <f>G20-H20</f>
        <v>3744</v>
      </c>
      <c r="J20" s="7">
        <f>IF(G20=0,0,H20/G20)</f>
        <v>0.74454148471615722</v>
      </c>
      <c r="K20" s="6">
        <f>ROUNDDOWN(I20/F20,0)</f>
        <v>117</v>
      </c>
      <c r="L20" s="8" t="str">
        <f>IF(J20&gt;0.97,"Sold Out",IF(J20&gt;=0.85,"Critical",IF(J20&gt;=0.7,"Constrained","Healthy")))</f>
        <v>Constrained</v>
      </c>
      <c r="M20" s="8" t="s">
        <v>153</v>
      </c>
      <c r="N20" s="8" t="str">
        <f>IF(M20="None","No","Yes")</f>
        <v>No</v>
      </c>
      <c r="O20" s="9">
        <v>46280</v>
      </c>
    </row>
    <row r="21" spans="1:15">
      <c r="A21" s="1" t="s">
        <v>199</v>
      </c>
      <c r="B21" s="1" t="s">
        <v>146</v>
      </c>
      <c r="C21" s="1" t="s">
        <v>196</v>
      </c>
      <c r="D21" s="1" t="s">
        <v>157</v>
      </c>
      <c r="E21" s="1" t="s">
        <v>149</v>
      </c>
      <c r="F21" s="6">
        <v>64</v>
      </c>
      <c r="G21" s="6">
        <v>5696</v>
      </c>
      <c r="H21" s="6">
        <v>4032</v>
      </c>
      <c r="I21" s="6">
        <f>G21-H21</f>
        <v>1664</v>
      </c>
      <c r="J21" s="7">
        <f>IF(G21=0,0,H21/G21)</f>
        <v>0.7078651685393258</v>
      </c>
      <c r="K21" s="6">
        <f>ROUNDDOWN(I21/F21,0)</f>
        <v>26</v>
      </c>
      <c r="L21" s="8" t="str">
        <f>IF(J21&gt;0.97,"Sold Out",IF(J21&gt;=0.85,"Critical",IF(J21&gt;=0.7,"Constrained","Healthy")))</f>
        <v>Constrained</v>
      </c>
      <c r="M21" s="8" t="s">
        <v>150</v>
      </c>
      <c r="N21" s="8" t="str">
        <f>IF(M21="None","No","Yes")</f>
        <v>Yes</v>
      </c>
      <c r="O21" s="9">
        <v>46280</v>
      </c>
    </row>
    <row r="22" spans="1:15">
      <c r="A22" s="1" t="s">
        <v>200</v>
      </c>
      <c r="B22" s="1" t="s">
        <v>146</v>
      </c>
      <c r="C22" s="1" t="s">
        <v>196</v>
      </c>
      <c r="D22" s="1" t="s">
        <v>159</v>
      </c>
      <c r="E22" s="1" t="s">
        <v>160</v>
      </c>
      <c r="F22" s="6">
        <v>16</v>
      </c>
      <c r="G22" s="6">
        <v>4048</v>
      </c>
      <c r="H22" s="6">
        <v>3088</v>
      </c>
      <c r="I22" s="6">
        <f>G22-H22</f>
        <v>960</v>
      </c>
      <c r="J22" s="7">
        <f>IF(G22=0,0,H22/G22)</f>
        <v>0.76284584980237158</v>
      </c>
      <c r="K22" s="6">
        <f>ROUNDDOWN(I22/F22,0)</f>
        <v>60</v>
      </c>
      <c r="L22" s="8" t="str">
        <f>IF(J22&gt;0.97,"Sold Out",IF(J22&gt;=0.85,"Critical",IF(J22&gt;=0.7,"Constrained","Healthy")))</f>
        <v>Constrained</v>
      </c>
      <c r="M22" s="8" t="s">
        <v>150</v>
      </c>
      <c r="N22" s="8" t="str">
        <f>IF(M22="None","No","Yes")</f>
        <v>Yes</v>
      </c>
      <c r="O22" s="9">
        <v>46280</v>
      </c>
    </row>
    <row r="23" spans="1:15">
      <c r="A23" s="1" t="s">
        <v>201</v>
      </c>
      <c r="B23" s="1" t="s">
        <v>146</v>
      </c>
      <c r="C23" s="1" t="s">
        <v>196</v>
      </c>
      <c r="D23" s="1" t="s">
        <v>162</v>
      </c>
      <c r="E23" s="1" t="s">
        <v>163</v>
      </c>
      <c r="F23" s="6">
        <v>32</v>
      </c>
      <c r="G23" s="6">
        <v>16736</v>
      </c>
      <c r="H23" s="6">
        <v>12032</v>
      </c>
      <c r="I23" s="6">
        <f>G23-H23</f>
        <v>4704</v>
      </c>
      <c r="J23" s="7">
        <f>IF(G23=0,0,H23/G23)</f>
        <v>0.7189292543021033</v>
      </c>
      <c r="K23" s="6">
        <f>ROUNDDOWN(I23/F23,0)</f>
        <v>147</v>
      </c>
      <c r="L23" s="8" t="str">
        <f>IF(J23&gt;0.97,"Sold Out",IF(J23&gt;=0.85,"Critical",IF(J23&gt;=0.7,"Constrained","Healthy")))</f>
        <v>Constrained</v>
      </c>
      <c r="M23" s="8" t="s">
        <v>150</v>
      </c>
      <c r="N23" s="8" t="str">
        <f>IF(M23="None","No","Yes")</f>
        <v>Yes</v>
      </c>
      <c r="O23" s="9">
        <v>46280</v>
      </c>
    </row>
    <row r="24" spans="1:15">
      <c r="A24" s="1" t="s">
        <v>202</v>
      </c>
      <c r="B24" s="1" t="s">
        <v>146</v>
      </c>
      <c r="C24" s="1" t="s">
        <v>196</v>
      </c>
      <c r="D24" s="1" t="s">
        <v>165</v>
      </c>
      <c r="E24" s="1" t="s">
        <v>163</v>
      </c>
      <c r="F24" s="6">
        <v>64</v>
      </c>
      <c r="G24" s="6">
        <v>8320</v>
      </c>
      <c r="H24" s="6">
        <v>7424</v>
      </c>
      <c r="I24" s="6">
        <f>G24-H24</f>
        <v>896</v>
      </c>
      <c r="J24" s="7">
        <f>IF(G24=0,0,H24/G24)</f>
        <v>0.89230769230769236</v>
      </c>
      <c r="K24" s="6">
        <f>ROUNDDOWN(I24/F24,0)</f>
        <v>14</v>
      </c>
      <c r="L24" s="8" t="str">
        <f>IF(J24&gt;0.97,"Sold Out",IF(J24&gt;=0.85,"Critical",IF(J24&gt;=0.7,"Constrained","Healthy")))</f>
        <v>Critical</v>
      </c>
      <c r="M24" s="8" t="s">
        <v>150</v>
      </c>
      <c r="N24" s="8" t="str">
        <f>IF(M24="None","No","Yes")</f>
        <v>Yes</v>
      </c>
      <c r="O24" s="9">
        <v>46280</v>
      </c>
    </row>
    <row r="25" spans="1:15">
      <c r="A25" s="1" t="s">
        <v>203</v>
      </c>
      <c r="B25" s="1" t="s">
        <v>146</v>
      </c>
      <c r="C25" s="1" t="s">
        <v>196</v>
      </c>
      <c r="D25" s="1" t="s">
        <v>168</v>
      </c>
      <c r="E25" s="1" t="s">
        <v>169</v>
      </c>
      <c r="F25" s="6">
        <v>32</v>
      </c>
      <c r="G25" s="6">
        <v>17728</v>
      </c>
      <c r="H25" s="6">
        <v>11168</v>
      </c>
      <c r="I25" s="6">
        <f>G25-H25</f>
        <v>6560</v>
      </c>
      <c r="J25" s="7">
        <f>IF(G25=0,0,H25/G25)</f>
        <v>0.62996389891696747</v>
      </c>
      <c r="K25" s="6">
        <f>ROUNDDOWN(I25/F25,0)</f>
        <v>205</v>
      </c>
      <c r="L25" s="8" t="str">
        <f>IF(J25&gt;0.97,"Sold Out",IF(J25&gt;=0.85,"Critical",IF(J25&gt;=0.7,"Constrained","Healthy")))</f>
        <v>Healthy</v>
      </c>
      <c r="M25" s="8" t="s">
        <v>153</v>
      </c>
      <c r="N25" s="8" t="str">
        <f>IF(M25="None","No","Yes")</f>
        <v>No</v>
      </c>
      <c r="O25" s="9">
        <v>46280</v>
      </c>
    </row>
    <row r="26" spans="1:15">
      <c r="A26" s="1" t="s">
        <v>204</v>
      </c>
      <c r="B26" s="1" t="s">
        <v>146</v>
      </c>
      <c r="C26" s="1" t="s">
        <v>196</v>
      </c>
      <c r="D26" s="1" t="s">
        <v>174</v>
      </c>
      <c r="E26" s="1" t="s">
        <v>175</v>
      </c>
      <c r="F26" s="6">
        <v>128</v>
      </c>
      <c r="G26" s="6">
        <v>1920</v>
      </c>
      <c r="H26" s="6">
        <v>1920</v>
      </c>
      <c r="I26" s="6">
        <f>G26-H26</f>
        <v>0</v>
      </c>
      <c r="J26" s="7">
        <f>IF(G26=0,0,H26/G26)</f>
        <v>1</v>
      </c>
      <c r="K26" s="6">
        <f>ROUNDDOWN(I26/F26,0)</f>
        <v>0</v>
      </c>
      <c r="L26" s="8" t="str">
        <f>IF(J26&gt;0.97,"Sold Out",IF(J26&gt;=0.85,"Critical",IF(J26&gt;=0.7,"Constrained","Healthy")))</f>
        <v>Sold Out</v>
      </c>
      <c r="M26" s="8" t="s">
        <v>166</v>
      </c>
      <c r="N26" s="8" t="str">
        <f>IF(M26="None","No","Yes")</f>
        <v>Yes</v>
      </c>
      <c r="O26" s="9">
        <v>46280</v>
      </c>
    </row>
    <row r="27" spans="1:15">
      <c r="A27" s="1" t="s">
        <v>205</v>
      </c>
      <c r="B27" s="1" t="s">
        <v>146</v>
      </c>
      <c r="C27" s="1" t="s">
        <v>196</v>
      </c>
      <c r="D27" s="1" t="s">
        <v>177</v>
      </c>
      <c r="E27" s="1" t="s">
        <v>178</v>
      </c>
      <c r="F27" s="6">
        <v>16</v>
      </c>
      <c r="G27" s="6">
        <v>7296</v>
      </c>
      <c r="H27" s="6">
        <v>5008</v>
      </c>
      <c r="I27" s="6">
        <f>G27-H27</f>
        <v>2288</v>
      </c>
      <c r="J27" s="7">
        <f>IF(G27=0,0,H27/G27)</f>
        <v>0.68640350877192979</v>
      </c>
      <c r="K27" s="6">
        <f>ROUNDDOWN(I27/F27,0)</f>
        <v>143</v>
      </c>
      <c r="L27" s="8" t="str">
        <f>IF(J27&gt;0.97,"Sold Out",IF(J27&gt;=0.85,"Critical",IF(J27&gt;=0.7,"Constrained","Healthy")))</f>
        <v>Healthy</v>
      </c>
      <c r="M27" s="8" t="s">
        <v>153</v>
      </c>
      <c r="N27" s="8" t="str">
        <f>IF(M27="None","No","Yes")</f>
        <v>No</v>
      </c>
      <c r="O27" s="9">
        <v>46280</v>
      </c>
    </row>
    <row r="28" spans="1:15">
      <c r="A28" s="1" t="s">
        <v>206</v>
      </c>
      <c r="B28" s="1" t="s">
        <v>146</v>
      </c>
      <c r="C28" s="1" t="s">
        <v>196</v>
      </c>
      <c r="D28" s="1" t="s">
        <v>180</v>
      </c>
      <c r="E28" s="1" t="s">
        <v>181</v>
      </c>
      <c r="F28" s="6">
        <v>32</v>
      </c>
      <c r="G28" s="6">
        <v>12672</v>
      </c>
      <c r="H28" s="6">
        <v>9952</v>
      </c>
      <c r="I28" s="6">
        <f>G28-H28</f>
        <v>2720</v>
      </c>
      <c r="J28" s="7">
        <f>IF(G28=0,0,H28/G28)</f>
        <v>0.78535353535353536</v>
      </c>
      <c r="K28" s="6">
        <f>ROUNDDOWN(I28/F28,0)</f>
        <v>85</v>
      </c>
      <c r="L28" s="8" t="str">
        <f>IF(J28&gt;0.97,"Sold Out",IF(J28&gt;=0.85,"Critical",IF(J28&gt;=0.7,"Constrained","Healthy")))</f>
        <v>Constrained</v>
      </c>
      <c r="M28" s="8" t="s">
        <v>150</v>
      </c>
      <c r="N28" s="8" t="str">
        <f>IF(M28="None","No","Yes")</f>
        <v>Yes</v>
      </c>
      <c r="O28" s="9">
        <v>46280</v>
      </c>
    </row>
    <row r="29" spans="1:15">
      <c r="A29" s="1" t="s">
        <v>207</v>
      </c>
      <c r="B29" s="1" t="s">
        <v>146</v>
      </c>
      <c r="C29" s="1" t="s">
        <v>196</v>
      </c>
      <c r="D29" s="1" t="s">
        <v>183</v>
      </c>
      <c r="E29" s="1" t="s">
        <v>184</v>
      </c>
      <c r="F29" s="6">
        <v>176</v>
      </c>
      <c r="G29" s="6">
        <v>2816</v>
      </c>
      <c r="H29" s="6">
        <v>1760</v>
      </c>
      <c r="I29" s="6">
        <f>G29-H29</f>
        <v>1056</v>
      </c>
      <c r="J29" s="7">
        <f>IF(G29=0,0,H29/G29)</f>
        <v>0.625</v>
      </c>
      <c r="K29" s="6">
        <f>ROUNDDOWN(I29/F29,0)</f>
        <v>6</v>
      </c>
      <c r="L29" s="8" t="str">
        <f>IF(J29&gt;0.97,"Sold Out",IF(J29&gt;=0.85,"Critical",IF(J29&gt;=0.7,"Constrained","Healthy")))</f>
        <v>Healthy</v>
      </c>
      <c r="M29" s="8" t="s">
        <v>153</v>
      </c>
      <c r="N29" s="8" t="str">
        <f>IF(M29="None","No","Yes")</f>
        <v>No</v>
      </c>
      <c r="O29" s="9">
        <v>46280</v>
      </c>
    </row>
    <row r="30" spans="1:15">
      <c r="A30" s="1" t="s">
        <v>208</v>
      </c>
      <c r="B30" s="1" t="s">
        <v>146</v>
      </c>
      <c r="C30" s="1" t="s">
        <v>196</v>
      </c>
      <c r="D30" s="1" t="s">
        <v>186</v>
      </c>
      <c r="E30" s="1" t="s">
        <v>187</v>
      </c>
      <c r="F30" s="6">
        <v>24</v>
      </c>
      <c r="G30" s="6">
        <v>1320</v>
      </c>
      <c r="H30" s="6">
        <v>1296</v>
      </c>
      <c r="I30" s="6">
        <f>G30-H30</f>
        <v>24</v>
      </c>
      <c r="J30" s="7">
        <f>IF(G30=0,0,H30/G30)</f>
        <v>0.98181818181818181</v>
      </c>
      <c r="K30" s="6">
        <f>ROUNDDOWN(I30/F30,0)</f>
        <v>1</v>
      </c>
      <c r="L30" s="8" t="str">
        <f>IF(J30&gt;0.97,"Sold Out",IF(J30&gt;=0.85,"Critical",IF(J30&gt;=0.7,"Constrained","Healthy")))</f>
        <v>Sold Out</v>
      </c>
      <c r="M30" s="8" t="s">
        <v>166</v>
      </c>
      <c r="N30" s="8" t="str">
        <f>IF(M30="None","No","Yes")</f>
        <v>Yes</v>
      </c>
      <c r="O30" s="9">
        <v>46280</v>
      </c>
    </row>
    <row r="31" spans="1:15">
      <c r="A31" s="1" t="s">
        <v>209</v>
      </c>
      <c r="B31" s="1" t="s">
        <v>146</v>
      </c>
      <c r="C31" s="1" t="s">
        <v>196</v>
      </c>
      <c r="D31" s="1" t="s">
        <v>189</v>
      </c>
      <c r="E31" s="1" t="s">
        <v>190</v>
      </c>
      <c r="F31" s="6">
        <v>96</v>
      </c>
      <c r="G31" s="6">
        <v>1440</v>
      </c>
      <c r="H31" s="6">
        <v>1248</v>
      </c>
      <c r="I31" s="6">
        <f>G31-H31</f>
        <v>192</v>
      </c>
      <c r="J31" s="7">
        <f>IF(G31=0,0,H31/G31)</f>
        <v>0.8666666666666667</v>
      </c>
      <c r="K31" s="6">
        <f>ROUNDDOWN(I31/F31,0)</f>
        <v>2</v>
      </c>
      <c r="L31" s="8" t="str">
        <f>IF(J31&gt;0.97,"Sold Out",IF(J31&gt;=0.85,"Critical",IF(J31&gt;=0.7,"Constrained","Healthy")))</f>
        <v>Critical</v>
      </c>
      <c r="M31" s="8" t="s">
        <v>191</v>
      </c>
      <c r="N31" s="8" t="str">
        <f>IF(M31="None","No","Yes")</f>
        <v>Yes</v>
      </c>
      <c r="O31" s="9">
        <v>46280</v>
      </c>
    </row>
    <row r="32" spans="1:15">
      <c r="A32" s="1" t="s">
        <v>210</v>
      </c>
      <c r="B32" s="1" t="s">
        <v>146</v>
      </c>
      <c r="C32" s="1" t="s">
        <v>196</v>
      </c>
      <c r="D32" s="1" t="s">
        <v>193</v>
      </c>
      <c r="E32" s="1" t="s">
        <v>194</v>
      </c>
      <c r="F32" s="6">
        <v>40</v>
      </c>
      <c r="G32" s="6">
        <v>2080</v>
      </c>
      <c r="H32" s="6">
        <v>1840</v>
      </c>
      <c r="I32" s="6">
        <f>G32-H32</f>
        <v>240</v>
      </c>
      <c r="J32" s="7">
        <f>IF(G32=0,0,H32/G32)</f>
        <v>0.88461538461538458</v>
      </c>
      <c r="K32" s="6">
        <f>ROUNDDOWN(I32/F32,0)</f>
        <v>6</v>
      </c>
      <c r="L32" s="8" t="str">
        <f>IF(J32&gt;0.97,"Sold Out",IF(J32&gt;=0.85,"Critical",IF(J32&gt;=0.7,"Constrained","Healthy")))</f>
        <v>Critical</v>
      </c>
      <c r="M32" s="8" t="s">
        <v>150</v>
      </c>
      <c r="N32" s="8" t="str">
        <f>IF(M32="None","No","Yes")</f>
        <v>Yes</v>
      </c>
      <c r="O32" s="9">
        <v>46280</v>
      </c>
    </row>
    <row r="33" spans="1:15">
      <c r="A33" s="1" t="s">
        <v>211</v>
      </c>
      <c r="B33" s="1" t="s">
        <v>146</v>
      </c>
      <c r="C33" s="1" t="s">
        <v>212</v>
      </c>
      <c r="D33" s="1" t="s">
        <v>152</v>
      </c>
      <c r="E33" s="1" t="s">
        <v>149</v>
      </c>
      <c r="F33" s="6">
        <v>16</v>
      </c>
      <c r="G33" s="6">
        <v>2624</v>
      </c>
      <c r="H33" s="6">
        <v>1840</v>
      </c>
      <c r="I33" s="6">
        <f>G33-H33</f>
        <v>784</v>
      </c>
      <c r="J33" s="7">
        <f>IF(G33=0,0,H33/G33)</f>
        <v>0.70121951219512191</v>
      </c>
      <c r="K33" s="6">
        <f>ROUNDDOWN(I33/F33,0)</f>
        <v>49</v>
      </c>
      <c r="L33" s="8" t="str">
        <f>IF(J33&gt;0.97,"Sold Out",IF(J33&gt;=0.85,"Critical",IF(J33&gt;=0.7,"Constrained","Healthy")))</f>
        <v>Constrained</v>
      </c>
      <c r="M33" s="8" t="s">
        <v>153</v>
      </c>
      <c r="N33" s="8" t="str">
        <f>IF(M33="None","No","Yes")</f>
        <v>No</v>
      </c>
      <c r="O33" s="9">
        <v>46280</v>
      </c>
    </row>
    <row r="34" spans="1:15">
      <c r="A34" s="1" t="s">
        <v>213</v>
      </c>
      <c r="B34" s="1" t="s">
        <v>146</v>
      </c>
      <c r="C34" s="1" t="s">
        <v>212</v>
      </c>
      <c r="D34" s="1" t="s">
        <v>155</v>
      </c>
      <c r="E34" s="1" t="s">
        <v>149</v>
      </c>
      <c r="F34" s="6">
        <v>32</v>
      </c>
      <c r="G34" s="6">
        <v>7648</v>
      </c>
      <c r="H34" s="6">
        <v>3840</v>
      </c>
      <c r="I34" s="6">
        <f>G34-H34</f>
        <v>3808</v>
      </c>
      <c r="J34" s="7">
        <f>IF(G34=0,0,H34/G34)</f>
        <v>0.502092050209205</v>
      </c>
      <c r="K34" s="6">
        <f>ROUNDDOWN(I34/F34,0)</f>
        <v>119</v>
      </c>
      <c r="L34" s="8" t="str">
        <f>IF(J34&gt;0.97,"Sold Out",IF(J34&gt;=0.85,"Critical",IF(J34&gt;=0.7,"Constrained","Healthy")))</f>
        <v>Healthy</v>
      </c>
      <c r="M34" s="8" t="s">
        <v>153</v>
      </c>
      <c r="N34" s="8" t="str">
        <f>IF(M34="None","No","Yes")</f>
        <v>No</v>
      </c>
      <c r="O34" s="9">
        <v>46280</v>
      </c>
    </row>
    <row r="35" spans="1:15">
      <c r="A35" s="1" t="s">
        <v>214</v>
      </c>
      <c r="B35" s="1" t="s">
        <v>146</v>
      </c>
      <c r="C35" s="1" t="s">
        <v>212</v>
      </c>
      <c r="D35" s="1" t="s">
        <v>157</v>
      </c>
      <c r="E35" s="1" t="s">
        <v>149</v>
      </c>
      <c r="F35" s="6">
        <v>64</v>
      </c>
      <c r="G35" s="6">
        <v>10752</v>
      </c>
      <c r="H35" s="6">
        <v>8128</v>
      </c>
      <c r="I35" s="6">
        <f>G35-H35</f>
        <v>2624</v>
      </c>
      <c r="J35" s="7">
        <f>IF(G35=0,0,H35/G35)</f>
        <v>0.75595238095238093</v>
      </c>
      <c r="K35" s="6">
        <f>ROUNDDOWN(I35/F35,0)</f>
        <v>41</v>
      </c>
      <c r="L35" s="8" t="str">
        <f>IF(J35&gt;0.97,"Sold Out",IF(J35&gt;=0.85,"Critical",IF(J35&gt;=0.7,"Constrained","Healthy")))</f>
        <v>Constrained</v>
      </c>
      <c r="M35" s="8" t="s">
        <v>150</v>
      </c>
      <c r="N35" s="8" t="str">
        <f>IF(M35="None","No","Yes")</f>
        <v>Yes</v>
      </c>
      <c r="O35" s="9">
        <v>46280</v>
      </c>
    </row>
    <row r="36" spans="1:15">
      <c r="A36" s="1" t="s">
        <v>215</v>
      </c>
      <c r="B36" s="1" t="s">
        <v>146</v>
      </c>
      <c r="C36" s="1" t="s">
        <v>212</v>
      </c>
      <c r="D36" s="1" t="s">
        <v>159</v>
      </c>
      <c r="E36" s="1" t="s">
        <v>160</v>
      </c>
      <c r="F36" s="6">
        <v>16</v>
      </c>
      <c r="G36" s="6">
        <v>12480</v>
      </c>
      <c r="H36" s="6">
        <v>6976</v>
      </c>
      <c r="I36" s="6">
        <f>G36-H36</f>
        <v>5504</v>
      </c>
      <c r="J36" s="7">
        <f>IF(G36=0,0,H36/G36)</f>
        <v>0.55897435897435899</v>
      </c>
      <c r="K36" s="6">
        <f>ROUNDDOWN(I36/F36,0)</f>
        <v>344</v>
      </c>
      <c r="L36" s="8" t="str">
        <f>IF(J36&gt;0.97,"Sold Out",IF(J36&gt;=0.85,"Critical",IF(J36&gt;=0.7,"Constrained","Healthy")))</f>
        <v>Healthy</v>
      </c>
      <c r="M36" s="8" t="s">
        <v>153</v>
      </c>
      <c r="N36" s="8" t="str">
        <f>IF(M36="None","No","Yes")</f>
        <v>No</v>
      </c>
      <c r="O36" s="9">
        <v>46280</v>
      </c>
    </row>
    <row r="37" spans="1:15">
      <c r="A37" s="1" t="s">
        <v>216</v>
      </c>
      <c r="B37" s="1" t="s">
        <v>146</v>
      </c>
      <c r="C37" s="1" t="s">
        <v>212</v>
      </c>
      <c r="D37" s="1" t="s">
        <v>162</v>
      </c>
      <c r="E37" s="1" t="s">
        <v>163</v>
      </c>
      <c r="F37" s="6">
        <v>32</v>
      </c>
      <c r="G37" s="6">
        <v>16992</v>
      </c>
      <c r="H37" s="6">
        <v>12032</v>
      </c>
      <c r="I37" s="6">
        <f>G37-H37</f>
        <v>4960</v>
      </c>
      <c r="J37" s="7">
        <f>IF(G37=0,0,H37/G37)</f>
        <v>0.70809792843691144</v>
      </c>
      <c r="K37" s="6">
        <f>ROUNDDOWN(I37/F37,0)</f>
        <v>155</v>
      </c>
      <c r="L37" s="8" t="str">
        <f>IF(J37&gt;0.97,"Sold Out",IF(J37&gt;=0.85,"Critical",IF(J37&gt;=0.7,"Constrained","Healthy")))</f>
        <v>Constrained</v>
      </c>
      <c r="M37" s="8" t="s">
        <v>153</v>
      </c>
      <c r="N37" s="8" t="str">
        <f>IF(M37="None","No","Yes")</f>
        <v>No</v>
      </c>
      <c r="O37" s="9">
        <v>46280</v>
      </c>
    </row>
    <row r="38" spans="1:15">
      <c r="A38" s="1" t="s">
        <v>217</v>
      </c>
      <c r="B38" s="1" t="s">
        <v>146</v>
      </c>
      <c r="C38" s="1" t="s">
        <v>212</v>
      </c>
      <c r="D38" s="1" t="s">
        <v>165</v>
      </c>
      <c r="E38" s="1" t="s">
        <v>163</v>
      </c>
      <c r="F38" s="6">
        <v>64</v>
      </c>
      <c r="G38" s="6">
        <v>3840</v>
      </c>
      <c r="H38" s="6">
        <v>3840</v>
      </c>
      <c r="I38" s="6">
        <f>G38-H38</f>
        <v>0</v>
      </c>
      <c r="J38" s="7">
        <f>IF(G38=0,0,H38/G38)</f>
        <v>1</v>
      </c>
      <c r="K38" s="6">
        <f>ROUNDDOWN(I38/F38,0)</f>
        <v>0</v>
      </c>
      <c r="L38" s="8" t="str">
        <f>IF(J38&gt;0.97,"Sold Out",IF(J38&gt;=0.85,"Critical",IF(J38&gt;=0.7,"Constrained","Healthy")))</f>
        <v>Sold Out</v>
      </c>
      <c r="M38" s="8" t="s">
        <v>166</v>
      </c>
      <c r="N38" s="8" t="str">
        <f>IF(M38="None","No","Yes")</f>
        <v>Yes</v>
      </c>
      <c r="O38" s="9">
        <v>46280</v>
      </c>
    </row>
    <row r="39" spans="1:15">
      <c r="A39" s="1" t="s">
        <v>218</v>
      </c>
      <c r="B39" s="1" t="s">
        <v>146</v>
      </c>
      <c r="C39" s="1" t="s">
        <v>212</v>
      </c>
      <c r="D39" s="1" t="s">
        <v>186</v>
      </c>
      <c r="E39" s="1" t="s">
        <v>187</v>
      </c>
      <c r="F39" s="6">
        <v>24</v>
      </c>
      <c r="G39" s="6">
        <v>1080</v>
      </c>
      <c r="H39" s="6">
        <v>1056</v>
      </c>
      <c r="I39" s="6">
        <f>G39-H39</f>
        <v>24</v>
      </c>
      <c r="J39" s="7">
        <f>IF(G39=0,0,H39/G39)</f>
        <v>0.97777777777777775</v>
      </c>
      <c r="K39" s="6">
        <f>ROUNDDOWN(I39/F39,0)</f>
        <v>1</v>
      </c>
      <c r="L39" s="8" t="str">
        <f>IF(J39&gt;0.97,"Sold Out",IF(J39&gt;=0.85,"Critical",IF(J39&gt;=0.7,"Constrained","Healthy")))</f>
        <v>Sold Out</v>
      </c>
      <c r="M39" s="8" t="s">
        <v>166</v>
      </c>
      <c r="N39" s="8" t="str">
        <f>IF(M39="None","No","Yes")</f>
        <v>Yes</v>
      </c>
      <c r="O39" s="9">
        <v>46280</v>
      </c>
    </row>
    <row r="40" spans="1:15">
      <c r="A40" s="1" t="s">
        <v>219</v>
      </c>
      <c r="B40" s="1" t="s">
        <v>220</v>
      </c>
      <c r="C40" s="1" t="s">
        <v>147</v>
      </c>
      <c r="D40" s="1" t="s">
        <v>148</v>
      </c>
      <c r="E40" s="1" t="s">
        <v>149</v>
      </c>
      <c r="F40" s="6">
        <v>8</v>
      </c>
      <c r="G40" s="6">
        <v>5080</v>
      </c>
      <c r="H40" s="6">
        <v>3128</v>
      </c>
      <c r="I40" s="6">
        <f>G40-H40</f>
        <v>1952</v>
      </c>
      <c r="J40" s="7">
        <f>IF(G40=0,0,H40/G40)</f>
        <v>0.61574803149606294</v>
      </c>
      <c r="K40" s="6">
        <f>ROUNDDOWN(I40/F40,0)</f>
        <v>244</v>
      </c>
      <c r="L40" s="8" t="str">
        <f>IF(J40&gt;0.97,"Sold Out",IF(J40&gt;=0.85,"Critical",IF(J40&gt;=0.7,"Constrained","Healthy")))</f>
        <v>Healthy</v>
      </c>
      <c r="M40" s="8" t="s">
        <v>153</v>
      </c>
      <c r="N40" s="8" t="str">
        <f>IF(M40="None","No","Yes")</f>
        <v>No</v>
      </c>
      <c r="O40" s="9">
        <v>46280</v>
      </c>
    </row>
    <row r="41" spans="1:15">
      <c r="A41" s="1" t="s">
        <v>221</v>
      </c>
      <c r="B41" s="1" t="s">
        <v>220</v>
      </c>
      <c r="C41" s="1" t="s">
        <v>147</v>
      </c>
      <c r="D41" s="1" t="s">
        <v>152</v>
      </c>
      <c r="E41" s="1" t="s">
        <v>149</v>
      </c>
      <c r="F41" s="6">
        <v>16</v>
      </c>
      <c r="G41" s="6">
        <v>11056</v>
      </c>
      <c r="H41" s="6">
        <v>5120</v>
      </c>
      <c r="I41" s="6">
        <f>G41-H41</f>
        <v>5936</v>
      </c>
      <c r="J41" s="7">
        <f>IF(G41=0,0,H41/G41)</f>
        <v>0.4630969609261939</v>
      </c>
      <c r="K41" s="6">
        <f>ROUNDDOWN(I41/F41,0)</f>
        <v>371</v>
      </c>
      <c r="L41" s="8" t="str">
        <f>IF(J41&gt;0.97,"Sold Out",IF(J41&gt;=0.85,"Critical",IF(J41&gt;=0.7,"Constrained","Healthy")))</f>
        <v>Healthy</v>
      </c>
      <c r="M41" s="8" t="s">
        <v>153</v>
      </c>
      <c r="N41" s="8" t="str">
        <f>IF(M41="None","No","Yes")</f>
        <v>No</v>
      </c>
      <c r="O41" s="9">
        <v>46280</v>
      </c>
    </row>
    <row r="42" spans="1:15">
      <c r="A42" s="1" t="s">
        <v>222</v>
      </c>
      <c r="B42" s="1" t="s">
        <v>220</v>
      </c>
      <c r="C42" s="1" t="s">
        <v>147</v>
      </c>
      <c r="D42" s="1" t="s">
        <v>155</v>
      </c>
      <c r="E42" s="1" t="s">
        <v>149</v>
      </c>
      <c r="F42" s="6">
        <v>32</v>
      </c>
      <c r="G42" s="6">
        <v>24864</v>
      </c>
      <c r="H42" s="6">
        <v>12864</v>
      </c>
      <c r="I42" s="6">
        <f>G42-H42</f>
        <v>12000</v>
      </c>
      <c r="J42" s="7">
        <f>IF(G42=0,0,H42/G42)</f>
        <v>0.51737451737451734</v>
      </c>
      <c r="K42" s="6">
        <f>ROUNDDOWN(I42/F42,0)</f>
        <v>375</v>
      </c>
      <c r="L42" s="8" t="str">
        <f>IF(J42&gt;0.97,"Sold Out",IF(J42&gt;=0.85,"Critical",IF(J42&gt;=0.7,"Constrained","Healthy")))</f>
        <v>Healthy</v>
      </c>
      <c r="M42" s="8" t="s">
        <v>153</v>
      </c>
      <c r="N42" s="8" t="str">
        <f>IF(M42="None","No","Yes")</f>
        <v>No</v>
      </c>
      <c r="O42" s="9">
        <v>46280</v>
      </c>
    </row>
    <row r="43" spans="1:15">
      <c r="A43" s="1" t="s">
        <v>223</v>
      </c>
      <c r="B43" s="1" t="s">
        <v>220</v>
      </c>
      <c r="C43" s="1" t="s">
        <v>147</v>
      </c>
      <c r="D43" s="1" t="s">
        <v>157</v>
      </c>
      <c r="E43" s="1" t="s">
        <v>149</v>
      </c>
      <c r="F43" s="6">
        <v>64</v>
      </c>
      <c r="G43" s="6">
        <v>6592</v>
      </c>
      <c r="H43" s="6">
        <v>2816</v>
      </c>
      <c r="I43" s="6">
        <f>G43-H43</f>
        <v>3776</v>
      </c>
      <c r="J43" s="7">
        <f>IF(G43=0,0,H43/G43)</f>
        <v>0.42718446601941745</v>
      </c>
      <c r="K43" s="6">
        <f>ROUNDDOWN(I43/F43,0)</f>
        <v>59</v>
      </c>
      <c r="L43" s="8" t="str">
        <f>IF(J43&gt;0.97,"Sold Out",IF(J43&gt;=0.85,"Critical",IF(J43&gt;=0.7,"Constrained","Healthy")))</f>
        <v>Healthy</v>
      </c>
      <c r="M43" s="8" t="s">
        <v>153</v>
      </c>
      <c r="N43" s="8" t="str">
        <f>IF(M43="None","No","Yes")</f>
        <v>No</v>
      </c>
      <c r="O43" s="9">
        <v>46280</v>
      </c>
    </row>
    <row r="44" spans="1:15">
      <c r="A44" s="1" t="s">
        <v>224</v>
      </c>
      <c r="B44" s="1" t="s">
        <v>220</v>
      </c>
      <c r="C44" s="1" t="s">
        <v>147</v>
      </c>
      <c r="D44" s="1" t="s">
        <v>159</v>
      </c>
      <c r="E44" s="1" t="s">
        <v>160</v>
      </c>
      <c r="F44" s="6">
        <v>16</v>
      </c>
      <c r="G44" s="6">
        <v>5712</v>
      </c>
      <c r="H44" s="6">
        <v>3136</v>
      </c>
      <c r="I44" s="6">
        <f>G44-H44</f>
        <v>2576</v>
      </c>
      <c r="J44" s="7">
        <f>IF(G44=0,0,H44/G44)</f>
        <v>0.5490196078431373</v>
      </c>
      <c r="K44" s="6">
        <f>ROUNDDOWN(I44/F44,0)</f>
        <v>161</v>
      </c>
      <c r="L44" s="8" t="str">
        <f>IF(J44&gt;0.97,"Sold Out",IF(J44&gt;=0.85,"Critical",IF(J44&gt;=0.7,"Constrained","Healthy")))</f>
        <v>Healthy</v>
      </c>
      <c r="M44" s="8" t="s">
        <v>153</v>
      </c>
      <c r="N44" s="8" t="str">
        <f>IF(M44="None","No","Yes")</f>
        <v>No</v>
      </c>
      <c r="O44" s="9">
        <v>46280</v>
      </c>
    </row>
    <row r="45" spans="1:15">
      <c r="A45" s="1" t="s">
        <v>225</v>
      </c>
      <c r="B45" s="1" t="s">
        <v>220</v>
      </c>
      <c r="C45" s="1" t="s">
        <v>147</v>
      </c>
      <c r="D45" s="1" t="s">
        <v>162</v>
      </c>
      <c r="E45" s="1" t="s">
        <v>163</v>
      </c>
      <c r="F45" s="6">
        <v>32</v>
      </c>
      <c r="G45" s="6">
        <v>5760</v>
      </c>
      <c r="H45" s="6">
        <v>3904</v>
      </c>
      <c r="I45" s="6">
        <f>G45-H45</f>
        <v>1856</v>
      </c>
      <c r="J45" s="7">
        <f>IF(G45=0,0,H45/G45)</f>
        <v>0.67777777777777781</v>
      </c>
      <c r="K45" s="6">
        <f>ROUNDDOWN(I45/F45,0)</f>
        <v>58</v>
      </c>
      <c r="L45" s="8" t="str">
        <f>IF(J45&gt;0.97,"Sold Out",IF(J45&gt;=0.85,"Critical",IF(J45&gt;=0.7,"Constrained","Healthy")))</f>
        <v>Healthy</v>
      </c>
      <c r="M45" s="8" t="s">
        <v>153</v>
      </c>
      <c r="N45" s="8" t="str">
        <f>IF(M45="None","No","Yes")</f>
        <v>No</v>
      </c>
      <c r="O45" s="9">
        <v>46280</v>
      </c>
    </row>
    <row r="46" spans="1:15">
      <c r="A46" s="1" t="s">
        <v>226</v>
      </c>
      <c r="B46" s="1" t="s">
        <v>220</v>
      </c>
      <c r="C46" s="1" t="s">
        <v>147</v>
      </c>
      <c r="D46" s="1" t="s">
        <v>165</v>
      </c>
      <c r="E46" s="1" t="s">
        <v>163</v>
      </c>
      <c r="F46" s="6">
        <v>64</v>
      </c>
      <c r="G46" s="6">
        <v>11328</v>
      </c>
      <c r="H46" s="6">
        <v>10816</v>
      </c>
      <c r="I46" s="6">
        <f>G46-H46</f>
        <v>512</v>
      </c>
      <c r="J46" s="7">
        <f>IF(G46=0,0,H46/G46)</f>
        <v>0.95480225988700562</v>
      </c>
      <c r="K46" s="6">
        <f>ROUNDDOWN(I46/F46,0)</f>
        <v>8</v>
      </c>
      <c r="L46" s="8" t="str">
        <f>IF(J46&gt;0.97,"Sold Out",IF(J46&gt;=0.85,"Critical",IF(J46&gt;=0.7,"Constrained","Healthy")))</f>
        <v>Critical</v>
      </c>
      <c r="M46" s="8" t="s">
        <v>150</v>
      </c>
      <c r="N46" s="8" t="str">
        <f>IF(M46="None","No","Yes")</f>
        <v>Yes</v>
      </c>
      <c r="O46" s="9">
        <v>46280</v>
      </c>
    </row>
    <row r="47" spans="1:15">
      <c r="A47" s="1" t="s">
        <v>227</v>
      </c>
      <c r="B47" s="1" t="s">
        <v>220</v>
      </c>
      <c r="C47" s="1" t="s">
        <v>147</v>
      </c>
      <c r="D47" s="1" t="s">
        <v>168</v>
      </c>
      <c r="E47" s="1" t="s">
        <v>169</v>
      </c>
      <c r="F47" s="6">
        <v>32</v>
      </c>
      <c r="G47" s="6">
        <v>12768</v>
      </c>
      <c r="H47" s="6">
        <v>10432</v>
      </c>
      <c r="I47" s="6">
        <f>G47-H47</f>
        <v>2336</v>
      </c>
      <c r="J47" s="7">
        <f>IF(G47=0,0,H47/G47)</f>
        <v>0.81704260651629068</v>
      </c>
      <c r="K47" s="6">
        <f>ROUNDDOWN(I47/F47,0)</f>
        <v>73</v>
      </c>
      <c r="L47" s="8" t="str">
        <f>IF(J47&gt;0.97,"Sold Out",IF(J47&gt;=0.85,"Critical",IF(J47&gt;=0.7,"Constrained","Healthy")))</f>
        <v>Constrained</v>
      </c>
      <c r="M47" s="8" t="s">
        <v>150</v>
      </c>
      <c r="N47" s="8" t="str">
        <f>IF(M47="None","No","Yes")</f>
        <v>Yes</v>
      </c>
      <c r="O47" s="9">
        <v>46280</v>
      </c>
    </row>
    <row r="48" spans="1:15">
      <c r="A48" s="1" t="s">
        <v>228</v>
      </c>
      <c r="B48" s="1" t="s">
        <v>220</v>
      </c>
      <c r="C48" s="1" t="s">
        <v>147</v>
      </c>
      <c r="D48" s="1" t="s">
        <v>171</v>
      </c>
      <c r="E48" s="1" t="s">
        <v>172</v>
      </c>
      <c r="F48" s="6">
        <v>16</v>
      </c>
      <c r="G48" s="6">
        <v>9088</v>
      </c>
      <c r="H48" s="6">
        <v>7520</v>
      </c>
      <c r="I48" s="6">
        <f>G48-H48</f>
        <v>1568</v>
      </c>
      <c r="J48" s="7">
        <f>IF(G48=0,0,H48/G48)</f>
        <v>0.82746478873239437</v>
      </c>
      <c r="K48" s="6">
        <f>ROUNDDOWN(I48/F48,0)</f>
        <v>98</v>
      </c>
      <c r="L48" s="8" t="str">
        <f>IF(J48&gt;0.97,"Sold Out",IF(J48&gt;=0.85,"Critical",IF(J48&gt;=0.7,"Constrained","Healthy")))</f>
        <v>Constrained</v>
      </c>
      <c r="M48" s="8" t="s">
        <v>150</v>
      </c>
      <c r="N48" s="8" t="str">
        <f>IF(M48="None","No","Yes")</f>
        <v>Yes</v>
      </c>
      <c r="O48" s="9">
        <v>46280</v>
      </c>
    </row>
    <row r="49" spans="1:15">
      <c r="A49" s="1" t="s">
        <v>229</v>
      </c>
      <c r="B49" s="1" t="s">
        <v>220</v>
      </c>
      <c r="C49" s="1" t="s">
        <v>147</v>
      </c>
      <c r="D49" s="1" t="s">
        <v>174</v>
      </c>
      <c r="E49" s="1" t="s">
        <v>175</v>
      </c>
      <c r="F49" s="6">
        <v>128</v>
      </c>
      <c r="G49" s="6">
        <v>2944</v>
      </c>
      <c r="H49" s="6">
        <v>2688</v>
      </c>
      <c r="I49" s="6">
        <f>G49-H49</f>
        <v>256</v>
      </c>
      <c r="J49" s="7">
        <f>IF(G49=0,0,H49/G49)</f>
        <v>0.91304347826086951</v>
      </c>
      <c r="K49" s="6">
        <f>ROUNDDOWN(I49/F49,0)</f>
        <v>2</v>
      </c>
      <c r="L49" s="8" t="str">
        <f>IF(J49&gt;0.97,"Sold Out",IF(J49&gt;=0.85,"Critical",IF(J49&gt;=0.7,"Constrained","Healthy")))</f>
        <v>Critical</v>
      </c>
      <c r="M49" s="8" t="s">
        <v>150</v>
      </c>
      <c r="N49" s="8" t="str">
        <f>IF(M49="None","No","Yes")</f>
        <v>Yes</v>
      </c>
      <c r="O49" s="9">
        <v>46280</v>
      </c>
    </row>
    <row r="50" spans="1:15">
      <c r="A50" s="1" t="s">
        <v>230</v>
      </c>
      <c r="B50" s="1" t="s">
        <v>220</v>
      </c>
      <c r="C50" s="1" t="s">
        <v>147</v>
      </c>
      <c r="D50" s="1" t="s">
        <v>177</v>
      </c>
      <c r="E50" s="1" t="s">
        <v>178</v>
      </c>
      <c r="F50" s="6">
        <v>16</v>
      </c>
      <c r="G50" s="6">
        <v>6864</v>
      </c>
      <c r="H50" s="6">
        <v>4240</v>
      </c>
      <c r="I50" s="6">
        <f>G50-H50</f>
        <v>2624</v>
      </c>
      <c r="J50" s="7">
        <f>IF(G50=0,0,H50/G50)</f>
        <v>0.61771561771561767</v>
      </c>
      <c r="K50" s="6">
        <f>ROUNDDOWN(I50/F50,0)</f>
        <v>164</v>
      </c>
      <c r="L50" s="8" t="str">
        <f>IF(J50&gt;0.97,"Sold Out",IF(J50&gt;=0.85,"Critical",IF(J50&gt;=0.7,"Constrained","Healthy")))</f>
        <v>Healthy</v>
      </c>
      <c r="M50" s="8" t="s">
        <v>153</v>
      </c>
      <c r="N50" s="8" t="str">
        <f>IF(M50="None","No","Yes")</f>
        <v>No</v>
      </c>
      <c r="O50" s="9">
        <v>46280</v>
      </c>
    </row>
    <row r="51" spans="1:15">
      <c r="A51" s="1" t="s">
        <v>231</v>
      </c>
      <c r="B51" s="1" t="s">
        <v>220</v>
      </c>
      <c r="C51" s="1" t="s">
        <v>147</v>
      </c>
      <c r="D51" s="1" t="s">
        <v>180</v>
      </c>
      <c r="E51" s="1" t="s">
        <v>181</v>
      </c>
      <c r="F51" s="6">
        <v>32</v>
      </c>
      <c r="G51" s="6">
        <v>19616</v>
      </c>
      <c r="H51" s="6">
        <v>11808</v>
      </c>
      <c r="I51" s="6">
        <f>G51-H51</f>
        <v>7808</v>
      </c>
      <c r="J51" s="7">
        <f>IF(G51=0,0,H51/G51)</f>
        <v>0.60195758564437196</v>
      </c>
      <c r="K51" s="6">
        <f>ROUNDDOWN(I51/F51,0)</f>
        <v>244</v>
      </c>
      <c r="L51" s="8" t="str">
        <f>IF(J51&gt;0.97,"Sold Out",IF(J51&gt;=0.85,"Critical",IF(J51&gt;=0.7,"Constrained","Healthy")))</f>
        <v>Healthy</v>
      </c>
      <c r="M51" s="8" t="s">
        <v>153</v>
      </c>
      <c r="N51" s="8" t="str">
        <f>IF(M51="None","No","Yes")</f>
        <v>No</v>
      </c>
      <c r="O51" s="9">
        <v>46280</v>
      </c>
    </row>
    <row r="52" spans="1:15">
      <c r="A52" s="1" t="s">
        <v>232</v>
      </c>
      <c r="B52" s="1" t="s">
        <v>220</v>
      </c>
      <c r="C52" s="1" t="s">
        <v>147</v>
      </c>
      <c r="D52" s="1" t="s">
        <v>183</v>
      </c>
      <c r="E52" s="1" t="s">
        <v>184</v>
      </c>
      <c r="F52" s="6">
        <v>176</v>
      </c>
      <c r="G52" s="6">
        <v>3872</v>
      </c>
      <c r="H52" s="6">
        <v>3344</v>
      </c>
      <c r="I52" s="6">
        <f>G52-H52</f>
        <v>528</v>
      </c>
      <c r="J52" s="7">
        <f>IF(G52=0,0,H52/G52)</f>
        <v>0.86363636363636365</v>
      </c>
      <c r="K52" s="6">
        <f>ROUNDDOWN(I52/F52,0)</f>
        <v>3</v>
      </c>
      <c r="L52" s="8" t="str">
        <f>IF(J52&gt;0.97,"Sold Out",IF(J52&gt;=0.85,"Critical",IF(J52&gt;=0.7,"Constrained","Healthy")))</f>
        <v>Critical</v>
      </c>
      <c r="M52" s="8" t="s">
        <v>191</v>
      </c>
      <c r="N52" s="8" t="str">
        <f>IF(M52="None","No","Yes")</f>
        <v>Yes</v>
      </c>
      <c r="O52" s="9">
        <v>46280</v>
      </c>
    </row>
    <row r="53" spans="1:15">
      <c r="A53" s="1" t="s">
        <v>233</v>
      </c>
      <c r="B53" s="1" t="s">
        <v>220</v>
      </c>
      <c r="C53" s="1" t="s">
        <v>147</v>
      </c>
      <c r="D53" s="1" t="s">
        <v>186</v>
      </c>
      <c r="E53" s="1" t="s">
        <v>187</v>
      </c>
      <c r="F53" s="6">
        <v>24</v>
      </c>
      <c r="G53" s="6">
        <v>960</v>
      </c>
      <c r="H53" s="6">
        <v>960</v>
      </c>
      <c r="I53" s="6">
        <f>G53-H53</f>
        <v>0</v>
      </c>
      <c r="J53" s="7">
        <f>IF(G53=0,0,H53/G53)</f>
        <v>1</v>
      </c>
      <c r="K53" s="6">
        <f>ROUNDDOWN(I53/F53,0)</f>
        <v>0</v>
      </c>
      <c r="L53" s="8" t="str">
        <f>IF(J53&gt;0.97,"Sold Out",IF(J53&gt;=0.85,"Critical",IF(J53&gt;=0.7,"Constrained","Healthy")))</f>
        <v>Sold Out</v>
      </c>
      <c r="M53" s="8" t="s">
        <v>166</v>
      </c>
      <c r="N53" s="8" t="str">
        <f>IF(M53="None","No","Yes")</f>
        <v>Yes</v>
      </c>
      <c r="O53" s="9">
        <v>46280</v>
      </c>
    </row>
    <row r="54" spans="1:15">
      <c r="A54" s="1" t="s">
        <v>234</v>
      </c>
      <c r="B54" s="1" t="s">
        <v>220</v>
      </c>
      <c r="C54" s="1" t="s">
        <v>147</v>
      </c>
      <c r="D54" s="1" t="s">
        <v>189</v>
      </c>
      <c r="E54" s="1" t="s">
        <v>190</v>
      </c>
      <c r="F54" s="6">
        <v>96</v>
      </c>
      <c r="G54" s="6">
        <v>768</v>
      </c>
      <c r="H54" s="6">
        <v>768</v>
      </c>
      <c r="I54" s="6">
        <f>G54-H54</f>
        <v>0</v>
      </c>
      <c r="J54" s="7">
        <f>IF(G54=0,0,H54/G54)</f>
        <v>1</v>
      </c>
      <c r="K54" s="6">
        <f>ROUNDDOWN(I54/F54,0)</f>
        <v>0</v>
      </c>
      <c r="L54" s="8" t="str">
        <f>IF(J54&gt;0.97,"Sold Out",IF(J54&gt;=0.85,"Critical",IF(J54&gt;=0.7,"Constrained","Healthy")))</f>
        <v>Sold Out</v>
      </c>
      <c r="M54" s="8" t="s">
        <v>166</v>
      </c>
      <c r="N54" s="8" t="str">
        <f>IF(M54="None","No","Yes")</f>
        <v>Yes</v>
      </c>
      <c r="O54" s="9">
        <v>46280</v>
      </c>
    </row>
    <row r="55" spans="1:15">
      <c r="A55" s="1" t="s">
        <v>235</v>
      </c>
      <c r="B55" s="1" t="s">
        <v>220</v>
      </c>
      <c r="C55" s="1" t="s">
        <v>147</v>
      </c>
      <c r="D55" s="1" t="s">
        <v>193</v>
      </c>
      <c r="E55" s="1" t="s">
        <v>194</v>
      </c>
      <c r="F55" s="6">
        <v>40</v>
      </c>
      <c r="G55" s="6">
        <v>920</v>
      </c>
      <c r="H55" s="6">
        <v>880</v>
      </c>
      <c r="I55" s="6">
        <f>G55-H55</f>
        <v>40</v>
      </c>
      <c r="J55" s="7">
        <f>IF(G55=0,0,H55/G55)</f>
        <v>0.95652173913043481</v>
      </c>
      <c r="K55" s="6">
        <f>ROUNDDOWN(I55/F55,0)</f>
        <v>1</v>
      </c>
      <c r="L55" s="8" t="str">
        <f>IF(J55&gt;0.97,"Sold Out",IF(J55&gt;=0.85,"Critical",IF(J55&gt;=0.7,"Constrained","Healthy")))</f>
        <v>Critical</v>
      </c>
      <c r="M55" s="8" t="s">
        <v>191</v>
      </c>
      <c r="N55" s="8" t="str">
        <f>IF(M55="None","No","Yes")</f>
        <v>Yes</v>
      </c>
      <c r="O55" s="9">
        <v>46280</v>
      </c>
    </row>
    <row r="56" spans="1:15">
      <c r="A56" s="1" t="s">
        <v>236</v>
      </c>
      <c r="B56" s="1" t="s">
        <v>220</v>
      </c>
      <c r="C56" s="1" t="s">
        <v>196</v>
      </c>
      <c r="D56" s="1" t="s">
        <v>148</v>
      </c>
      <c r="E56" s="1" t="s">
        <v>149</v>
      </c>
      <c r="F56" s="6">
        <v>8</v>
      </c>
      <c r="G56" s="6">
        <v>6872</v>
      </c>
      <c r="H56" s="6">
        <v>3792</v>
      </c>
      <c r="I56" s="6">
        <f>G56-H56</f>
        <v>3080</v>
      </c>
      <c r="J56" s="7">
        <f>IF(G56=0,0,H56/G56)</f>
        <v>0.55180442374854477</v>
      </c>
      <c r="K56" s="6">
        <f>ROUNDDOWN(I56/F56,0)</f>
        <v>385</v>
      </c>
      <c r="L56" s="8" t="str">
        <f>IF(J56&gt;0.97,"Sold Out",IF(J56&gt;=0.85,"Critical",IF(J56&gt;=0.7,"Constrained","Healthy")))</f>
        <v>Healthy</v>
      </c>
      <c r="M56" s="8" t="s">
        <v>153</v>
      </c>
      <c r="N56" s="8" t="str">
        <f>IF(M56="None","No","Yes")</f>
        <v>No</v>
      </c>
      <c r="O56" s="9">
        <v>46280</v>
      </c>
    </row>
    <row r="57" spans="1:15">
      <c r="A57" s="1" t="s">
        <v>237</v>
      </c>
      <c r="B57" s="1" t="s">
        <v>220</v>
      </c>
      <c r="C57" s="1" t="s">
        <v>196</v>
      </c>
      <c r="D57" s="1" t="s">
        <v>152</v>
      </c>
      <c r="E57" s="1" t="s">
        <v>149</v>
      </c>
      <c r="F57" s="6">
        <v>16</v>
      </c>
      <c r="G57" s="6">
        <v>10912</v>
      </c>
      <c r="H57" s="6">
        <v>5680</v>
      </c>
      <c r="I57" s="6">
        <f>G57-H57</f>
        <v>5232</v>
      </c>
      <c r="J57" s="7">
        <f>IF(G57=0,0,H57/G57)</f>
        <v>0.52052785923753664</v>
      </c>
      <c r="K57" s="6">
        <f>ROUNDDOWN(I57/F57,0)</f>
        <v>327</v>
      </c>
      <c r="L57" s="8" t="str">
        <f>IF(J57&gt;0.97,"Sold Out",IF(J57&gt;=0.85,"Critical",IF(J57&gt;=0.7,"Constrained","Healthy")))</f>
        <v>Healthy</v>
      </c>
      <c r="M57" s="8" t="s">
        <v>153</v>
      </c>
      <c r="N57" s="8" t="str">
        <f>IF(M57="None","No","Yes")</f>
        <v>No</v>
      </c>
      <c r="O57" s="9">
        <v>46280</v>
      </c>
    </row>
    <row r="58" spans="1:15">
      <c r="A58" s="1" t="s">
        <v>238</v>
      </c>
      <c r="B58" s="1" t="s">
        <v>220</v>
      </c>
      <c r="C58" s="1" t="s">
        <v>196</v>
      </c>
      <c r="D58" s="1" t="s">
        <v>155</v>
      </c>
      <c r="E58" s="1" t="s">
        <v>149</v>
      </c>
      <c r="F58" s="6">
        <v>32</v>
      </c>
      <c r="G58" s="6">
        <v>11328</v>
      </c>
      <c r="H58" s="6">
        <v>5696</v>
      </c>
      <c r="I58" s="6">
        <f>G58-H58</f>
        <v>5632</v>
      </c>
      <c r="J58" s="7">
        <f>IF(G58=0,0,H58/G58)</f>
        <v>0.50282485875706218</v>
      </c>
      <c r="K58" s="6">
        <f>ROUNDDOWN(I58/F58,0)</f>
        <v>176</v>
      </c>
      <c r="L58" s="8" t="str">
        <f>IF(J58&gt;0.97,"Sold Out",IF(J58&gt;=0.85,"Critical",IF(J58&gt;=0.7,"Constrained","Healthy")))</f>
        <v>Healthy</v>
      </c>
      <c r="M58" s="8" t="s">
        <v>153</v>
      </c>
      <c r="N58" s="8" t="str">
        <f>IF(M58="None","No","Yes")</f>
        <v>No</v>
      </c>
      <c r="O58" s="9">
        <v>46280</v>
      </c>
    </row>
    <row r="59" spans="1:15">
      <c r="A59" s="1" t="s">
        <v>239</v>
      </c>
      <c r="B59" s="1" t="s">
        <v>220</v>
      </c>
      <c r="C59" s="1" t="s">
        <v>196</v>
      </c>
      <c r="D59" s="1" t="s">
        <v>157</v>
      </c>
      <c r="E59" s="1" t="s">
        <v>149</v>
      </c>
      <c r="F59" s="6">
        <v>64</v>
      </c>
      <c r="G59" s="6">
        <v>11712</v>
      </c>
      <c r="H59" s="6">
        <v>7936</v>
      </c>
      <c r="I59" s="6">
        <f>G59-H59</f>
        <v>3776</v>
      </c>
      <c r="J59" s="7">
        <f>IF(G59=0,0,H59/G59)</f>
        <v>0.67759562841530052</v>
      </c>
      <c r="K59" s="6">
        <f>ROUNDDOWN(I59/F59,0)</f>
        <v>59</v>
      </c>
      <c r="L59" s="8" t="str">
        <f>IF(J59&gt;0.97,"Sold Out",IF(J59&gt;=0.85,"Critical",IF(J59&gt;=0.7,"Constrained","Healthy")))</f>
        <v>Healthy</v>
      </c>
      <c r="M59" s="8" t="s">
        <v>153</v>
      </c>
      <c r="N59" s="8" t="str">
        <f>IF(M59="None","No","Yes")</f>
        <v>No</v>
      </c>
      <c r="O59" s="9">
        <v>46280</v>
      </c>
    </row>
    <row r="60" spans="1:15">
      <c r="A60" s="1" t="s">
        <v>240</v>
      </c>
      <c r="B60" s="1" t="s">
        <v>220</v>
      </c>
      <c r="C60" s="1" t="s">
        <v>196</v>
      </c>
      <c r="D60" s="1" t="s">
        <v>159</v>
      </c>
      <c r="E60" s="1" t="s">
        <v>160</v>
      </c>
      <c r="F60" s="6">
        <v>16</v>
      </c>
      <c r="G60" s="6">
        <v>5136</v>
      </c>
      <c r="H60" s="6">
        <v>2544</v>
      </c>
      <c r="I60" s="6">
        <f>G60-H60</f>
        <v>2592</v>
      </c>
      <c r="J60" s="7">
        <f>IF(G60=0,0,H60/G60)</f>
        <v>0.49532710280373832</v>
      </c>
      <c r="K60" s="6">
        <f>ROUNDDOWN(I60/F60,0)</f>
        <v>162</v>
      </c>
      <c r="L60" s="8" t="str">
        <f>IF(J60&gt;0.97,"Sold Out",IF(J60&gt;=0.85,"Critical",IF(J60&gt;=0.7,"Constrained","Healthy")))</f>
        <v>Healthy</v>
      </c>
      <c r="M60" s="8" t="s">
        <v>153</v>
      </c>
      <c r="N60" s="8" t="str">
        <f>IF(M60="None","No","Yes")</f>
        <v>No</v>
      </c>
      <c r="O60" s="9">
        <v>46280</v>
      </c>
    </row>
    <row r="61" spans="1:15">
      <c r="A61" s="1" t="s">
        <v>241</v>
      </c>
      <c r="B61" s="1" t="s">
        <v>220</v>
      </c>
      <c r="C61" s="1" t="s">
        <v>196</v>
      </c>
      <c r="D61" s="1" t="s">
        <v>162</v>
      </c>
      <c r="E61" s="1" t="s">
        <v>163</v>
      </c>
      <c r="F61" s="6">
        <v>32</v>
      </c>
      <c r="G61" s="6">
        <v>8544</v>
      </c>
      <c r="H61" s="6">
        <v>4544</v>
      </c>
      <c r="I61" s="6">
        <f>G61-H61</f>
        <v>4000</v>
      </c>
      <c r="J61" s="7">
        <f>IF(G61=0,0,H61/G61)</f>
        <v>0.53183520599250933</v>
      </c>
      <c r="K61" s="6">
        <f>ROUNDDOWN(I61/F61,0)</f>
        <v>125</v>
      </c>
      <c r="L61" s="8" t="str">
        <f>IF(J61&gt;0.97,"Sold Out",IF(J61&gt;=0.85,"Critical",IF(J61&gt;=0.7,"Constrained","Healthy")))</f>
        <v>Healthy</v>
      </c>
      <c r="M61" s="8" t="s">
        <v>153</v>
      </c>
      <c r="N61" s="8" t="str">
        <f>IF(M61="None","No","Yes")</f>
        <v>No</v>
      </c>
      <c r="O61" s="9">
        <v>46280</v>
      </c>
    </row>
    <row r="62" spans="1:15">
      <c r="A62" s="1" t="s">
        <v>242</v>
      </c>
      <c r="B62" s="1" t="s">
        <v>220</v>
      </c>
      <c r="C62" s="1" t="s">
        <v>196</v>
      </c>
      <c r="D62" s="1" t="s">
        <v>165</v>
      </c>
      <c r="E62" s="1" t="s">
        <v>163</v>
      </c>
      <c r="F62" s="6">
        <v>64</v>
      </c>
      <c r="G62" s="6">
        <v>12672</v>
      </c>
      <c r="H62" s="6">
        <v>12544</v>
      </c>
      <c r="I62" s="6">
        <f>G62-H62</f>
        <v>128</v>
      </c>
      <c r="J62" s="7">
        <f>IF(G62=0,0,H62/G62)</f>
        <v>0.98989898989898994</v>
      </c>
      <c r="K62" s="6">
        <f>ROUNDDOWN(I62/F62,0)</f>
        <v>2</v>
      </c>
      <c r="L62" s="8" t="str">
        <f>IF(J62&gt;0.97,"Sold Out",IF(J62&gt;=0.85,"Critical",IF(J62&gt;=0.7,"Constrained","Healthy")))</f>
        <v>Sold Out</v>
      </c>
      <c r="M62" s="8" t="s">
        <v>166</v>
      </c>
      <c r="N62" s="8" t="str">
        <f>IF(M62="None","No","Yes")</f>
        <v>Yes</v>
      </c>
      <c r="O62" s="9">
        <v>46280</v>
      </c>
    </row>
    <row r="63" spans="1:15">
      <c r="A63" s="1" t="s">
        <v>243</v>
      </c>
      <c r="B63" s="1" t="s">
        <v>220</v>
      </c>
      <c r="C63" s="1" t="s">
        <v>196</v>
      </c>
      <c r="D63" s="1" t="s">
        <v>168</v>
      </c>
      <c r="E63" s="1" t="s">
        <v>169</v>
      </c>
      <c r="F63" s="6">
        <v>32</v>
      </c>
      <c r="G63" s="6">
        <v>7680</v>
      </c>
      <c r="H63" s="6">
        <v>5216</v>
      </c>
      <c r="I63" s="6">
        <f>G63-H63</f>
        <v>2464</v>
      </c>
      <c r="J63" s="7">
        <f>IF(G63=0,0,H63/G63)</f>
        <v>0.6791666666666667</v>
      </c>
      <c r="K63" s="6">
        <f>ROUNDDOWN(I63/F63,0)</f>
        <v>77</v>
      </c>
      <c r="L63" s="8" t="str">
        <f>IF(J63&gt;0.97,"Sold Out",IF(J63&gt;=0.85,"Critical",IF(J63&gt;=0.7,"Constrained","Healthy")))</f>
        <v>Healthy</v>
      </c>
      <c r="M63" s="8" t="s">
        <v>153</v>
      </c>
      <c r="N63" s="8" t="str">
        <f>IF(M63="None","No","Yes")</f>
        <v>No</v>
      </c>
      <c r="O63" s="9">
        <v>46280</v>
      </c>
    </row>
    <row r="64" spans="1:15">
      <c r="A64" s="1" t="s">
        <v>244</v>
      </c>
      <c r="B64" s="1" t="s">
        <v>220</v>
      </c>
      <c r="C64" s="1" t="s">
        <v>196</v>
      </c>
      <c r="D64" s="1" t="s">
        <v>174</v>
      </c>
      <c r="E64" s="1" t="s">
        <v>175</v>
      </c>
      <c r="F64" s="6">
        <v>128</v>
      </c>
      <c r="G64" s="6">
        <v>1664</v>
      </c>
      <c r="H64" s="6">
        <v>1536</v>
      </c>
      <c r="I64" s="6">
        <f>G64-H64</f>
        <v>128</v>
      </c>
      <c r="J64" s="7">
        <f>IF(G64=0,0,H64/G64)</f>
        <v>0.92307692307692313</v>
      </c>
      <c r="K64" s="6">
        <f>ROUNDDOWN(I64/F64,0)</f>
        <v>1</v>
      </c>
      <c r="L64" s="8" t="str">
        <f>IF(J64&gt;0.97,"Sold Out",IF(J64&gt;=0.85,"Critical",IF(J64&gt;=0.7,"Constrained","Healthy")))</f>
        <v>Critical</v>
      </c>
      <c r="M64" s="8" t="s">
        <v>150</v>
      </c>
      <c r="N64" s="8" t="str">
        <f>IF(M64="None","No","Yes")</f>
        <v>Yes</v>
      </c>
      <c r="O64" s="9">
        <v>46280</v>
      </c>
    </row>
    <row r="65" spans="1:15">
      <c r="A65" s="1" t="s">
        <v>245</v>
      </c>
      <c r="B65" s="1" t="s">
        <v>220</v>
      </c>
      <c r="C65" s="1" t="s">
        <v>196</v>
      </c>
      <c r="D65" s="1" t="s">
        <v>177</v>
      </c>
      <c r="E65" s="1" t="s">
        <v>178</v>
      </c>
      <c r="F65" s="6">
        <v>16</v>
      </c>
      <c r="G65" s="6">
        <v>5600</v>
      </c>
      <c r="H65" s="6">
        <v>2992</v>
      </c>
      <c r="I65" s="6">
        <f>G65-H65</f>
        <v>2608</v>
      </c>
      <c r="J65" s="7">
        <f>IF(G65=0,0,H65/G65)</f>
        <v>0.53428571428571425</v>
      </c>
      <c r="K65" s="6">
        <f>ROUNDDOWN(I65/F65,0)</f>
        <v>163</v>
      </c>
      <c r="L65" s="8" t="str">
        <f>IF(J65&gt;0.97,"Sold Out",IF(J65&gt;=0.85,"Critical",IF(J65&gt;=0.7,"Constrained","Healthy")))</f>
        <v>Healthy</v>
      </c>
      <c r="M65" s="8" t="s">
        <v>153</v>
      </c>
      <c r="N65" s="8" t="str">
        <f>IF(M65="None","No","Yes")</f>
        <v>No</v>
      </c>
      <c r="O65" s="9">
        <v>46280</v>
      </c>
    </row>
    <row r="66" spans="1:15">
      <c r="A66" s="1" t="s">
        <v>246</v>
      </c>
      <c r="B66" s="1" t="s">
        <v>220</v>
      </c>
      <c r="C66" s="1" t="s">
        <v>196</v>
      </c>
      <c r="D66" s="1" t="s">
        <v>180</v>
      </c>
      <c r="E66" s="1" t="s">
        <v>181</v>
      </c>
      <c r="F66" s="6">
        <v>32</v>
      </c>
      <c r="G66" s="6">
        <v>26592</v>
      </c>
      <c r="H66" s="6">
        <v>12480</v>
      </c>
      <c r="I66" s="6">
        <f>G66-H66</f>
        <v>14112</v>
      </c>
      <c r="J66" s="7">
        <f>IF(G66=0,0,H66/G66)</f>
        <v>0.46931407942238268</v>
      </c>
      <c r="K66" s="6">
        <f>ROUNDDOWN(I66/F66,0)</f>
        <v>441</v>
      </c>
      <c r="L66" s="8" t="str">
        <f>IF(J66&gt;0.97,"Sold Out",IF(J66&gt;=0.85,"Critical",IF(J66&gt;=0.7,"Constrained","Healthy")))</f>
        <v>Healthy</v>
      </c>
      <c r="M66" s="8" t="s">
        <v>153</v>
      </c>
      <c r="N66" s="8" t="str">
        <f>IF(M66="None","No","Yes")</f>
        <v>No</v>
      </c>
      <c r="O66" s="9">
        <v>46280</v>
      </c>
    </row>
    <row r="67" spans="1:15">
      <c r="A67" s="1" t="s">
        <v>247</v>
      </c>
      <c r="B67" s="1" t="s">
        <v>220</v>
      </c>
      <c r="C67" s="1" t="s">
        <v>196</v>
      </c>
      <c r="D67" s="1" t="s">
        <v>183</v>
      </c>
      <c r="E67" s="1" t="s">
        <v>184</v>
      </c>
      <c r="F67" s="6">
        <v>176</v>
      </c>
      <c r="G67" s="6">
        <v>6336</v>
      </c>
      <c r="H67" s="6">
        <v>3872</v>
      </c>
      <c r="I67" s="6">
        <f>G67-H67</f>
        <v>2464</v>
      </c>
      <c r="J67" s="7">
        <f>IF(G67=0,0,H67/G67)</f>
        <v>0.61111111111111116</v>
      </c>
      <c r="K67" s="6">
        <f>ROUNDDOWN(I67/F67,0)</f>
        <v>14</v>
      </c>
      <c r="L67" s="8" t="str">
        <f>IF(J67&gt;0.97,"Sold Out",IF(J67&gt;=0.85,"Critical",IF(J67&gt;=0.7,"Constrained","Healthy")))</f>
        <v>Healthy</v>
      </c>
      <c r="M67" s="8" t="s">
        <v>153</v>
      </c>
      <c r="N67" s="8" t="str">
        <f>IF(M67="None","No","Yes")</f>
        <v>No</v>
      </c>
      <c r="O67" s="9">
        <v>46280</v>
      </c>
    </row>
    <row r="68" spans="1:15">
      <c r="A68" s="1" t="s">
        <v>248</v>
      </c>
      <c r="B68" s="1" t="s">
        <v>220</v>
      </c>
      <c r="C68" s="1" t="s">
        <v>196</v>
      </c>
      <c r="D68" s="1" t="s">
        <v>186</v>
      </c>
      <c r="E68" s="1" t="s">
        <v>187</v>
      </c>
      <c r="F68" s="6">
        <v>24</v>
      </c>
      <c r="G68" s="6">
        <v>624</v>
      </c>
      <c r="H68" s="6">
        <v>600</v>
      </c>
      <c r="I68" s="6">
        <f>G68-H68</f>
        <v>24</v>
      </c>
      <c r="J68" s="7">
        <f>IF(G68=0,0,H68/G68)</f>
        <v>0.96153846153846156</v>
      </c>
      <c r="K68" s="6">
        <f>ROUNDDOWN(I68/F68,0)</f>
        <v>1</v>
      </c>
      <c r="L68" s="8" t="str">
        <f>IF(J68&gt;0.97,"Sold Out",IF(J68&gt;=0.85,"Critical",IF(J68&gt;=0.7,"Constrained","Healthy")))</f>
        <v>Critical</v>
      </c>
      <c r="M68" s="8" t="s">
        <v>150</v>
      </c>
      <c r="N68" s="8" t="str">
        <f>IF(M68="None","No","Yes")</f>
        <v>Yes</v>
      </c>
      <c r="O68" s="9">
        <v>46280</v>
      </c>
    </row>
    <row r="69" spans="1:15">
      <c r="A69" s="1" t="s">
        <v>249</v>
      </c>
      <c r="B69" s="1" t="s">
        <v>220</v>
      </c>
      <c r="C69" s="1" t="s">
        <v>196</v>
      </c>
      <c r="D69" s="1" t="s">
        <v>189</v>
      </c>
      <c r="E69" s="1" t="s">
        <v>190</v>
      </c>
      <c r="F69" s="6">
        <v>96</v>
      </c>
      <c r="G69" s="6">
        <v>2112</v>
      </c>
      <c r="H69" s="6">
        <v>2016</v>
      </c>
      <c r="I69" s="6">
        <f>G69-H69</f>
        <v>96</v>
      </c>
      <c r="J69" s="7">
        <f>IF(G69=0,0,H69/G69)</f>
        <v>0.95454545454545459</v>
      </c>
      <c r="K69" s="6">
        <f>ROUNDDOWN(I69/F69,0)</f>
        <v>1</v>
      </c>
      <c r="L69" s="8" t="str">
        <f>IF(J69&gt;0.97,"Sold Out",IF(J69&gt;=0.85,"Critical",IF(J69&gt;=0.7,"Constrained","Healthy")))</f>
        <v>Critical</v>
      </c>
      <c r="M69" s="8" t="s">
        <v>191</v>
      </c>
      <c r="N69" s="8" t="str">
        <f>IF(M69="None","No","Yes")</f>
        <v>Yes</v>
      </c>
      <c r="O69" s="9">
        <v>46280</v>
      </c>
    </row>
    <row r="70" spans="1:15">
      <c r="A70" s="1" t="s">
        <v>250</v>
      </c>
      <c r="B70" s="1" t="s">
        <v>220</v>
      </c>
      <c r="C70" s="1" t="s">
        <v>196</v>
      </c>
      <c r="D70" s="1" t="s">
        <v>193</v>
      </c>
      <c r="E70" s="1" t="s">
        <v>194</v>
      </c>
      <c r="F70" s="6">
        <v>40</v>
      </c>
      <c r="G70" s="6">
        <v>1680</v>
      </c>
      <c r="H70" s="6">
        <v>1520</v>
      </c>
      <c r="I70" s="6">
        <f>G70-H70</f>
        <v>160</v>
      </c>
      <c r="J70" s="7">
        <f>IF(G70=0,0,H70/G70)</f>
        <v>0.90476190476190477</v>
      </c>
      <c r="K70" s="6">
        <f>ROUNDDOWN(I70/F70,0)</f>
        <v>4</v>
      </c>
      <c r="L70" s="8" t="str">
        <f>IF(J70&gt;0.97,"Sold Out",IF(J70&gt;=0.85,"Critical",IF(J70&gt;=0.7,"Constrained","Healthy")))</f>
        <v>Critical</v>
      </c>
      <c r="M70" s="8" t="s">
        <v>191</v>
      </c>
      <c r="N70" s="8" t="str">
        <f>IF(M70="None","No","Yes")</f>
        <v>Yes</v>
      </c>
      <c r="O70" s="9">
        <v>46280</v>
      </c>
    </row>
    <row r="71" spans="1:15">
      <c r="A71" s="1" t="s">
        <v>251</v>
      </c>
      <c r="B71" s="1" t="s">
        <v>220</v>
      </c>
      <c r="C71" s="1" t="s">
        <v>212</v>
      </c>
      <c r="D71" s="1" t="s">
        <v>152</v>
      </c>
      <c r="E71" s="1" t="s">
        <v>149</v>
      </c>
      <c r="F71" s="6">
        <v>16</v>
      </c>
      <c r="G71" s="6">
        <v>11616</v>
      </c>
      <c r="H71" s="6">
        <v>7424</v>
      </c>
      <c r="I71" s="6">
        <f>G71-H71</f>
        <v>4192</v>
      </c>
      <c r="J71" s="7">
        <f>IF(G71=0,0,H71/G71)</f>
        <v>0.6391184573002755</v>
      </c>
      <c r="K71" s="6">
        <f>ROUNDDOWN(I71/F71,0)</f>
        <v>262</v>
      </c>
      <c r="L71" s="8" t="str">
        <f>IF(J71&gt;0.97,"Sold Out",IF(J71&gt;=0.85,"Critical",IF(J71&gt;=0.7,"Constrained","Healthy")))</f>
        <v>Healthy</v>
      </c>
      <c r="M71" s="8" t="s">
        <v>153</v>
      </c>
      <c r="N71" s="8" t="str">
        <f>IF(M71="None","No","Yes")</f>
        <v>No</v>
      </c>
      <c r="O71" s="9">
        <v>46280</v>
      </c>
    </row>
    <row r="72" spans="1:15">
      <c r="A72" s="1" t="s">
        <v>252</v>
      </c>
      <c r="B72" s="1" t="s">
        <v>220</v>
      </c>
      <c r="C72" s="1" t="s">
        <v>212</v>
      </c>
      <c r="D72" s="1" t="s">
        <v>155</v>
      </c>
      <c r="E72" s="1" t="s">
        <v>149</v>
      </c>
      <c r="F72" s="6">
        <v>32</v>
      </c>
      <c r="G72" s="6">
        <v>8800</v>
      </c>
      <c r="H72" s="6">
        <v>6880</v>
      </c>
      <c r="I72" s="6">
        <f>G72-H72</f>
        <v>1920</v>
      </c>
      <c r="J72" s="7">
        <f>IF(G72=0,0,H72/G72)</f>
        <v>0.78181818181818186</v>
      </c>
      <c r="K72" s="6">
        <f>ROUNDDOWN(I72/F72,0)</f>
        <v>60</v>
      </c>
      <c r="L72" s="8" t="str">
        <f>IF(J72&gt;0.97,"Sold Out",IF(J72&gt;=0.85,"Critical",IF(J72&gt;=0.7,"Constrained","Healthy")))</f>
        <v>Constrained</v>
      </c>
      <c r="M72" s="8" t="s">
        <v>150</v>
      </c>
      <c r="N72" s="8" t="str">
        <f>IF(M72="None","No","Yes")</f>
        <v>Yes</v>
      </c>
      <c r="O72" s="9">
        <v>46280</v>
      </c>
    </row>
    <row r="73" spans="1:15">
      <c r="A73" s="1" t="s">
        <v>253</v>
      </c>
      <c r="B73" s="1" t="s">
        <v>220</v>
      </c>
      <c r="C73" s="1" t="s">
        <v>212</v>
      </c>
      <c r="D73" s="1" t="s">
        <v>157</v>
      </c>
      <c r="E73" s="1" t="s">
        <v>149</v>
      </c>
      <c r="F73" s="6">
        <v>64</v>
      </c>
      <c r="G73" s="6">
        <v>11712</v>
      </c>
      <c r="H73" s="6">
        <v>8384</v>
      </c>
      <c r="I73" s="6">
        <f>G73-H73</f>
        <v>3328</v>
      </c>
      <c r="J73" s="7">
        <f>IF(G73=0,0,H73/G73)</f>
        <v>0.71584699453551914</v>
      </c>
      <c r="K73" s="6">
        <f>ROUNDDOWN(I73/F73,0)</f>
        <v>52</v>
      </c>
      <c r="L73" s="8" t="str">
        <f>IF(J73&gt;0.97,"Sold Out",IF(J73&gt;=0.85,"Critical",IF(J73&gt;=0.7,"Constrained","Healthy")))</f>
        <v>Constrained</v>
      </c>
      <c r="M73" s="8" t="s">
        <v>150</v>
      </c>
      <c r="N73" s="8" t="str">
        <f>IF(M73="None","No","Yes")</f>
        <v>Yes</v>
      </c>
      <c r="O73" s="9">
        <v>46280</v>
      </c>
    </row>
    <row r="74" spans="1:15">
      <c r="A74" s="1" t="s">
        <v>254</v>
      </c>
      <c r="B74" s="1" t="s">
        <v>220</v>
      </c>
      <c r="C74" s="1" t="s">
        <v>212</v>
      </c>
      <c r="D74" s="1" t="s">
        <v>159</v>
      </c>
      <c r="E74" s="1" t="s">
        <v>160</v>
      </c>
      <c r="F74" s="6">
        <v>16</v>
      </c>
      <c r="G74" s="6">
        <v>10032</v>
      </c>
      <c r="H74" s="6">
        <v>6256</v>
      </c>
      <c r="I74" s="6">
        <f>G74-H74</f>
        <v>3776</v>
      </c>
      <c r="J74" s="7">
        <f>IF(G74=0,0,H74/G74)</f>
        <v>0.62360446570972883</v>
      </c>
      <c r="K74" s="6">
        <f>ROUNDDOWN(I74/F74,0)</f>
        <v>236</v>
      </c>
      <c r="L74" s="8" t="str">
        <f>IF(J74&gt;0.97,"Sold Out",IF(J74&gt;=0.85,"Critical",IF(J74&gt;=0.7,"Constrained","Healthy")))</f>
        <v>Healthy</v>
      </c>
      <c r="M74" s="8" t="s">
        <v>153</v>
      </c>
      <c r="N74" s="8" t="str">
        <f>IF(M74="None","No","Yes")</f>
        <v>No</v>
      </c>
      <c r="O74" s="9">
        <v>46280</v>
      </c>
    </row>
    <row r="75" spans="1:15">
      <c r="A75" s="1" t="s">
        <v>255</v>
      </c>
      <c r="B75" s="1" t="s">
        <v>220</v>
      </c>
      <c r="C75" s="1" t="s">
        <v>212</v>
      </c>
      <c r="D75" s="1" t="s">
        <v>162</v>
      </c>
      <c r="E75" s="1" t="s">
        <v>163</v>
      </c>
      <c r="F75" s="6">
        <v>32</v>
      </c>
      <c r="G75" s="6">
        <v>18016</v>
      </c>
      <c r="H75" s="6">
        <v>13824</v>
      </c>
      <c r="I75" s="6">
        <f>G75-H75</f>
        <v>4192</v>
      </c>
      <c r="J75" s="7">
        <f>IF(G75=0,0,H75/G75)</f>
        <v>0.76731793960923622</v>
      </c>
      <c r="K75" s="6">
        <f>ROUNDDOWN(I75/F75,0)</f>
        <v>131</v>
      </c>
      <c r="L75" s="8" t="str">
        <f>IF(J75&gt;0.97,"Sold Out",IF(J75&gt;=0.85,"Critical",IF(J75&gt;=0.7,"Constrained","Healthy")))</f>
        <v>Constrained</v>
      </c>
      <c r="M75" s="8" t="s">
        <v>150</v>
      </c>
      <c r="N75" s="8" t="str">
        <f>IF(M75="None","No","Yes")</f>
        <v>Yes</v>
      </c>
      <c r="O75" s="9">
        <v>46280</v>
      </c>
    </row>
    <row r="76" spans="1:15">
      <c r="A76" s="1" t="s">
        <v>256</v>
      </c>
      <c r="B76" s="1" t="s">
        <v>220</v>
      </c>
      <c r="C76" s="1" t="s">
        <v>212</v>
      </c>
      <c r="D76" s="1" t="s">
        <v>165</v>
      </c>
      <c r="E76" s="1" t="s">
        <v>163</v>
      </c>
      <c r="F76" s="6">
        <v>64</v>
      </c>
      <c r="G76" s="6">
        <v>10880</v>
      </c>
      <c r="H76" s="6">
        <v>10688</v>
      </c>
      <c r="I76" s="6">
        <f>G76-H76</f>
        <v>192</v>
      </c>
      <c r="J76" s="7">
        <f>IF(G76=0,0,H76/G76)</f>
        <v>0.98235294117647054</v>
      </c>
      <c r="K76" s="6">
        <f>ROUNDDOWN(I76/F76,0)</f>
        <v>3</v>
      </c>
      <c r="L76" s="8" t="str">
        <f>IF(J76&gt;0.97,"Sold Out",IF(J76&gt;=0.85,"Critical",IF(J76&gt;=0.7,"Constrained","Healthy")))</f>
        <v>Sold Out</v>
      </c>
      <c r="M76" s="8" t="s">
        <v>166</v>
      </c>
      <c r="N76" s="8" t="str">
        <f>IF(M76="None","No","Yes")</f>
        <v>Yes</v>
      </c>
      <c r="O76" s="9">
        <v>46280</v>
      </c>
    </row>
    <row r="77" spans="1:15">
      <c r="A77" s="1" t="s">
        <v>257</v>
      </c>
      <c r="B77" s="1" t="s">
        <v>220</v>
      </c>
      <c r="C77" s="1" t="s">
        <v>212</v>
      </c>
      <c r="D77" s="1" t="s">
        <v>186</v>
      </c>
      <c r="E77" s="1" t="s">
        <v>187</v>
      </c>
      <c r="F77" s="6">
        <v>24</v>
      </c>
      <c r="G77" s="6">
        <v>1224</v>
      </c>
      <c r="H77" s="6">
        <v>1128</v>
      </c>
      <c r="I77" s="6">
        <f>G77-H77</f>
        <v>96</v>
      </c>
      <c r="J77" s="7">
        <f>IF(G77=0,0,H77/G77)</f>
        <v>0.92156862745098034</v>
      </c>
      <c r="K77" s="6">
        <f>ROUNDDOWN(I77/F77,0)</f>
        <v>4</v>
      </c>
      <c r="L77" s="8" t="str">
        <f>IF(J77&gt;0.97,"Sold Out",IF(J77&gt;=0.85,"Critical",IF(J77&gt;=0.7,"Constrained","Healthy")))</f>
        <v>Critical</v>
      </c>
      <c r="M77" s="8" t="s">
        <v>191</v>
      </c>
      <c r="N77" s="8" t="str">
        <f>IF(M77="None","No","Yes")</f>
        <v>Yes</v>
      </c>
      <c r="O77" s="9">
        <v>46280</v>
      </c>
    </row>
    <row r="78" spans="1:15">
      <c r="A78" s="1" t="s">
        <v>258</v>
      </c>
      <c r="B78" s="1" t="s">
        <v>259</v>
      </c>
      <c r="C78" s="1" t="s">
        <v>147</v>
      </c>
      <c r="D78" s="1" t="s">
        <v>148</v>
      </c>
      <c r="E78" s="1" t="s">
        <v>149</v>
      </c>
      <c r="F78" s="6">
        <v>8</v>
      </c>
      <c r="G78" s="6">
        <v>2592</v>
      </c>
      <c r="H78" s="6">
        <v>1152</v>
      </c>
      <c r="I78" s="6">
        <f>G78-H78</f>
        <v>1440</v>
      </c>
      <c r="J78" s="7">
        <f>IF(G78=0,0,H78/G78)</f>
        <v>0.44444444444444442</v>
      </c>
      <c r="K78" s="6">
        <f>ROUNDDOWN(I78/F78,0)</f>
        <v>180</v>
      </c>
      <c r="L78" s="8" t="str">
        <f>IF(J78&gt;0.97,"Sold Out",IF(J78&gt;=0.85,"Critical",IF(J78&gt;=0.7,"Constrained","Healthy")))</f>
        <v>Healthy</v>
      </c>
      <c r="M78" s="8" t="s">
        <v>153</v>
      </c>
      <c r="N78" s="8" t="str">
        <f>IF(M78="None","No","Yes")</f>
        <v>No</v>
      </c>
      <c r="O78" s="9">
        <v>46280</v>
      </c>
    </row>
    <row r="79" spans="1:15">
      <c r="A79" s="1" t="s">
        <v>260</v>
      </c>
      <c r="B79" s="1" t="s">
        <v>259</v>
      </c>
      <c r="C79" s="1" t="s">
        <v>147</v>
      </c>
      <c r="D79" s="1" t="s">
        <v>152</v>
      </c>
      <c r="E79" s="1" t="s">
        <v>149</v>
      </c>
      <c r="F79" s="6">
        <v>16</v>
      </c>
      <c r="G79" s="6">
        <v>3328</v>
      </c>
      <c r="H79" s="6">
        <v>1440</v>
      </c>
      <c r="I79" s="6">
        <f>G79-H79</f>
        <v>1888</v>
      </c>
      <c r="J79" s="7">
        <f>IF(G79=0,0,H79/G79)</f>
        <v>0.43269230769230771</v>
      </c>
      <c r="K79" s="6">
        <f>ROUNDDOWN(I79/F79,0)</f>
        <v>118</v>
      </c>
      <c r="L79" s="8" t="str">
        <f>IF(J79&gt;0.97,"Sold Out",IF(J79&gt;=0.85,"Critical",IF(J79&gt;=0.7,"Constrained","Healthy")))</f>
        <v>Healthy</v>
      </c>
      <c r="M79" s="8" t="s">
        <v>153</v>
      </c>
      <c r="N79" s="8" t="str">
        <f>IF(M79="None","No","Yes")</f>
        <v>No</v>
      </c>
      <c r="O79" s="9">
        <v>46280</v>
      </c>
    </row>
    <row r="80" spans="1:15">
      <c r="A80" s="1" t="s">
        <v>261</v>
      </c>
      <c r="B80" s="1" t="s">
        <v>259</v>
      </c>
      <c r="C80" s="1" t="s">
        <v>147</v>
      </c>
      <c r="D80" s="1" t="s">
        <v>155</v>
      </c>
      <c r="E80" s="1" t="s">
        <v>149</v>
      </c>
      <c r="F80" s="6">
        <v>32</v>
      </c>
      <c r="G80" s="6">
        <v>18496</v>
      </c>
      <c r="H80" s="6">
        <v>9888</v>
      </c>
      <c r="I80" s="6">
        <f>G80-H80</f>
        <v>8608</v>
      </c>
      <c r="J80" s="7">
        <f>IF(G80=0,0,H80/G80)</f>
        <v>0.53460207612456745</v>
      </c>
      <c r="K80" s="6">
        <f>ROUNDDOWN(I80/F80,0)</f>
        <v>269</v>
      </c>
      <c r="L80" s="8" t="str">
        <f>IF(J80&gt;0.97,"Sold Out",IF(J80&gt;=0.85,"Critical",IF(J80&gt;=0.7,"Constrained","Healthy")))</f>
        <v>Healthy</v>
      </c>
      <c r="M80" s="8" t="s">
        <v>153</v>
      </c>
      <c r="N80" s="8" t="str">
        <f>IF(M80="None","No","Yes")</f>
        <v>No</v>
      </c>
      <c r="O80" s="9">
        <v>46280</v>
      </c>
    </row>
    <row r="81" spans="1:15">
      <c r="A81" s="1" t="s">
        <v>262</v>
      </c>
      <c r="B81" s="1" t="s">
        <v>259</v>
      </c>
      <c r="C81" s="1" t="s">
        <v>147</v>
      </c>
      <c r="D81" s="1" t="s">
        <v>157</v>
      </c>
      <c r="E81" s="1" t="s">
        <v>149</v>
      </c>
      <c r="F81" s="6">
        <v>64</v>
      </c>
      <c r="G81" s="6">
        <v>6720</v>
      </c>
      <c r="H81" s="6">
        <v>4032</v>
      </c>
      <c r="I81" s="6">
        <f>G81-H81</f>
        <v>2688</v>
      </c>
      <c r="J81" s="7">
        <f>IF(G81=0,0,H81/G81)</f>
        <v>0.6</v>
      </c>
      <c r="K81" s="6">
        <f>ROUNDDOWN(I81/F81,0)</f>
        <v>42</v>
      </c>
      <c r="L81" s="8" t="str">
        <f>IF(J81&gt;0.97,"Sold Out",IF(J81&gt;=0.85,"Critical",IF(J81&gt;=0.7,"Constrained","Healthy")))</f>
        <v>Healthy</v>
      </c>
      <c r="M81" s="8" t="s">
        <v>153</v>
      </c>
      <c r="N81" s="8" t="str">
        <f>IF(M81="None","No","Yes")</f>
        <v>No</v>
      </c>
      <c r="O81" s="9">
        <v>46280</v>
      </c>
    </row>
    <row r="82" spans="1:15">
      <c r="A82" s="1" t="s">
        <v>263</v>
      </c>
      <c r="B82" s="1" t="s">
        <v>259</v>
      </c>
      <c r="C82" s="1" t="s">
        <v>147</v>
      </c>
      <c r="D82" s="1" t="s">
        <v>159</v>
      </c>
      <c r="E82" s="1" t="s">
        <v>160</v>
      </c>
      <c r="F82" s="6">
        <v>16</v>
      </c>
      <c r="G82" s="6">
        <v>12608</v>
      </c>
      <c r="H82" s="6">
        <v>7904</v>
      </c>
      <c r="I82" s="6">
        <f>G82-H82</f>
        <v>4704</v>
      </c>
      <c r="J82" s="7">
        <f>IF(G82=0,0,H82/G82)</f>
        <v>0.62690355329949243</v>
      </c>
      <c r="K82" s="6">
        <f>ROUNDDOWN(I82/F82,0)</f>
        <v>294</v>
      </c>
      <c r="L82" s="8" t="str">
        <f>IF(J82&gt;0.97,"Sold Out",IF(J82&gt;=0.85,"Critical",IF(J82&gt;=0.7,"Constrained","Healthy")))</f>
        <v>Healthy</v>
      </c>
      <c r="M82" s="8" t="s">
        <v>153</v>
      </c>
      <c r="N82" s="8" t="str">
        <f>IF(M82="None","No","Yes")</f>
        <v>No</v>
      </c>
      <c r="O82" s="9">
        <v>46280</v>
      </c>
    </row>
    <row r="83" spans="1:15">
      <c r="A83" s="1" t="s">
        <v>264</v>
      </c>
      <c r="B83" s="1" t="s">
        <v>259</v>
      </c>
      <c r="C83" s="1" t="s">
        <v>147</v>
      </c>
      <c r="D83" s="1" t="s">
        <v>162</v>
      </c>
      <c r="E83" s="1" t="s">
        <v>163</v>
      </c>
      <c r="F83" s="6">
        <v>32</v>
      </c>
      <c r="G83" s="6">
        <v>24544</v>
      </c>
      <c r="H83" s="6">
        <v>10880</v>
      </c>
      <c r="I83" s="6">
        <f>G83-H83</f>
        <v>13664</v>
      </c>
      <c r="J83" s="7">
        <f>IF(G83=0,0,H83/G83)</f>
        <v>0.44328552803129073</v>
      </c>
      <c r="K83" s="6">
        <f>ROUNDDOWN(I83/F83,0)</f>
        <v>427</v>
      </c>
      <c r="L83" s="8" t="str">
        <f>IF(J83&gt;0.97,"Sold Out",IF(J83&gt;=0.85,"Critical",IF(J83&gt;=0.7,"Constrained","Healthy")))</f>
        <v>Healthy</v>
      </c>
      <c r="M83" s="8" t="s">
        <v>153</v>
      </c>
      <c r="N83" s="8" t="str">
        <f>IF(M83="None","No","Yes")</f>
        <v>No</v>
      </c>
      <c r="O83" s="9">
        <v>46280</v>
      </c>
    </row>
    <row r="84" spans="1:15">
      <c r="A84" s="1" t="s">
        <v>265</v>
      </c>
      <c r="B84" s="1" t="s">
        <v>259</v>
      </c>
      <c r="C84" s="1" t="s">
        <v>147</v>
      </c>
      <c r="D84" s="1" t="s">
        <v>165</v>
      </c>
      <c r="E84" s="1" t="s">
        <v>163</v>
      </c>
      <c r="F84" s="6">
        <v>64</v>
      </c>
      <c r="G84" s="6">
        <v>8512</v>
      </c>
      <c r="H84" s="6">
        <v>8448</v>
      </c>
      <c r="I84" s="6">
        <f>G84-H84</f>
        <v>64</v>
      </c>
      <c r="J84" s="7">
        <f>IF(G84=0,0,H84/G84)</f>
        <v>0.99248120300751874</v>
      </c>
      <c r="K84" s="6">
        <f>ROUNDDOWN(I84/F84,0)</f>
        <v>1</v>
      </c>
      <c r="L84" s="8" t="str">
        <f>IF(J84&gt;0.97,"Sold Out",IF(J84&gt;=0.85,"Critical",IF(J84&gt;=0.7,"Constrained","Healthy")))</f>
        <v>Sold Out</v>
      </c>
      <c r="M84" s="8" t="s">
        <v>166</v>
      </c>
      <c r="N84" s="8" t="str">
        <f>IF(M84="None","No","Yes")</f>
        <v>Yes</v>
      </c>
      <c r="O84" s="9">
        <v>46280</v>
      </c>
    </row>
    <row r="85" spans="1:15">
      <c r="A85" s="1" t="s">
        <v>266</v>
      </c>
      <c r="B85" s="1" t="s">
        <v>259</v>
      </c>
      <c r="C85" s="1" t="s">
        <v>147</v>
      </c>
      <c r="D85" s="1" t="s">
        <v>168</v>
      </c>
      <c r="E85" s="1" t="s">
        <v>169</v>
      </c>
      <c r="F85" s="6">
        <v>32</v>
      </c>
      <c r="G85" s="6">
        <v>8896</v>
      </c>
      <c r="H85" s="6">
        <v>7072</v>
      </c>
      <c r="I85" s="6">
        <f>G85-H85</f>
        <v>1824</v>
      </c>
      <c r="J85" s="7">
        <f>IF(G85=0,0,H85/G85)</f>
        <v>0.79496402877697847</v>
      </c>
      <c r="K85" s="6">
        <f>ROUNDDOWN(I85/F85,0)</f>
        <v>57</v>
      </c>
      <c r="L85" s="8" t="str">
        <f>IF(J85&gt;0.97,"Sold Out",IF(J85&gt;=0.85,"Critical",IF(J85&gt;=0.7,"Constrained","Healthy")))</f>
        <v>Constrained</v>
      </c>
      <c r="M85" s="8" t="s">
        <v>153</v>
      </c>
      <c r="N85" s="8" t="str">
        <f>IF(M85="None","No","Yes")</f>
        <v>No</v>
      </c>
      <c r="O85" s="9">
        <v>46280</v>
      </c>
    </row>
    <row r="86" spans="1:15">
      <c r="A86" s="1" t="s">
        <v>267</v>
      </c>
      <c r="B86" s="1" t="s">
        <v>259</v>
      </c>
      <c r="C86" s="1" t="s">
        <v>147</v>
      </c>
      <c r="D86" s="1" t="s">
        <v>171</v>
      </c>
      <c r="E86" s="1" t="s">
        <v>172</v>
      </c>
      <c r="F86" s="6">
        <v>16</v>
      </c>
      <c r="G86" s="6">
        <v>9360</v>
      </c>
      <c r="H86" s="6">
        <v>6112</v>
      </c>
      <c r="I86" s="6">
        <f>G86-H86</f>
        <v>3248</v>
      </c>
      <c r="J86" s="7">
        <f>IF(G86=0,0,H86/G86)</f>
        <v>0.652991452991453</v>
      </c>
      <c r="K86" s="6">
        <f>ROUNDDOWN(I86/F86,0)</f>
        <v>203</v>
      </c>
      <c r="L86" s="8" t="str">
        <f>IF(J86&gt;0.97,"Sold Out",IF(J86&gt;=0.85,"Critical",IF(J86&gt;=0.7,"Constrained","Healthy")))</f>
        <v>Healthy</v>
      </c>
      <c r="M86" s="8" t="s">
        <v>153</v>
      </c>
      <c r="N86" s="8" t="str">
        <f>IF(M86="None","No","Yes")</f>
        <v>No</v>
      </c>
      <c r="O86" s="9">
        <v>46280</v>
      </c>
    </row>
    <row r="87" spans="1:15">
      <c r="A87" s="1" t="s">
        <v>268</v>
      </c>
      <c r="B87" s="1" t="s">
        <v>259</v>
      </c>
      <c r="C87" s="1" t="s">
        <v>147</v>
      </c>
      <c r="D87" s="1" t="s">
        <v>174</v>
      </c>
      <c r="E87" s="1" t="s">
        <v>175</v>
      </c>
      <c r="F87" s="6">
        <v>128</v>
      </c>
      <c r="G87" s="6">
        <v>3712</v>
      </c>
      <c r="H87" s="6">
        <v>3712</v>
      </c>
      <c r="I87" s="6">
        <f>G87-H87</f>
        <v>0</v>
      </c>
      <c r="J87" s="7">
        <f>IF(G87=0,0,H87/G87)</f>
        <v>1</v>
      </c>
      <c r="K87" s="6">
        <f>ROUNDDOWN(I87/F87,0)</f>
        <v>0</v>
      </c>
      <c r="L87" s="8" t="str">
        <f>IF(J87&gt;0.97,"Sold Out",IF(J87&gt;=0.85,"Critical",IF(J87&gt;=0.7,"Constrained","Healthy")))</f>
        <v>Sold Out</v>
      </c>
      <c r="M87" s="8" t="s">
        <v>166</v>
      </c>
      <c r="N87" s="8" t="str">
        <f>IF(M87="None","No","Yes")</f>
        <v>Yes</v>
      </c>
      <c r="O87" s="9">
        <v>46280</v>
      </c>
    </row>
    <row r="88" spans="1:15">
      <c r="A88" s="1" t="s">
        <v>269</v>
      </c>
      <c r="B88" s="1" t="s">
        <v>259</v>
      </c>
      <c r="C88" s="1" t="s">
        <v>147</v>
      </c>
      <c r="D88" s="1" t="s">
        <v>177</v>
      </c>
      <c r="E88" s="1" t="s">
        <v>178</v>
      </c>
      <c r="F88" s="6">
        <v>16</v>
      </c>
      <c r="G88" s="6">
        <v>4400</v>
      </c>
      <c r="H88" s="6">
        <v>3584</v>
      </c>
      <c r="I88" s="6">
        <f>G88-H88</f>
        <v>816</v>
      </c>
      <c r="J88" s="7">
        <f>IF(G88=0,0,H88/G88)</f>
        <v>0.81454545454545457</v>
      </c>
      <c r="K88" s="6">
        <f>ROUNDDOWN(I88/F88,0)</f>
        <v>51</v>
      </c>
      <c r="L88" s="8" t="str">
        <f>IF(J88&gt;0.97,"Sold Out",IF(J88&gt;=0.85,"Critical",IF(J88&gt;=0.7,"Constrained","Healthy")))</f>
        <v>Constrained</v>
      </c>
      <c r="M88" s="8" t="s">
        <v>153</v>
      </c>
      <c r="N88" s="8" t="str">
        <f>IF(M88="None","No","Yes")</f>
        <v>No</v>
      </c>
      <c r="O88" s="9">
        <v>46280</v>
      </c>
    </row>
    <row r="89" spans="1:15">
      <c r="A89" s="1" t="s">
        <v>270</v>
      </c>
      <c r="B89" s="1" t="s">
        <v>259</v>
      </c>
      <c r="C89" s="1" t="s">
        <v>147</v>
      </c>
      <c r="D89" s="1" t="s">
        <v>180</v>
      </c>
      <c r="E89" s="1" t="s">
        <v>181</v>
      </c>
      <c r="F89" s="6">
        <v>32</v>
      </c>
      <c r="G89" s="6">
        <v>9120</v>
      </c>
      <c r="H89" s="6">
        <v>6816</v>
      </c>
      <c r="I89" s="6">
        <f>G89-H89</f>
        <v>2304</v>
      </c>
      <c r="J89" s="7">
        <f>IF(G89=0,0,H89/G89)</f>
        <v>0.74736842105263157</v>
      </c>
      <c r="K89" s="6">
        <f>ROUNDDOWN(I89/F89,0)</f>
        <v>72</v>
      </c>
      <c r="L89" s="8" t="str">
        <f>IF(J89&gt;0.97,"Sold Out",IF(J89&gt;=0.85,"Critical",IF(J89&gt;=0.7,"Constrained","Healthy")))</f>
        <v>Constrained</v>
      </c>
      <c r="M89" s="8" t="s">
        <v>150</v>
      </c>
      <c r="N89" s="8" t="str">
        <f>IF(M89="None","No","Yes")</f>
        <v>Yes</v>
      </c>
      <c r="O89" s="9">
        <v>46280</v>
      </c>
    </row>
    <row r="90" spans="1:15">
      <c r="A90" s="1" t="s">
        <v>271</v>
      </c>
      <c r="B90" s="1" t="s">
        <v>259</v>
      </c>
      <c r="C90" s="1" t="s">
        <v>147</v>
      </c>
      <c r="D90" s="1" t="s">
        <v>186</v>
      </c>
      <c r="E90" s="1" t="s">
        <v>187</v>
      </c>
      <c r="F90" s="6">
        <v>24</v>
      </c>
      <c r="G90" s="6">
        <v>744</v>
      </c>
      <c r="H90" s="6">
        <v>744</v>
      </c>
      <c r="I90" s="6">
        <f>G90-H90</f>
        <v>0</v>
      </c>
      <c r="J90" s="7">
        <f>IF(G90=0,0,H90/G90)</f>
        <v>1</v>
      </c>
      <c r="K90" s="6">
        <f>ROUNDDOWN(I90/F90,0)</f>
        <v>0</v>
      </c>
      <c r="L90" s="8" t="str">
        <f>IF(J90&gt;0.97,"Sold Out",IF(J90&gt;=0.85,"Critical",IF(J90&gt;=0.7,"Constrained","Healthy")))</f>
        <v>Sold Out</v>
      </c>
      <c r="M90" s="8" t="s">
        <v>166</v>
      </c>
      <c r="N90" s="8" t="str">
        <f>IF(M90="None","No","Yes")</f>
        <v>Yes</v>
      </c>
      <c r="O90" s="9">
        <v>46280</v>
      </c>
    </row>
    <row r="91" spans="1:15">
      <c r="A91" s="1" t="s">
        <v>272</v>
      </c>
      <c r="B91" s="1" t="s">
        <v>259</v>
      </c>
      <c r="C91" s="1" t="s">
        <v>147</v>
      </c>
      <c r="D91" s="1" t="s">
        <v>189</v>
      </c>
      <c r="E91" s="1" t="s">
        <v>190</v>
      </c>
      <c r="F91" s="6">
        <v>96</v>
      </c>
      <c r="G91" s="6">
        <v>1152</v>
      </c>
      <c r="H91" s="6">
        <v>1152</v>
      </c>
      <c r="I91" s="6">
        <f>G91-H91</f>
        <v>0</v>
      </c>
      <c r="J91" s="7">
        <f>IF(G91=0,0,H91/G91)</f>
        <v>1</v>
      </c>
      <c r="K91" s="6">
        <f>ROUNDDOWN(I91/F91,0)</f>
        <v>0</v>
      </c>
      <c r="L91" s="8" t="str">
        <f>IF(J91&gt;0.97,"Sold Out",IF(J91&gt;=0.85,"Critical",IF(J91&gt;=0.7,"Constrained","Healthy")))</f>
        <v>Sold Out</v>
      </c>
      <c r="M91" s="8" t="s">
        <v>166</v>
      </c>
      <c r="N91" s="8" t="str">
        <f>IF(M91="None","No","Yes")</f>
        <v>Yes</v>
      </c>
      <c r="O91" s="9">
        <v>46280</v>
      </c>
    </row>
    <row r="92" spans="1:15">
      <c r="A92" s="1" t="s">
        <v>273</v>
      </c>
      <c r="B92" s="1" t="s">
        <v>259</v>
      </c>
      <c r="C92" s="1" t="s">
        <v>147</v>
      </c>
      <c r="D92" s="1" t="s">
        <v>193</v>
      </c>
      <c r="E92" s="1" t="s">
        <v>194</v>
      </c>
      <c r="F92" s="6">
        <v>40</v>
      </c>
      <c r="G92" s="6">
        <v>1440</v>
      </c>
      <c r="H92" s="6">
        <v>1320</v>
      </c>
      <c r="I92" s="6">
        <f>G92-H92</f>
        <v>120</v>
      </c>
      <c r="J92" s="7">
        <f>IF(G92=0,0,H92/G92)</f>
        <v>0.91666666666666663</v>
      </c>
      <c r="K92" s="6">
        <f>ROUNDDOWN(I92/F92,0)</f>
        <v>3</v>
      </c>
      <c r="L92" s="8" t="str">
        <f>IF(J92&gt;0.97,"Sold Out",IF(J92&gt;=0.85,"Critical",IF(J92&gt;=0.7,"Constrained","Healthy")))</f>
        <v>Critical</v>
      </c>
      <c r="M92" s="8" t="s">
        <v>191</v>
      </c>
      <c r="N92" s="8" t="str">
        <f>IF(M92="None","No","Yes")</f>
        <v>Yes</v>
      </c>
      <c r="O92" s="9">
        <v>46280</v>
      </c>
    </row>
    <row r="93" spans="1:15">
      <c r="A93" s="1" t="s">
        <v>274</v>
      </c>
      <c r="B93" s="1" t="s">
        <v>259</v>
      </c>
      <c r="C93" s="1" t="s">
        <v>196</v>
      </c>
      <c r="D93" s="1" t="s">
        <v>148</v>
      </c>
      <c r="E93" s="1" t="s">
        <v>149</v>
      </c>
      <c r="F93" s="6">
        <v>8</v>
      </c>
      <c r="G93" s="6">
        <v>4616</v>
      </c>
      <c r="H93" s="6">
        <v>3344</v>
      </c>
      <c r="I93" s="6">
        <f>G93-H93</f>
        <v>1272</v>
      </c>
      <c r="J93" s="7">
        <f>IF(G93=0,0,H93/G93)</f>
        <v>0.72443674176776429</v>
      </c>
      <c r="K93" s="6">
        <f>ROUNDDOWN(I93/F93,0)</f>
        <v>159</v>
      </c>
      <c r="L93" s="8" t="str">
        <f>IF(J93&gt;0.97,"Sold Out",IF(J93&gt;=0.85,"Critical",IF(J93&gt;=0.7,"Constrained","Healthy")))</f>
        <v>Constrained</v>
      </c>
      <c r="M93" s="8" t="s">
        <v>150</v>
      </c>
      <c r="N93" s="8" t="str">
        <f>IF(M93="None","No","Yes")</f>
        <v>Yes</v>
      </c>
      <c r="O93" s="9">
        <v>46280</v>
      </c>
    </row>
    <row r="94" spans="1:15">
      <c r="A94" s="1" t="s">
        <v>275</v>
      </c>
      <c r="B94" s="1" t="s">
        <v>259</v>
      </c>
      <c r="C94" s="1" t="s">
        <v>196</v>
      </c>
      <c r="D94" s="1" t="s">
        <v>152</v>
      </c>
      <c r="E94" s="1" t="s">
        <v>149</v>
      </c>
      <c r="F94" s="6">
        <v>16</v>
      </c>
      <c r="G94" s="6">
        <v>8176</v>
      </c>
      <c r="H94" s="6">
        <v>5728</v>
      </c>
      <c r="I94" s="6">
        <f>G94-H94</f>
        <v>2448</v>
      </c>
      <c r="J94" s="7">
        <f>IF(G94=0,0,H94/G94)</f>
        <v>0.70058708414872795</v>
      </c>
      <c r="K94" s="6">
        <f>ROUNDDOWN(I94/F94,0)</f>
        <v>153</v>
      </c>
      <c r="L94" s="8" t="str">
        <f>IF(J94&gt;0.97,"Sold Out",IF(J94&gt;=0.85,"Critical",IF(J94&gt;=0.7,"Constrained","Healthy")))</f>
        <v>Constrained</v>
      </c>
      <c r="M94" s="8" t="s">
        <v>150</v>
      </c>
      <c r="N94" s="8" t="str">
        <f>IF(M94="None","No","Yes")</f>
        <v>Yes</v>
      </c>
      <c r="O94" s="9">
        <v>46280</v>
      </c>
    </row>
    <row r="95" spans="1:15">
      <c r="A95" s="1" t="s">
        <v>276</v>
      </c>
      <c r="B95" s="1" t="s">
        <v>259</v>
      </c>
      <c r="C95" s="1" t="s">
        <v>196</v>
      </c>
      <c r="D95" s="1" t="s">
        <v>155</v>
      </c>
      <c r="E95" s="1" t="s">
        <v>149</v>
      </c>
      <c r="F95" s="6">
        <v>32</v>
      </c>
      <c r="G95" s="6">
        <v>19904</v>
      </c>
      <c r="H95" s="6">
        <v>16704</v>
      </c>
      <c r="I95" s="6">
        <f>G95-H95</f>
        <v>3200</v>
      </c>
      <c r="J95" s="7">
        <f>IF(G95=0,0,H95/G95)</f>
        <v>0.83922829581993574</v>
      </c>
      <c r="K95" s="6">
        <f>ROUNDDOWN(I95/F95,0)</f>
        <v>100</v>
      </c>
      <c r="L95" s="8" t="str">
        <f>IF(J95&gt;0.97,"Sold Out",IF(J95&gt;=0.85,"Critical",IF(J95&gt;=0.7,"Constrained","Healthy")))</f>
        <v>Constrained</v>
      </c>
      <c r="M95" s="8" t="s">
        <v>153</v>
      </c>
      <c r="N95" s="8" t="str">
        <f>IF(M95="None","No","Yes")</f>
        <v>No</v>
      </c>
      <c r="O95" s="9">
        <v>46280</v>
      </c>
    </row>
    <row r="96" spans="1:15">
      <c r="A96" s="1" t="s">
        <v>277</v>
      </c>
      <c r="B96" s="1" t="s">
        <v>259</v>
      </c>
      <c r="C96" s="1" t="s">
        <v>196</v>
      </c>
      <c r="D96" s="1" t="s">
        <v>157</v>
      </c>
      <c r="E96" s="1" t="s">
        <v>149</v>
      </c>
      <c r="F96" s="6">
        <v>64</v>
      </c>
      <c r="G96" s="6">
        <v>6912</v>
      </c>
      <c r="H96" s="6">
        <v>4800</v>
      </c>
      <c r="I96" s="6">
        <f>G96-H96</f>
        <v>2112</v>
      </c>
      <c r="J96" s="7">
        <f>IF(G96=0,0,H96/G96)</f>
        <v>0.69444444444444442</v>
      </c>
      <c r="K96" s="6">
        <f>ROUNDDOWN(I96/F96,0)</f>
        <v>33</v>
      </c>
      <c r="L96" s="8" t="str">
        <f>IF(J96&gt;0.97,"Sold Out",IF(J96&gt;=0.85,"Critical",IF(J96&gt;=0.7,"Constrained","Healthy")))</f>
        <v>Healthy</v>
      </c>
      <c r="M96" s="8" t="s">
        <v>153</v>
      </c>
      <c r="N96" s="8" t="str">
        <f>IF(M96="None","No","Yes")</f>
        <v>No</v>
      </c>
      <c r="O96" s="9">
        <v>46280</v>
      </c>
    </row>
    <row r="97" spans="1:15">
      <c r="A97" s="1" t="s">
        <v>278</v>
      </c>
      <c r="B97" s="1" t="s">
        <v>259</v>
      </c>
      <c r="C97" s="1" t="s">
        <v>196</v>
      </c>
      <c r="D97" s="1" t="s">
        <v>159</v>
      </c>
      <c r="E97" s="1" t="s">
        <v>160</v>
      </c>
      <c r="F97" s="6">
        <v>16</v>
      </c>
      <c r="G97" s="6">
        <v>13328</v>
      </c>
      <c r="H97" s="6">
        <v>10032</v>
      </c>
      <c r="I97" s="6">
        <f>G97-H97</f>
        <v>3296</v>
      </c>
      <c r="J97" s="7">
        <f>IF(G97=0,0,H97/G97)</f>
        <v>0.75270108043217288</v>
      </c>
      <c r="K97" s="6">
        <f>ROUNDDOWN(I97/F97,0)</f>
        <v>206</v>
      </c>
      <c r="L97" s="8" t="str">
        <f>IF(J97&gt;0.97,"Sold Out",IF(J97&gt;=0.85,"Critical",IF(J97&gt;=0.7,"Constrained","Healthy")))</f>
        <v>Constrained</v>
      </c>
      <c r="M97" s="8" t="s">
        <v>150</v>
      </c>
      <c r="N97" s="8" t="str">
        <f>IF(M97="None","No","Yes")</f>
        <v>Yes</v>
      </c>
      <c r="O97" s="9">
        <v>46280</v>
      </c>
    </row>
    <row r="98" spans="1:15">
      <c r="A98" s="1" t="s">
        <v>279</v>
      </c>
      <c r="B98" s="1" t="s">
        <v>259</v>
      </c>
      <c r="C98" s="1" t="s">
        <v>196</v>
      </c>
      <c r="D98" s="1" t="s">
        <v>162</v>
      </c>
      <c r="E98" s="1" t="s">
        <v>163</v>
      </c>
      <c r="F98" s="6">
        <v>32</v>
      </c>
      <c r="G98" s="6">
        <v>14752</v>
      </c>
      <c r="H98" s="6">
        <v>8000</v>
      </c>
      <c r="I98" s="6">
        <f>G98-H98</f>
        <v>6752</v>
      </c>
      <c r="J98" s="7">
        <f>IF(G98=0,0,H98/G98)</f>
        <v>0.54229934924078094</v>
      </c>
      <c r="K98" s="6">
        <f>ROUNDDOWN(I98/F98,0)</f>
        <v>211</v>
      </c>
      <c r="L98" s="8" t="str">
        <f>IF(J98&gt;0.97,"Sold Out",IF(J98&gt;=0.85,"Critical",IF(J98&gt;=0.7,"Constrained","Healthy")))</f>
        <v>Healthy</v>
      </c>
      <c r="M98" s="8" t="s">
        <v>153</v>
      </c>
      <c r="N98" s="8" t="str">
        <f>IF(M98="None","No","Yes")</f>
        <v>No</v>
      </c>
      <c r="O98" s="9">
        <v>46280</v>
      </c>
    </row>
    <row r="99" spans="1:15">
      <c r="A99" s="1" t="s">
        <v>280</v>
      </c>
      <c r="B99" s="1" t="s">
        <v>259</v>
      </c>
      <c r="C99" s="1" t="s">
        <v>196</v>
      </c>
      <c r="D99" s="1" t="s">
        <v>165</v>
      </c>
      <c r="E99" s="1" t="s">
        <v>163</v>
      </c>
      <c r="F99" s="6">
        <v>64</v>
      </c>
      <c r="G99" s="6">
        <v>8960</v>
      </c>
      <c r="H99" s="6">
        <v>8768</v>
      </c>
      <c r="I99" s="6">
        <f>G99-H99</f>
        <v>192</v>
      </c>
      <c r="J99" s="7">
        <f>IF(G99=0,0,H99/G99)</f>
        <v>0.97857142857142854</v>
      </c>
      <c r="K99" s="6">
        <f>ROUNDDOWN(I99/F99,0)</f>
        <v>3</v>
      </c>
      <c r="L99" s="8" t="str">
        <f>IF(J99&gt;0.97,"Sold Out",IF(J99&gt;=0.85,"Critical",IF(J99&gt;=0.7,"Constrained","Healthy")))</f>
        <v>Sold Out</v>
      </c>
      <c r="M99" s="8" t="s">
        <v>166</v>
      </c>
      <c r="N99" s="8" t="str">
        <f>IF(M99="None","No","Yes")</f>
        <v>Yes</v>
      </c>
      <c r="O99" s="9">
        <v>46280</v>
      </c>
    </row>
    <row r="100" spans="1:15">
      <c r="A100" s="1" t="s">
        <v>281</v>
      </c>
      <c r="B100" s="1" t="s">
        <v>259</v>
      </c>
      <c r="C100" s="1" t="s">
        <v>196</v>
      </c>
      <c r="D100" s="1" t="s">
        <v>168</v>
      </c>
      <c r="E100" s="1" t="s">
        <v>169</v>
      </c>
      <c r="F100" s="6">
        <v>32</v>
      </c>
      <c r="G100" s="6">
        <v>17984</v>
      </c>
      <c r="H100" s="6">
        <v>11392</v>
      </c>
      <c r="I100" s="6">
        <f>G100-H100</f>
        <v>6592</v>
      </c>
      <c r="J100" s="7">
        <f>IF(G100=0,0,H100/G100)</f>
        <v>0.63345195729537362</v>
      </c>
      <c r="K100" s="6">
        <f>ROUNDDOWN(I100/F100,0)</f>
        <v>206</v>
      </c>
      <c r="L100" s="8" t="str">
        <f>IF(J100&gt;0.97,"Sold Out",IF(J100&gt;=0.85,"Critical",IF(J100&gt;=0.7,"Constrained","Healthy")))</f>
        <v>Healthy</v>
      </c>
      <c r="M100" s="8" t="s">
        <v>153</v>
      </c>
      <c r="N100" s="8" t="str">
        <f>IF(M100="None","No","Yes")</f>
        <v>No</v>
      </c>
      <c r="O100" s="9">
        <v>46280</v>
      </c>
    </row>
    <row r="101" spans="1:15">
      <c r="A101" s="1" t="s">
        <v>282</v>
      </c>
      <c r="B101" s="1" t="s">
        <v>259</v>
      </c>
      <c r="C101" s="1" t="s">
        <v>196</v>
      </c>
      <c r="D101" s="1" t="s">
        <v>174</v>
      </c>
      <c r="E101" s="1" t="s">
        <v>175</v>
      </c>
      <c r="F101" s="6">
        <v>128</v>
      </c>
      <c r="G101" s="6">
        <v>4352</v>
      </c>
      <c r="H101" s="6">
        <v>4352</v>
      </c>
      <c r="I101" s="6">
        <f>G101-H101</f>
        <v>0</v>
      </c>
      <c r="J101" s="7">
        <f>IF(G101=0,0,H101/G101)</f>
        <v>1</v>
      </c>
      <c r="K101" s="6">
        <f>ROUNDDOWN(I101/F101,0)</f>
        <v>0</v>
      </c>
      <c r="L101" s="8" t="str">
        <f>IF(J101&gt;0.97,"Sold Out",IF(J101&gt;=0.85,"Critical",IF(J101&gt;=0.7,"Constrained","Healthy")))</f>
        <v>Sold Out</v>
      </c>
      <c r="M101" s="8" t="s">
        <v>166</v>
      </c>
      <c r="N101" s="8" t="str">
        <f>IF(M101="None","No","Yes")</f>
        <v>Yes</v>
      </c>
      <c r="O101" s="9">
        <v>46280</v>
      </c>
    </row>
    <row r="102" spans="1:15">
      <c r="A102" s="1" t="s">
        <v>283</v>
      </c>
      <c r="B102" s="1" t="s">
        <v>259</v>
      </c>
      <c r="C102" s="1" t="s">
        <v>196</v>
      </c>
      <c r="D102" s="1" t="s">
        <v>177</v>
      </c>
      <c r="E102" s="1" t="s">
        <v>178</v>
      </c>
      <c r="F102" s="6">
        <v>16</v>
      </c>
      <c r="G102" s="6">
        <v>2640</v>
      </c>
      <c r="H102" s="6">
        <v>1936</v>
      </c>
      <c r="I102" s="6">
        <f>G102-H102</f>
        <v>704</v>
      </c>
      <c r="J102" s="7">
        <f>IF(G102=0,0,H102/G102)</f>
        <v>0.73333333333333328</v>
      </c>
      <c r="K102" s="6">
        <f>ROUNDDOWN(I102/F102,0)</f>
        <v>44</v>
      </c>
      <c r="L102" s="8" t="str">
        <f>IF(J102&gt;0.97,"Sold Out",IF(J102&gt;=0.85,"Critical",IF(J102&gt;=0.7,"Constrained","Healthy")))</f>
        <v>Constrained</v>
      </c>
      <c r="M102" s="8" t="s">
        <v>150</v>
      </c>
      <c r="N102" s="8" t="str">
        <f>IF(M102="None","No","Yes")</f>
        <v>Yes</v>
      </c>
      <c r="O102" s="9">
        <v>46280</v>
      </c>
    </row>
    <row r="103" spans="1:15">
      <c r="A103" s="1" t="s">
        <v>284</v>
      </c>
      <c r="B103" s="1" t="s">
        <v>259</v>
      </c>
      <c r="C103" s="1" t="s">
        <v>196</v>
      </c>
      <c r="D103" s="1" t="s">
        <v>180</v>
      </c>
      <c r="E103" s="1" t="s">
        <v>181</v>
      </c>
      <c r="F103" s="6">
        <v>32</v>
      </c>
      <c r="G103" s="6">
        <v>17056</v>
      </c>
      <c r="H103" s="6">
        <v>12800</v>
      </c>
      <c r="I103" s="6">
        <f>G103-H103</f>
        <v>4256</v>
      </c>
      <c r="J103" s="7">
        <f>IF(G103=0,0,H103/G103)</f>
        <v>0.75046904315196994</v>
      </c>
      <c r="K103" s="6">
        <f>ROUNDDOWN(I103/F103,0)</f>
        <v>133</v>
      </c>
      <c r="L103" s="8" t="str">
        <f>IF(J103&gt;0.97,"Sold Out",IF(J103&gt;=0.85,"Critical",IF(J103&gt;=0.7,"Constrained","Healthy")))</f>
        <v>Constrained</v>
      </c>
      <c r="M103" s="8" t="s">
        <v>150</v>
      </c>
      <c r="N103" s="8" t="str">
        <f>IF(M103="None","No","Yes")</f>
        <v>Yes</v>
      </c>
      <c r="O103" s="9">
        <v>46280</v>
      </c>
    </row>
    <row r="104" spans="1:15">
      <c r="A104" s="1" t="s">
        <v>285</v>
      </c>
      <c r="B104" s="1" t="s">
        <v>259</v>
      </c>
      <c r="C104" s="1" t="s">
        <v>196</v>
      </c>
      <c r="D104" s="1" t="s">
        <v>186</v>
      </c>
      <c r="E104" s="1" t="s">
        <v>187</v>
      </c>
      <c r="F104" s="6">
        <v>24</v>
      </c>
      <c r="G104" s="6">
        <v>384</v>
      </c>
      <c r="H104" s="6">
        <v>384</v>
      </c>
      <c r="I104" s="6">
        <f>G104-H104</f>
        <v>0</v>
      </c>
      <c r="J104" s="7">
        <f>IF(G104=0,0,H104/G104)</f>
        <v>1</v>
      </c>
      <c r="K104" s="6">
        <f>ROUNDDOWN(I104/F104,0)</f>
        <v>0</v>
      </c>
      <c r="L104" s="8" t="str">
        <f>IF(J104&gt;0.97,"Sold Out",IF(J104&gt;=0.85,"Critical",IF(J104&gt;=0.7,"Constrained","Healthy")))</f>
        <v>Sold Out</v>
      </c>
      <c r="M104" s="8" t="s">
        <v>166</v>
      </c>
      <c r="N104" s="8" t="str">
        <f>IF(M104="None","No","Yes")</f>
        <v>Yes</v>
      </c>
      <c r="O104" s="9">
        <v>46280</v>
      </c>
    </row>
    <row r="105" spans="1:15">
      <c r="A105" s="1" t="s">
        <v>286</v>
      </c>
      <c r="B105" s="1" t="s">
        <v>259</v>
      </c>
      <c r="C105" s="1" t="s">
        <v>196</v>
      </c>
      <c r="D105" s="1" t="s">
        <v>189</v>
      </c>
      <c r="E105" s="1" t="s">
        <v>190</v>
      </c>
      <c r="F105" s="6">
        <v>96</v>
      </c>
      <c r="G105" s="6">
        <v>2112</v>
      </c>
      <c r="H105" s="6">
        <v>2016</v>
      </c>
      <c r="I105" s="6">
        <f>G105-H105</f>
        <v>96</v>
      </c>
      <c r="J105" s="7">
        <f>IF(G105=0,0,H105/G105)</f>
        <v>0.95454545454545459</v>
      </c>
      <c r="K105" s="6">
        <f>ROUNDDOWN(I105/F105,0)</f>
        <v>1</v>
      </c>
      <c r="L105" s="8" t="str">
        <f>IF(J105&gt;0.97,"Sold Out",IF(J105&gt;=0.85,"Critical",IF(J105&gt;=0.7,"Constrained","Healthy")))</f>
        <v>Critical</v>
      </c>
      <c r="M105" s="8" t="s">
        <v>191</v>
      </c>
      <c r="N105" s="8" t="str">
        <f>IF(M105="None","No","Yes")</f>
        <v>Yes</v>
      </c>
      <c r="O105" s="9">
        <v>46280</v>
      </c>
    </row>
    <row r="106" spans="1:15">
      <c r="A106" s="1" t="s">
        <v>287</v>
      </c>
      <c r="B106" s="1" t="s">
        <v>259</v>
      </c>
      <c r="C106" s="1" t="s">
        <v>196</v>
      </c>
      <c r="D106" s="1" t="s">
        <v>193</v>
      </c>
      <c r="E106" s="1" t="s">
        <v>194</v>
      </c>
      <c r="F106" s="6">
        <v>40</v>
      </c>
      <c r="G106" s="6">
        <v>1160</v>
      </c>
      <c r="H106" s="6">
        <v>1160</v>
      </c>
      <c r="I106" s="6">
        <f>G106-H106</f>
        <v>0</v>
      </c>
      <c r="J106" s="7">
        <f>IF(G106=0,0,H106/G106)</f>
        <v>1</v>
      </c>
      <c r="K106" s="6">
        <f>ROUNDDOWN(I106/F106,0)</f>
        <v>0</v>
      </c>
      <c r="L106" s="8" t="str">
        <f>IF(J106&gt;0.97,"Sold Out",IF(J106&gt;=0.85,"Critical",IF(J106&gt;=0.7,"Constrained","Healthy")))</f>
        <v>Sold Out</v>
      </c>
      <c r="M106" s="8" t="s">
        <v>166</v>
      </c>
      <c r="N106" s="8" t="str">
        <f>IF(M106="None","No","Yes")</f>
        <v>Yes</v>
      </c>
      <c r="O106" s="9">
        <v>46280</v>
      </c>
    </row>
    <row r="107" spans="1:15">
      <c r="A107" s="1" t="s">
        <v>288</v>
      </c>
      <c r="B107" s="1" t="s">
        <v>259</v>
      </c>
      <c r="C107" s="1" t="s">
        <v>212</v>
      </c>
      <c r="D107" s="1" t="s">
        <v>152</v>
      </c>
      <c r="E107" s="1" t="s">
        <v>149</v>
      </c>
      <c r="F107" s="6">
        <v>16</v>
      </c>
      <c r="G107" s="6">
        <v>6240</v>
      </c>
      <c r="H107" s="6">
        <v>4720</v>
      </c>
      <c r="I107" s="6">
        <f>G107-H107</f>
        <v>1520</v>
      </c>
      <c r="J107" s="7">
        <f>IF(G107=0,0,H107/G107)</f>
        <v>0.75641025641025639</v>
      </c>
      <c r="K107" s="6">
        <f>ROUNDDOWN(I107/F107,0)</f>
        <v>95</v>
      </c>
      <c r="L107" s="8" t="str">
        <f>IF(J107&gt;0.97,"Sold Out",IF(J107&gt;=0.85,"Critical",IF(J107&gt;=0.7,"Constrained","Healthy")))</f>
        <v>Constrained</v>
      </c>
      <c r="M107" s="8" t="s">
        <v>150</v>
      </c>
      <c r="N107" s="8" t="str">
        <f>IF(M107="None","No","Yes")</f>
        <v>Yes</v>
      </c>
      <c r="O107" s="9">
        <v>46280</v>
      </c>
    </row>
    <row r="108" spans="1:15">
      <c r="A108" s="1" t="s">
        <v>289</v>
      </c>
      <c r="B108" s="1" t="s">
        <v>259</v>
      </c>
      <c r="C108" s="1" t="s">
        <v>212</v>
      </c>
      <c r="D108" s="1" t="s">
        <v>155</v>
      </c>
      <c r="E108" s="1" t="s">
        <v>149</v>
      </c>
      <c r="F108" s="6">
        <v>32</v>
      </c>
      <c r="G108" s="6">
        <v>15008</v>
      </c>
      <c r="H108" s="6">
        <v>11616</v>
      </c>
      <c r="I108" s="6">
        <f>G108-H108</f>
        <v>3392</v>
      </c>
      <c r="J108" s="7">
        <f>IF(G108=0,0,H108/G108)</f>
        <v>0.77398720682302768</v>
      </c>
      <c r="K108" s="6">
        <f>ROUNDDOWN(I108/F108,0)</f>
        <v>106</v>
      </c>
      <c r="L108" s="8" t="str">
        <f>IF(J108&gt;0.97,"Sold Out",IF(J108&gt;=0.85,"Critical",IF(J108&gt;=0.7,"Constrained","Healthy")))</f>
        <v>Constrained</v>
      </c>
      <c r="M108" s="8" t="s">
        <v>150</v>
      </c>
      <c r="N108" s="8" t="str">
        <f>IF(M108="None","No","Yes")</f>
        <v>Yes</v>
      </c>
      <c r="O108" s="9">
        <v>46280</v>
      </c>
    </row>
    <row r="109" spans="1:15">
      <c r="A109" s="1" t="s">
        <v>290</v>
      </c>
      <c r="B109" s="1" t="s">
        <v>259</v>
      </c>
      <c r="C109" s="1" t="s">
        <v>212</v>
      </c>
      <c r="D109" s="1" t="s">
        <v>157</v>
      </c>
      <c r="E109" s="1" t="s">
        <v>149</v>
      </c>
      <c r="F109" s="6">
        <v>64</v>
      </c>
      <c r="G109" s="6">
        <v>4992</v>
      </c>
      <c r="H109" s="6">
        <v>2176</v>
      </c>
      <c r="I109" s="6">
        <f>G109-H109</f>
        <v>2816</v>
      </c>
      <c r="J109" s="7">
        <f>IF(G109=0,0,H109/G109)</f>
        <v>0.4358974358974359</v>
      </c>
      <c r="K109" s="6">
        <f>ROUNDDOWN(I109/F109,0)</f>
        <v>44</v>
      </c>
      <c r="L109" s="8" t="str">
        <f>IF(J109&gt;0.97,"Sold Out",IF(J109&gt;=0.85,"Critical",IF(J109&gt;=0.7,"Constrained","Healthy")))</f>
        <v>Healthy</v>
      </c>
      <c r="M109" s="8" t="s">
        <v>153</v>
      </c>
      <c r="N109" s="8" t="str">
        <f>IF(M109="None","No","Yes")</f>
        <v>No</v>
      </c>
      <c r="O109" s="9">
        <v>46280</v>
      </c>
    </row>
    <row r="110" spans="1:15">
      <c r="A110" s="1" t="s">
        <v>291</v>
      </c>
      <c r="B110" s="1" t="s">
        <v>259</v>
      </c>
      <c r="C110" s="1" t="s">
        <v>212</v>
      </c>
      <c r="D110" s="1" t="s">
        <v>159</v>
      </c>
      <c r="E110" s="1" t="s">
        <v>160</v>
      </c>
      <c r="F110" s="6">
        <v>16</v>
      </c>
      <c r="G110" s="6">
        <v>3376</v>
      </c>
      <c r="H110" s="6">
        <v>1904</v>
      </c>
      <c r="I110" s="6">
        <f>G110-H110</f>
        <v>1472</v>
      </c>
      <c r="J110" s="7">
        <f>IF(G110=0,0,H110/G110)</f>
        <v>0.56398104265402849</v>
      </c>
      <c r="K110" s="6">
        <f>ROUNDDOWN(I110/F110,0)</f>
        <v>92</v>
      </c>
      <c r="L110" s="8" t="str">
        <f>IF(J110&gt;0.97,"Sold Out",IF(J110&gt;=0.85,"Critical",IF(J110&gt;=0.7,"Constrained","Healthy")))</f>
        <v>Healthy</v>
      </c>
      <c r="M110" s="8" t="s">
        <v>153</v>
      </c>
      <c r="N110" s="8" t="str">
        <f>IF(M110="None","No","Yes")</f>
        <v>No</v>
      </c>
      <c r="O110" s="9">
        <v>46280</v>
      </c>
    </row>
    <row r="111" spans="1:15">
      <c r="A111" s="1" t="s">
        <v>292</v>
      </c>
      <c r="B111" s="1" t="s">
        <v>259</v>
      </c>
      <c r="C111" s="1" t="s">
        <v>212</v>
      </c>
      <c r="D111" s="1" t="s">
        <v>162</v>
      </c>
      <c r="E111" s="1" t="s">
        <v>163</v>
      </c>
      <c r="F111" s="6">
        <v>32</v>
      </c>
      <c r="G111" s="6">
        <v>24160</v>
      </c>
      <c r="H111" s="6">
        <v>16992</v>
      </c>
      <c r="I111" s="6">
        <f>G111-H111</f>
        <v>7168</v>
      </c>
      <c r="J111" s="7">
        <f>IF(G111=0,0,H111/G111)</f>
        <v>0.70331125827814567</v>
      </c>
      <c r="K111" s="6">
        <f>ROUNDDOWN(I111/F111,0)</f>
        <v>224</v>
      </c>
      <c r="L111" s="8" t="str">
        <f>IF(J111&gt;0.97,"Sold Out",IF(J111&gt;=0.85,"Critical",IF(J111&gt;=0.7,"Constrained","Healthy")))</f>
        <v>Constrained</v>
      </c>
      <c r="M111" s="8" t="s">
        <v>153</v>
      </c>
      <c r="N111" s="8" t="str">
        <f>IF(M111="None","No","Yes")</f>
        <v>No</v>
      </c>
      <c r="O111" s="9">
        <v>46280</v>
      </c>
    </row>
    <row r="112" spans="1:15">
      <c r="A112" s="1" t="s">
        <v>293</v>
      </c>
      <c r="B112" s="1" t="s">
        <v>259</v>
      </c>
      <c r="C112" s="1" t="s">
        <v>212</v>
      </c>
      <c r="D112" s="1" t="s">
        <v>165</v>
      </c>
      <c r="E112" s="1" t="s">
        <v>163</v>
      </c>
      <c r="F112" s="6">
        <v>64</v>
      </c>
      <c r="G112" s="6">
        <v>11904</v>
      </c>
      <c r="H112" s="6">
        <v>11648</v>
      </c>
      <c r="I112" s="6">
        <f>G112-H112</f>
        <v>256</v>
      </c>
      <c r="J112" s="7">
        <f>IF(G112=0,0,H112/G112)</f>
        <v>0.978494623655914</v>
      </c>
      <c r="K112" s="6">
        <f>ROUNDDOWN(I112/F112,0)</f>
        <v>4</v>
      </c>
      <c r="L112" s="8" t="str">
        <f>IF(J112&gt;0.97,"Sold Out",IF(J112&gt;=0.85,"Critical",IF(J112&gt;=0.7,"Constrained","Healthy")))</f>
        <v>Sold Out</v>
      </c>
      <c r="M112" s="8" t="s">
        <v>166</v>
      </c>
      <c r="N112" s="8" t="str">
        <f>IF(M112="None","No","Yes")</f>
        <v>Yes</v>
      </c>
      <c r="O112" s="9">
        <v>46280</v>
      </c>
    </row>
    <row r="113" spans="1:15">
      <c r="A113" s="1" t="s">
        <v>294</v>
      </c>
      <c r="B113" s="1" t="s">
        <v>259</v>
      </c>
      <c r="C113" s="1" t="s">
        <v>212</v>
      </c>
      <c r="D113" s="1" t="s">
        <v>186</v>
      </c>
      <c r="E113" s="1" t="s">
        <v>187</v>
      </c>
      <c r="F113" s="6">
        <v>24</v>
      </c>
      <c r="G113" s="6">
        <v>456</v>
      </c>
      <c r="H113" s="6">
        <v>456</v>
      </c>
      <c r="I113" s="6">
        <f>G113-H113</f>
        <v>0</v>
      </c>
      <c r="J113" s="7">
        <f>IF(G113=0,0,H113/G113)</f>
        <v>1</v>
      </c>
      <c r="K113" s="6">
        <f>ROUNDDOWN(I113/F113,0)</f>
        <v>0</v>
      </c>
      <c r="L113" s="8" t="str">
        <f>IF(J113&gt;0.97,"Sold Out",IF(J113&gt;=0.85,"Critical",IF(J113&gt;=0.7,"Constrained","Healthy")))</f>
        <v>Sold Out</v>
      </c>
      <c r="M113" s="8" t="s">
        <v>166</v>
      </c>
      <c r="N113" s="8" t="str">
        <f>IF(M113="None","No","Yes")</f>
        <v>Yes</v>
      </c>
      <c r="O113" s="9">
        <v>46280</v>
      </c>
    </row>
    <row r="114" spans="1:15">
      <c r="A114" s="1" t="s">
        <v>295</v>
      </c>
      <c r="B114" s="1" t="s">
        <v>296</v>
      </c>
      <c r="C114" s="1" t="s">
        <v>147</v>
      </c>
      <c r="D114" s="1" t="s">
        <v>148</v>
      </c>
      <c r="E114" s="1" t="s">
        <v>149</v>
      </c>
      <c r="F114" s="6">
        <v>8</v>
      </c>
      <c r="G114" s="6">
        <v>4248</v>
      </c>
      <c r="H114" s="6">
        <v>1816</v>
      </c>
      <c r="I114" s="6">
        <f>G114-H114</f>
        <v>2432</v>
      </c>
      <c r="J114" s="7">
        <f>IF(G114=0,0,H114/G114)</f>
        <v>0.42749529190207158</v>
      </c>
      <c r="K114" s="6">
        <f>ROUNDDOWN(I114/F114,0)</f>
        <v>304</v>
      </c>
      <c r="L114" s="8" t="str">
        <f>IF(J114&gt;0.97,"Sold Out",IF(J114&gt;=0.85,"Critical",IF(J114&gt;=0.7,"Constrained","Healthy")))</f>
        <v>Healthy</v>
      </c>
      <c r="M114" s="8" t="s">
        <v>153</v>
      </c>
      <c r="N114" s="8" t="str">
        <f>IF(M114="None","No","Yes")</f>
        <v>No</v>
      </c>
      <c r="O114" s="9">
        <v>46280</v>
      </c>
    </row>
    <row r="115" spans="1:15">
      <c r="A115" s="1" t="s">
        <v>297</v>
      </c>
      <c r="B115" s="1" t="s">
        <v>296</v>
      </c>
      <c r="C115" s="1" t="s">
        <v>147</v>
      </c>
      <c r="D115" s="1" t="s">
        <v>152</v>
      </c>
      <c r="E115" s="1" t="s">
        <v>149</v>
      </c>
      <c r="F115" s="6">
        <v>16</v>
      </c>
      <c r="G115" s="6">
        <v>6320</v>
      </c>
      <c r="H115" s="6">
        <v>4208</v>
      </c>
      <c r="I115" s="6">
        <f>G115-H115</f>
        <v>2112</v>
      </c>
      <c r="J115" s="7">
        <f>IF(G115=0,0,H115/G115)</f>
        <v>0.66582278481012658</v>
      </c>
      <c r="K115" s="6">
        <f>ROUNDDOWN(I115/F115,0)</f>
        <v>132</v>
      </c>
      <c r="L115" s="8" t="str">
        <f>IF(J115&gt;0.97,"Sold Out",IF(J115&gt;=0.85,"Critical",IF(J115&gt;=0.7,"Constrained","Healthy")))</f>
        <v>Healthy</v>
      </c>
      <c r="M115" s="8" t="s">
        <v>153</v>
      </c>
      <c r="N115" s="8" t="str">
        <f>IF(M115="None","No","Yes")</f>
        <v>No</v>
      </c>
      <c r="O115" s="9">
        <v>46280</v>
      </c>
    </row>
    <row r="116" spans="1:15">
      <c r="A116" s="1" t="s">
        <v>298</v>
      </c>
      <c r="B116" s="1" t="s">
        <v>296</v>
      </c>
      <c r="C116" s="1" t="s">
        <v>147</v>
      </c>
      <c r="D116" s="1" t="s">
        <v>155</v>
      </c>
      <c r="E116" s="1" t="s">
        <v>149</v>
      </c>
      <c r="F116" s="6">
        <v>32</v>
      </c>
      <c r="G116" s="6">
        <v>19488</v>
      </c>
      <c r="H116" s="6">
        <v>13472</v>
      </c>
      <c r="I116" s="6">
        <f>G116-H116</f>
        <v>6016</v>
      </c>
      <c r="J116" s="7">
        <f>IF(G116=0,0,H116/G116)</f>
        <v>0.69129720853858789</v>
      </c>
      <c r="K116" s="6">
        <f>ROUNDDOWN(I116/F116,0)</f>
        <v>188</v>
      </c>
      <c r="L116" s="8" t="str">
        <f>IF(J116&gt;0.97,"Sold Out",IF(J116&gt;=0.85,"Critical",IF(J116&gt;=0.7,"Constrained","Healthy")))</f>
        <v>Healthy</v>
      </c>
      <c r="M116" s="8" t="s">
        <v>153</v>
      </c>
      <c r="N116" s="8" t="str">
        <f>IF(M116="None","No","Yes")</f>
        <v>No</v>
      </c>
      <c r="O116" s="9">
        <v>46280</v>
      </c>
    </row>
    <row r="117" spans="1:15">
      <c r="A117" s="1" t="s">
        <v>299</v>
      </c>
      <c r="B117" s="1" t="s">
        <v>296</v>
      </c>
      <c r="C117" s="1" t="s">
        <v>147</v>
      </c>
      <c r="D117" s="1" t="s">
        <v>157</v>
      </c>
      <c r="E117" s="1" t="s">
        <v>149</v>
      </c>
      <c r="F117" s="6">
        <v>64</v>
      </c>
      <c r="G117" s="6">
        <v>9472</v>
      </c>
      <c r="H117" s="6">
        <v>5568</v>
      </c>
      <c r="I117" s="6">
        <f>G117-H117</f>
        <v>3904</v>
      </c>
      <c r="J117" s="7">
        <f>IF(G117=0,0,H117/G117)</f>
        <v>0.58783783783783783</v>
      </c>
      <c r="K117" s="6">
        <f>ROUNDDOWN(I117/F117,0)</f>
        <v>61</v>
      </c>
      <c r="L117" s="8" t="str">
        <f>IF(J117&gt;0.97,"Sold Out",IF(J117&gt;=0.85,"Critical",IF(J117&gt;=0.7,"Constrained","Healthy")))</f>
        <v>Healthy</v>
      </c>
      <c r="M117" s="8" t="s">
        <v>153</v>
      </c>
      <c r="N117" s="8" t="str">
        <f>IF(M117="None","No","Yes")</f>
        <v>No</v>
      </c>
      <c r="O117" s="9">
        <v>46280</v>
      </c>
    </row>
    <row r="118" spans="1:15">
      <c r="A118" s="1" t="s">
        <v>300</v>
      </c>
      <c r="B118" s="1" t="s">
        <v>296</v>
      </c>
      <c r="C118" s="1" t="s">
        <v>147</v>
      </c>
      <c r="D118" s="1" t="s">
        <v>159</v>
      </c>
      <c r="E118" s="1" t="s">
        <v>160</v>
      </c>
      <c r="F118" s="6">
        <v>16</v>
      </c>
      <c r="G118" s="6">
        <v>3216</v>
      </c>
      <c r="H118" s="6">
        <v>1728</v>
      </c>
      <c r="I118" s="6">
        <f>G118-H118</f>
        <v>1488</v>
      </c>
      <c r="J118" s="7">
        <f>IF(G118=0,0,H118/G118)</f>
        <v>0.53731343283582089</v>
      </c>
      <c r="K118" s="6">
        <f>ROUNDDOWN(I118/F118,0)</f>
        <v>93</v>
      </c>
      <c r="L118" s="8" t="str">
        <f>IF(J118&gt;0.97,"Sold Out",IF(J118&gt;=0.85,"Critical",IF(J118&gt;=0.7,"Constrained","Healthy")))</f>
        <v>Healthy</v>
      </c>
      <c r="M118" s="8" t="s">
        <v>153</v>
      </c>
      <c r="N118" s="8" t="str">
        <f>IF(M118="None","No","Yes")</f>
        <v>No</v>
      </c>
      <c r="O118" s="9">
        <v>46280</v>
      </c>
    </row>
    <row r="119" spans="1:15">
      <c r="A119" s="1" t="s">
        <v>301</v>
      </c>
      <c r="B119" s="1" t="s">
        <v>296</v>
      </c>
      <c r="C119" s="1" t="s">
        <v>147</v>
      </c>
      <c r="D119" s="1" t="s">
        <v>162</v>
      </c>
      <c r="E119" s="1" t="s">
        <v>163</v>
      </c>
      <c r="F119" s="6">
        <v>32</v>
      </c>
      <c r="G119" s="6">
        <v>18816</v>
      </c>
      <c r="H119" s="6">
        <v>11712</v>
      </c>
      <c r="I119" s="6">
        <f>G119-H119</f>
        <v>7104</v>
      </c>
      <c r="J119" s="7">
        <f>IF(G119=0,0,H119/G119)</f>
        <v>0.62244897959183676</v>
      </c>
      <c r="K119" s="6">
        <f>ROUNDDOWN(I119/F119,0)</f>
        <v>222</v>
      </c>
      <c r="L119" s="8" t="str">
        <f>IF(J119&gt;0.97,"Sold Out",IF(J119&gt;=0.85,"Critical",IF(J119&gt;=0.7,"Constrained","Healthy")))</f>
        <v>Healthy</v>
      </c>
      <c r="M119" s="8" t="s">
        <v>153</v>
      </c>
      <c r="N119" s="8" t="str">
        <f>IF(M119="None","No","Yes")</f>
        <v>No</v>
      </c>
      <c r="O119" s="9">
        <v>46280</v>
      </c>
    </row>
    <row r="120" spans="1:15">
      <c r="A120" s="1" t="s">
        <v>302</v>
      </c>
      <c r="B120" s="1" t="s">
        <v>296</v>
      </c>
      <c r="C120" s="1" t="s">
        <v>147</v>
      </c>
      <c r="D120" s="1" t="s">
        <v>165</v>
      </c>
      <c r="E120" s="1" t="s">
        <v>163</v>
      </c>
      <c r="F120" s="6">
        <v>64</v>
      </c>
      <c r="G120" s="6">
        <v>6592</v>
      </c>
      <c r="H120" s="6">
        <v>4992</v>
      </c>
      <c r="I120" s="6">
        <f>G120-H120</f>
        <v>1600</v>
      </c>
      <c r="J120" s="7">
        <f>IF(G120=0,0,H120/G120)</f>
        <v>0.75728155339805825</v>
      </c>
      <c r="K120" s="6">
        <f>ROUNDDOWN(I120/F120,0)</f>
        <v>25</v>
      </c>
      <c r="L120" s="8" t="str">
        <f>IF(J120&gt;0.97,"Sold Out",IF(J120&gt;=0.85,"Critical",IF(J120&gt;=0.7,"Constrained","Healthy")))</f>
        <v>Constrained</v>
      </c>
      <c r="M120" s="8" t="s">
        <v>153</v>
      </c>
      <c r="N120" s="8" t="str">
        <f>IF(M120="None","No","Yes")</f>
        <v>No</v>
      </c>
      <c r="O120" s="9">
        <v>46280</v>
      </c>
    </row>
    <row r="121" spans="1:15">
      <c r="A121" s="1" t="s">
        <v>303</v>
      </c>
      <c r="B121" s="1" t="s">
        <v>296</v>
      </c>
      <c r="C121" s="1" t="s">
        <v>147</v>
      </c>
      <c r="D121" s="1" t="s">
        <v>168</v>
      </c>
      <c r="E121" s="1" t="s">
        <v>169</v>
      </c>
      <c r="F121" s="6">
        <v>32</v>
      </c>
      <c r="G121" s="6">
        <v>20032</v>
      </c>
      <c r="H121" s="6">
        <v>16384</v>
      </c>
      <c r="I121" s="6">
        <f>G121-H121</f>
        <v>3648</v>
      </c>
      <c r="J121" s="7">
        <f>IF(G121=0,0,H121/G121)</f>
        <v>0.8178913738019169</v>
      </c>
      <c r="K121" s="6">
        <f>ROUNDDOWN(I121/F121,0)</f>
        <v>114</v>
      </c>
      <c r="L121" s="8" t="str">
        <f>IF(J121&gt;0.97,"Sold Out",IF(J121&gt;=0.85,"Critical",IF(J121&gt;=0.7,"Constrained","Healthy")))</f>
        <v>Constrained</v>
      </c>
      <c r="M121" s="8" t="s">
        <v>150</v>
      </c>
      <c r="N121" s="8" t="str">
        <f>IF(M121="None","No","Yes")</f>
        <v>Yes</v>
      </c>
      <c r="O121" s="9">
        <v>46280</v>
      </c>
    </row>
    <row r="122" spans="1:15">
      <c r="A122" s="1" t="s">
        <v>304</v>
      </c>
      <c r="B122" s="1" t="s">
        <v>296</v>
      </c>
      <c r="C122" s="1" t="s">
        <v>147</v>
      </c>
      <c r="D122" s="1" t="s">
        <v>171</v>
      </c>
      <c r="E122" s="1" t="s">
        <v>172</v>
      </c>
      <c r="F122" s="6">
        <v>16</v>
      </c>
      <c r="G122" s="6">
        <v>9024</v>
      </c>
      <c r="H122" s="6">
        <v>6928</v>
      </c>
      <c r="I122" s="6">
        <f>G122-H122</f>
        <v>2096</v>
      </c>
      <c r="J122" s="7">
        <f>IF(G122=0,0,H122/G122)</f>
        <v>0.76773049645390068</v>
      </c>
      <c r="K122" s="6">
        <f>ROUNDDOWN(I122/F122,0)</f>
        <v>131</v>
      </c>
      <c r="L122" s="8" t="str">
        <f>IF(J122&gt;0.97,"Sold Out",IF(J122&gt;=0.85,"Critical",IF(J122&gt;=0.7,"Constrained","Healthy")))</f>
        <v>Constrained</v>
      </c>
      <c r="M122" s="8" t="s">
        <v>153</v>
      </c>
      <c r="N122" s="8" t="str">
        <f>IF(M122="None","No","Yes")</f>
        <v>No</v>
      </c>
      <c r="O122" s="9">
        <v>46280</v>
      </c>
    </row>
    <row r="123" spans="1:15">
      <c r="A123" s="1" t="s">
        <v>305</v>
      </c>
      <c r="B123" s="1" t="s">
        <v>296</v>
      </c>
      <c r="C123" s="1" t="s">
        <v>147</v>
      </c>
      <c r="D123" s="1" t="s">
        <v>174</v>
      </c>
      <c r="E123" s="1" t="s">
        <v>175</v>
      </c>
      <c r="F123" s="6">
        <v>128</v>
      </c>
      <c r="G123" s="6">
        <v>3712</v>
      </c>
      <c r="H123" s="6">
        <v>2560</v>
      </c>
      <c r="I123" s="6">
        <f>G123-H123</f>
        <v>1152</v>
      </c>
      <c r="J123" s="7">
        <f>IF(G123=0,0,H123/G123)</f>
        <v>0.68965517241379315</v>
      </c>
      <c r="K123" s="6">
        <f>ROUNDDOWN(I123/F123,0)</f>
        <v>9</v>
      </c>
      <c r="L123" s="8" t="str">
        <f>IF(J123&gt;0.97,"Sold Out",IF(J123&gt;=0.85,"Critical",IF(J123&gt;=0.7,"Constrained","Healthy")))</f>
        <v>Healthy</v>
      </c>
      <c r="M123" s="8" t="s">
        <v>153</v>
      </c>
      <c r="N123" s="8" t="str">
        <f>IF(M123="None","No","Yes")</f>
        <v>No</v>
      </c>
      <c r="O123" s="9">
        <v>46280</v>
      </c>
    </row>
    <row r="124" spans="1:15">
      <c r="A124" s="1" t="s">
        <v>306</v>
      </c>
      <c r="B124" s="1" t="s">
        <v>296</v>
      </c>
      <c r="C124" s="1" t="s">
        <v>147</v>
      </c>
      <c r="D124" s="1" t="s">
        <v>177</v>
      </c>
      <c r="E124" s="1" t="s">
        <v>178</v>
      </c>
      <c r="F124" s="6">
        <v>16</v>
      </c>
      <c r="G124" s="6">
        <v>13424</v>
      </c>
      <c r="H124" s="6">
        <v>10768</v>
      </c>
      <c r="I124" s="6">
        <f>G124-H124</f>
        <v>2656</v>
      </c>
      <c r="J124" s="7">
        <f>IF(G124=0,0,H124/G124)</f>
        <v>0.80214541120381411</v>
      </c>
      <c r="K124" s="6">
        <f>ROUNDDOWN(I124/F124,0)</f>
        <v>166</v>
      </c>
      <c r="L124" s="8" t="str">
        <f>IF(J124&gt;0.97,"Sold Out",IF(J124&gt;=0.85,"Critical",IF(J124&gt;=0.7,"Constrained","Healthy")))</f>
        <v>Constrained</v>
      </c>
      <c r="M124" s="8" t="s">
        <v>150</v>
      </c>
      <c r="N124" s="8" t="str">
        <f>IF(M124="None","No","Yes")</f>
        <v>Yes</v>
      </c>
      <c r="O124" s="9">
        <v>46280</v>
      </c>
    </row>
    <row r="125" spans="1:15">
      <c r="A125" s="1" t="s">
        <v>307</v>
      </c>
      <c r="B125" s="1" t="s">
        <v>296</v>
      </c>
      <c r="C125" s="1" t="s">
        <v>147</v>
      </c>
      <c r="D125" s="1" t="s">
        <v>180</v>
      </c>
      <c r="E125" s="1" t="s">
        <v>181</v>
      </c>
      <c r="F125" s="6">
        <v>32</v>
      </c>
      <c r="G125" s="6">
        <v>10720</v>
      </c>
      <c r="H125" s="6">
        <v>6848</v>
      </c>
      <c r="I125" s="6">
        <f>G125-H125</f>
        <v>3872</v>
      </c>
      <c r="J125" s="7">
        <f>IF(G125=0,0,H125/G125)</f>
        <v>0.63880597014925378</v>
      </c>
      <c r="K125" s="6">
        <f>ROUNDDOWN(I125/F125,0)</f>
        <v>121</v>
      </c>
      <c r="L125" s="8" t="str">
        <f>IF(J125&gt;0.97,"Sold Out",IF(J125&gt;=0.85,"Critical",IF(J125&gt;=0.7,"Constrained","Healthy")))</f>
        <v>Healthy</v>
      </c>
      <c r="M125" s="8" t="s">
        <v>153</v>
      </c>
      <c r="N125" s="8" t="str">
        <f>IF(M125="None","No","Yes")</f>
        <v>No</v>
      </c>
      <c r="O125" s="9">
        <v>46280</v>
      </c>
    </row>
    <row r="126" spans="1:15">
      <c r="A126" s="1" t="s">
        <v>308</v>
      </c>
      <c r="B126" s="1" t="s">
        <v>296</v>
      </c>
      <c r="C126" s="1" t="s">
        <v>147</v>
      </c>
      <c r="D126" s="1" t="s">
        <v>186</v>
      </c>
      <c r="E126" s="1" t="s">
        <v>187</v>
      </c>
      <c r="F126" s="6">
        <v>24</v>
      </c>
      <c r="G126" s="6">
        <v>1128</v>
      </c>
      <c r="H126" s="6">
        <v>912</v>
      </c>
      <c r="I126" s="6">
        <f>G126-H126</f>
        <v>216</v>
      </c>
      <c r="J126" s="7">
        <f>IF(G126=0,0,H126/G126)</f>
        <v>0.80851063829787229</v>
      </c>
      <c r="K126" s="6">
        <f>ROUNDDOWN(I126/F126,0)</f>
        <v>9</v>
      </c>
      <c r="L126" s="8" t="str">
        <f>IF(J126&gt;0.97,"Sold Out",IF(J126&gt;=0.85,"Critical",IF(J126&gt;=0.7,"Constrained","Healthy")))</f>
        <v>Constrained</v>
      </c>
      <c r="M126" s="8" t="s">
        <v>153</v>
      </c>
      <c r="N126" s="8" t="str">
        <f>IF(M126="None","No","Yes")</f>
        <v>No</v>
      </c>
      <c r="O126" s="9">
        <v>46280</v>
      </c>
    </row>
    <row r="127" spans="1:15">
      <c r="A127" s="1" t="s">
        <v>309</v>
      </c>
      <c r="B127" s="1" t="s">
        <v>296</v>
      </c>
      <c r="C127" s="1" t="s">
        <v>147</v>
      </c>
      <c r="D127" s="1" t="s">
        <v>193</v>
      </c>
      <c r="E127" s="1" t="s">
        <v>194</v>
      </c>
      <c r="F127" s="6">
        <v>40</v>
      </c>
      <c r="G127" s="6">
        <v>1400</v>
      </c>
      <c r="H127" s="6">
        <v>1120</v>
      </c>
      <c r="I127" s="6">
        <f>G127-H127</f>
        <v>280</v>
      </c>
      <c r="J127" s="7">
        <f>IF(G127=0,0,H127/G127)</f>
        <v>0.8</v>
      </c>
      <c r="K127" s="6">
        <f>ROUNDDOWN(I127/F127,0)</f>
        <v>7</v>
      </c>
      <c r="L127" s="8" t="str">
        <f>IF(J127&gt;0.97,"Sold Out",IF(J127&gt;=0.85,"Critical",IF(J127&gt;=0.7,"Constrained","Healthy")))</f>
        <v>Constrained</v>
      </c>
      <c r="M127" s="8" t="s">
        <v>150</v>
      </c>
      <c r="N127" s="8" t="str">
        <f>IF(M127="None","No","Yes")</f>
        <v>Yes</v>
      </c>
      <c r="O127" s="9">
        <v>46280</v>
      </c>
    </row>
    <row r="128" spans="1:15">
      <c r="A128" s="1" t="s">
        <v>310</v>
      </c>
      <c r="B128" s="1" t="s">
        <v>296</v>
      </c>
      <c r="C128" s="1" t="s">
        <v>196</v>
      </c>
      <c r="D128" s="1" t="s">
        <v>148</v>
      </c>
      <c r="E128" s="1" t="s">
        <v>149</v>
      </c>
      <c r="F128" s="6">
        <v>8</v>
      </c>
      <c r="G128" s="6">
        <v>5496</v>
      </c>
      <c r="H128" s="6">
        <v>3240</v>
      </c>
      <c r="I128" s="6">
        <f>G128-H128</f>
        <v>2256</v>
      </c>
      <c r="J128" s="7">
        <f>IF(G128=0,0,H128/G128)</f>
        <v>0.58951965065502188</v>
      </c>
      <c r="K128" s="6">
        <f>ROUNDDOWN(I128/F128,0)</f>
        <v>282</v>
      </c>
      <c r="L128" s="8" t="str">
        <f>IF(J128&gt;0.97,"Sold Out",IF(J128&gt;=0.85,"Critical",IF(J128&gt;=0.7,"Constrained","Healthy")))</f>
        <v>Healthy</v>
      </c>
      <c r="M128" s="8" t="s">
        <v>153</v>
      </c>
      <c r="N128" s="8" t="str">
        <f>IF(M128="None","No","Yes")</f>
        <v>No</v>
      </c>
      <c r="O128" s="9">
        <v>46280</v>
      </c>
    </row>
    <row r="129" spans="1:15">
      <c r="A129" s="1" t="s">
        <v>311</v>
      </c>
      <c r="B129" s="1" t="s">
        <v>296</v>
      </c>
      <c r="C129" s="1" t="s">
        <v>196</v>
      </c>
      <c r="D129" s="1" t="s">
        <v>152</v>
      </c>
      <c r="E129" s="1" t="s">
        <v>149</v>
      </c>
      <c r="F129" s="6">
        <v>16</v>
      </c>
      <c r="G129" s="6">
        <v>5664</v>
      </c>
      <c r="H129" s="6">
        <v>4064</v>
      </c>
      <c r="I129" s="6">
        <f>G129-H129</f>
        <v>1600</v>
      </c>
      <c r="J129" s="7">
        <f>IF(G129=0,0,H129/G129)</f>
        <v>0.71751412429378536</v>
      </c>
      <c r="K129" s="6">
        <f>ROUNDDOWN(I129/F129,0)</f>
        <v>100</v>
      </c>
      <c r="L129" s="8" t="str">
        <f>IF(J129&gt;0.97,"Sold Out",IF(J129&gt;=0.85,"Critical",IF(J129&gt;=0.7,"Constrained","Healthy")))</f>
        <v>Constrained</v>
      </c>
      <c r="M129" s="8" t="s">
        <v>153</v>
      </c>
      <c r="N129" s="8" t="str">
        <f>IF(M129="None","No","Yes")</f>
        <v>No</v>
      </c>
      <c r="O129" s="9">
        <v>46280</v>
      </c>
    </row>
    <row r="130" spans="1:15">
      <c r="A130" s="1" t="s">
        <v>312</v>
      </c>
      <c r="B130" s="1" t="s">
        <v>296</v>
      </c>
      <c r="C130" s="1" t="s">
        <v>196</v>
      </c>
      <c r="D130" s="1" t="s">
        <v>155</v>
      </c>
      <c r="E130" s="1" t="s">
        <v>149</v>
      </c>
      <c r="F130" s="6">
        <v>32</v>
      </c>
      <c r="G130" s="6">
        <v>7872</v>
      </c>
      <c r="H130" s="6">
        <v>5088</v>
      </c>
      <c r="I130" s="6">
        <f>G130-H130</f>
        <v>2784</v>
      </c>
      <c r="J130" s="7">
        <f>IF(G130=0,0,H130/G130)</f>
        <v>0.64634146341463417</v>
      </c>
      <c r="K130" s="6">
        <f>ROUNDDOWN(I130/F130,0)</f>
        <v>87</v>
      </c>
      <c r="L130" s="8" t="str">
        <f>IF(J130&gt;0.97,"Sold Out",IF(J130&gt;=0.85,"Critical",IF(J130&gt;=0.7,"Constrained","Healthy")))</f>
        <v>Healthy</v>
      </c>
      <c r="M130" s="8" t="s">
        <v>153</v>
      </c>
      <c r="N130" s="8" t="str">
        <f>IF(M130="None","No","Yes")</f>
        <v>No</v>
      </c>
      <c r="O130" s="9">
        <v>46280</v>
      </c>
    </row>
    <row r="131" spans="1:15">
      <c r="A131" s="1" t="s">
        <v>313</v>
      </c>
      <c r="B131" s="1" t="s">
        <v>296</v>
      </c>
      <c r="C131" s="1" t="s">
        <v>196</v>
      </c>
      <c r="D131" s="1" t="s">
        <v>157</v>
      </c>
      <c r="E131" s="1" t="s">
        <v>149</v>
      </c>
      <c r="F131" s="6">
        <v>64</v>
      </c>
      <c r="G131" s="6">
        <v>6336</v>
      </c>
      <c r="H131" s="6">
        <v>4800</v>
      </c>
      <c r="I131" s="6">
        <f>G131-H131</f>
        <v>1536</v>
      </c>
      <c r="J131" s="7">
        <f>IF(G131=0,0,H131/G131)</f>
        <v>0.75757575757575757</v>
      </c>
      <c r="K131" s="6">
        <f>ROUNDDOWN(I131/F131,0)</f>
        <v>24</v>
      </c>
      <c r="L131" s="8" t="str">
        <f>IF(J131&gt;0.97,"Sold Out",IF(J131&gt;=0.85,"Critical",IF(J131&gt;=0.7,"Constrained","Healthy")))</f>
        <v>Constrained</v>
      </c>
      <c r="M131" s="8" t="s">
        <v>153</v>
      </c>
      <c r="N131" s="8" t="str">
        <f>IF(M131="None","No","Yes")</f>
        <v>No</v>
      </c>
      <c r="O131" s="9">
        <v>46280</v>
      </c>
    </row>
    <row r="132" spans="1:15">
      <c r="A132" s="1" t="s">
        <v>314</v>
      </c>
      <c r="B132" s="1" t="s">
        <v>296</v>
      </c>
      <c r="C132" s="1" t="s">
        <v>196</v>
      </c>
      <c r="D132" s="1" t="s">
        <v>159</v>
      </c>
      <c r="E132" s="1" t="s">
        <v>160</v>
      </c>
      <c r="F132" s="6">
        <v>16</v>
      </c>
      <c r="G132" s="6">
        <v>13456</v>
      </c>
      <c r="H132" s="6">
        <v>6816</v>
      </c>
      <c r="I132" s="6">
        <f>G132-H132</f>
        <v>6640</v>
      </c>
      <c r="J132" s="7">
        <f>IF(G132=0,0,H132/G132)</f>
        <v>0.50653983353151011</v>
      </c>
      <c r="K132" s="6">
        <f>ROUNDDOWN(I132/F132,0)</f>
        <v>415</v>
      </c>
      <c r="L132" s="8" t="str">
        <f>IF(J132&gt;0.97,"Sold Out",IF(J132&gt;=0.85,"Critical",IF(J132&gt;=0.7,"Constrained","Healthy")))</f>
        <v>Healthy</v>
      </c>
      <c r="M132" s="8" t="s">
        <v>153</v>
      </c>
      <c r="N132" s="8" t="str">
        <f>IF(M132="None","No","Yes")</f>
        <v>No</v>
      </c>
      <c r="O132" s="9">
        <v>46280</v>
      </c>
    </row>
    <row r="133" spans="1:15">
      <c r="A133" s="1" t="s">
        <v>315</v>
      </c>
      <c r="B133" s="1" t="s">
        <v>296</v>
      </c>
      <c r="C133" s="1" t="s">
        <v>196</v>
      </c>
      <c r="D133" s="1" t="s">
        <v>162</v>
      </c>
      <c r="E133" s="1" t="s">
        <v>163</v>
      </c>
      <c r="F133" s="6">
        <v>32</v>
      </c>
      <c r="G133" s="6">
        <v>11488</v>
      </c>
      <c r="H133" s="6">
        <v>8416</v>
      </c>
      <c r="I133" s="6">
        <f>G133-H133</f>
        <v>3072</v>
      </c>
      <c r="J133" s="7">
        <f>IF(G133=0,0,H133/G133)</f>
        <v>0.7325905292479109</v>
      </c>
      <c r="K133" s="6">
        <f>ROUNDDOWN(I133/F133,0)</f>
        <v>96</v>
      </c>
      <c r="L133" s="8" t="str">
        <f>IF(J133&gt;0.97,"Sold Out",IF(J133&gt;=0.85,"Critical",IF(J133&gt;=0.7,"Constrained","Healthy")))</f>
        <v>Constrained</v>
      </c>
      <c r="M133" s="8" t="s">
        <v>153</v>
      </c>
      <c r="N133" s="8" t="str">
        <f>IF(M133="None","No","Yes")</f>
        <v>No</v>
      </c>
      <c r="O133" s="9">
        <v>46280</v>
      </c>
    </row>
    <row r="134" spans="1:15">
      <c r="A134" s="1" t="s">
        <v>316</v>
      </c>
      <c r="B134" s="1" t="s">
        <v>296</v>
      </c>
      <c r="C134" s="1" t="s">
        <v>196</v>
      </c>
      <c r="D134" s="1" t="s">
        <v>165</v>
      </c>
      <c r="E134" s="1" t="s">
        <v>163</v>
      </c>
      <c r="F134" s="6">
        <v>64</v>
      </c>
      <c r="G134" s="6">
        <v>8832</v>
      </c>
      <c r="H134" s="6">
        <v>7616</v>
      </c>
      <c r="I134" s="6">
        <f>G134-H134</f>
        <v>1216</v>
      </c>
      <c r="J134" s="7">
        <f>IF(G134=0,0,H134/G134)</f>
        <v>0.8623188405797102</v>
      </c>
      <c r="K134" s="6">
        <f>ROUNDDOWN(I134/F134,0)</f>
        <v>19</v>
      </c>
      <c r="L134" s="8" t="str">
        <f>IF(J134&gt;0.97,"Sold Out",IF(J134&gt;=0.85,"Critical",IF(J134&gt;=0.7,"Constrained","Healthy")))</f>
        <v>Critical</v>
      </c>
      <c r="M134" s="8" t="s">
        <v>191</v>
      </c>
      <c r="N134" s="8" t="str">
        <f>IF(M134="None","No","Yes")</f>
        <v>Yes</v>
      </c>
      <c r="O134" s="9">
        <v>46280</v>
      </c>
    </row>
    <row r="135" spans="1:15">
      <c r="A135" s="1" t="s">
        <v>317</v>
      </c>
      <c r="B135" s="1" t="s">
        <v>296</v>
      </c>
      <c r="C135" s="1" t="s">
        <v>196</v>
      </c>
      <c r="D135" s="1" t="s">
        <v>168</v>
      </c>
      <c r="E135" s="1" t="s">
        <v>169</v>
      </c>
      <c r="F135" s="6">
        <v>32</v>
      </c>
      <c r="G135" s="6">
        <v>12288</v>
      </c>
      <c r="H135" s="6">
        <v>6912</v>
      </c>
      <c r="I135" s="6">
        <f>G135-H135</f>
        <v>5376</v>
      </c>
      <c r="J135" s="7">
        <f>IF(G135=0,0,H135/G135)</f>
        <v>0.5625</v>
      </c>
      <c r="K135" s="6">
        <f>ROUNDDOWN(I135/F135,0)</f>
        <v>168</v>
      </c>
      <c r="L135" s="8" t="str">
        <f>IF(J135&gt;0.97,"Sold Out",IF(J135&gt;=0.85,"Critical",IF(J135&gt;=0.7,"Constrained","Healthy")))</f>
        <v>Healthy</v>
      </c>
      <c r="M135" s="8" t="s">
        <v>153</v>
      </c>
      <c r="N135" s="8" t="str">
        <f>IF(M135="None","No","Yes")</f>
        <v>No</v>
      </c>
      <c r="O135" s="9">
        <v>46280</v>
      </c>
    </row>
    <row r="136" spans="1:15">
      <c r="A136" s="1" t="s">
        <v>318</v>
      </c>
      <c r="B136" s="1" t="s">
        <v>296</v>
      </c>
      <c r="C136" s="1" t="s">
        <v>196</v>
      </c>
      <c r="D136" s="1" t="s">
        <v>174</v>
      </c>
      <c r="E136" s="1" t="s">
        <v>175</v>
      </c>
      <c r="F136" s="6">
        <v>128</v>
      </c>
      <c r="G136" s="6">
        <v>2560</v>
      </c>
      <c r="H136" s="6">
        <v>2176</v>
      </c>
      <c r="I136" s="6">
        <f>G136-H136</f>
        <v>384</v>
      </c>
      <c r="J136" s="7">
        <f>IF(G136=0,0,H136/G136)</f>
        <v>0.85</v>
      </c>
      <c r="K136" s="6">
        <f>ROUNDDOWN(I136/F136,0)</f>
        <v>3</v>
      </c>
      <c r="L136" s="8" t="str">
        <f>IF(J136&gt;0.97,"Sold Out",IF(J136&gt;=0.85,"Critical",IF(J136&gt;=0.7,"Constrained","Healthy")))</f>
        <v>Critical</v>
      </c>
      <c r="M136" s="8" t="s">
        <v>150</v>
      </c>
      <c r="N136" s="8" t="str">
        <f>IF(M136="None","No","Yes")</f>
        <v>Yes</v>
      </c>
      <c r="O136" s="9">
        <v>46280</v>
      </c>
    </row>
    <row r="137" spans="1:15">
      <c r="A137" s="1" t="s">
        <v>319</v>
      </c>
      <c r="B137" s="1" t="s">
        <v>296</v>
      </c>
      <c r="C137" s="1" t="s">
        <v>196</v>
      </c>
      <c r="D137" s="1" t="s">
        <v>177</v>
      </c>
      <c r="E137" s="1" t="s">
        <v>178</v>
      </c>
      <c r="F137" s="6">
        <v>16</v>
      </c>
      <c r="G137" s="6">
        <v>6864</v>
      </c>
      <c r="H137" s="6">
        <v>4992</v>
      </c>
      <c r="I137" s="6">
        <f>G137-H137</f>
        <v>1872</v>
      </c>
      <c r="J137" s="7">
        <f>IF(G137=0,0,H137/G137)</f>
        <v>0.72727272727272729</v>
      </c>
      <c r="K137" s="6">
        <f>ROUNDDOWN(I137/F137,0)</f>
        <v>117</v>
      </c>
      <c r="L137" s="8" t="str">
        <f>IF(J137&gt;0.97,"Sold Out",IF(J137&gt;=0.85,"Critical",IF(J137&gt;=0.7,"Constrained","Healthy")))</f>
        <v>Constrained</v>
      </c>
      <c r="M137" s="8" t="s">
        <v>150</v>
      </c>
      <c r="N137" s="8" t="str">
        <f>IF(M137="None","No","Yes")</f>
        <v>Yes</v>
      </c>
      <c r="O137" s="9">
        <v>46280</v>
      </c>
    </row>
    <row r="138" spans="1:15">
      <c r="A138" s="1" t="s">
        <v>320</v>
      </c>
      <c r="B138" s="1" t="s">
        <v>296</v>
      </c>
      <c r="C138" s="1" t="s">
        <v>196</v>
      </c>
      <c r="D138" s="1" t="s">
        <v>180</v>
      </c>
      <c r="E138" s="1" t="s">
        <v>181</v>
      </c>
      <c r="F138" s="6">
        <v>32</v>
      </c>
      <c r="G138" s="6">
        <v>28256</v>
      </c>
      <c r="H138" s="6">
        <v>16672</v>
      </c>
      <c r="I138" s="6">
        <f>G138-H138</f>
        <v>11584</v>
      </c>
      <c r="J138" s="7">
        <f>IF(G138=0,0,H138/G138)</f>
        <v>0.59003397508493771</v>
      </c>
      <c r="K138" s="6">
        <f>ROUNDDOWN(I138/F138,0)</f>
        <v>362</v>
      </c>
      <c r="L138" s="8" t="str">
        <f>IF(J138&gt;0.97,"Sold Out",IF(J138&gt;=0.85,"Critical",IF(J138&gt;=0.7,"Constrained","Healthy")))</f>
        <v>Healthy</v>
      </c>
      <c r="M138" s="8" t="s">
        <v>153</v>
      </c>
      <c r="N138" s="8" t="str">
        <f>IF(M138="None","No","Yes")</f>
        <v>No</v>
      </c>
      <c r="O138" s="9">
        <v>46280</v>
      </c>
    </row>
    <row r="139" spans="1:15">
      <c r="A139" s="1" t="s">
        <v>321</v>
      </c>
      <c r="B139" s="1" t="s">
        <v>296</v>
      </c>
      <c r="C139" s="1" t="s">
        <v>196</v>
      </c>
      <c r="D139" s="1" t="s">
        <v>186</v>
      </c>
      <c r="E139" s="1" t="s">
        <v>187</v>
      </c>
      <c r="F139" s="6">
        <v>24</v>
      </c>
      <c r="G139" s="6">
        <v>1152</v>
      </c>
      <c r="H139" s="6">
        <v>960</v>
      </c>
      <c r="I139" s="6">
        <f>G139-H139</f>
        <v>192</v>
      </c>
      <c r="J139" s="7">
        <f>IF(G139=0,0,H139/G139)</f>
        <v>0.83333333333333337</v>
      </c>
      <c r="K139" s="6">
        <f>ROUNDDOWN(I139/F139,0)</f>
        <v>8</v>
      </c>
      <c r="L139" s="8" t="str">
        <f>IF(J139&gt;0.97,"Sold Out",IF(J139&gt;=0.85,"Critical",IF(J139&gt;=0.7,"Constrained","Healthy")))</f>
        <v>Constrained</v>
      </c>
      <c r="M139" s="8" t="s">
        <v>153</v>
      </c>
      <c r="N139" s="8" t="str">
        <f>IF(M139="None","No","Yes")</f>
        <v>No</v>
      </c>
      <c r="O139" s="9">
        <v>46280</v>
      </c>
    </row>
    <row r="140" spans="1:15">
      <c r="A140" s="1" t="s">
        <v>322</v>
      </c>
      <c r="B140" s="1" t="s">
        <v>296</v>
      </c>
      <c r="C140" s="1" t="s">
        <v>196</v>
      </c>
      <c r="D140" s="1" t="s">
        <v>193</v>
      </c>
      <c r="E140" s="1" t="s">
        <v>194</v>
      </c>
      <c r="F140" s="6">
        <v>40</v>
      </c>
      <c r="G140" s="6">
        <v>800</v>
      </c>
      <c r="H140" s="6">
        <v>640</v>
      </c>
      <c r="I140" s="6">
        <f>G140-H140</f>
        <v>160</v>
      </c>
      <c r="J140" s="7">
        <f>IF(G140=0,0,H140/G140)</f>
        <v>0.8</v>
      </c>
      <c r="K140" s="6">
        <f>ROUNDDOWN(I140/F140,0)</f>
        <v>4</v>
      </c>
      <c r="L140" s="8" t="str">
        <f>IF(J140&gt;0.97,"Sold Out",IF(J140&gt;=0.85,"Critical",IF(J140&gt;=0.7,"Constrained","Healthy")))</f>
        <v>Constrained</v>
      </c>
      <c r="M140" s="8" t="s">
        <v>153</v>
      </c>
      <c r="N140" s="8" t="str">
        <f>IF(M140="None","No","Yes")</f>
        <v>No</v>
      </c>
      <c r="O140" s="9">
        <v>46280</v>
      </c>
    </row>
    <row r="141" spans="1:15">
      <c r="A141" s="1" t="s">
        <v>323</v>
      </c>
      <c r="B141" s="1" t="s">
        <v>296</v>
      </c>
      <c r="C141" s="1" t="s">
        <v>212</v>
      </c>
      <c r="D141" s="1" t="s">
        <v>152</v>
      </c>
      <c r="E141" s="1" t="s">
        <v>149</v>
      </c>
      <c r="F141" s="6">
        <v>16</v>
      </c>
      <c r="G141" s="6">
        <v>10912</v>
      </c>
      <c r="H141" s="6">
        <v>8720</v>
      </c>
      <c r="I141" s="6">
        <f>G141-H141</f>
        <v>2192</v>
      </c>
      <c r="J141" s="7">
        <f>IF(G141=0,0,H141/G141)</f>
        <v>0.79912023460410553</v>
      </c>
      <c r="K141" s="6">
        <f>ROUNDDOWN(I141/F141,0)</f>
        <v>137</v>
      </c>
      <c r="L141" s="8" t="str">
        <f>IF(J141&gt;0.97,"Sold Out",IF(J141&gt;=0.85,"Critical",IF(J141&gt;=0.7,"Constrained","Healthy")))</f>
        <v>Constrained</v>
      </c>
      <c r="M141" s="8" t="s">
        <v>150</v>
      </c>
      <c r="N141" s="8" t="str">
        <f>IF(M141="None","No","Yes")</f>
        <v>Yes</v>
      </c>
      <c r="O141" s="9">
        <v>46280</v>
      </c>
    </row>
    <row r="142" spans="1:15">
      <c r="A142" s="1" t="s">
        <v>324</v>
      </c>
      <c r="B142" s="1" t="s">
        <v>296</v>
      </c>
      <c r="C142" s="1" t="s">
        <v>212</v>
      </c>
      <c r="D142" s="1" t="s">
        <v>155</v>
      </c>
      <c r="E142" s="1" t="s">
        <v>149</v>
      </c>
      <c r="F142" s="6">
        <v>32</v>
      </c>
      <c r="G142" s="6">
        <v>21440</v>
      </c>
      <c r="H142" s="6">
        <v>9568</v>
      </c>
      <c r="I142" s="6">
        <f>G142-H142</f>
        <v>11872</v>
      </c>
      <c r="J142" s="7">
        <f>IF(G142=0,0,H142/G142)</f>
        <v>0.44626865671641791</v>
      </c>
      <c r="K142" s="6">
        <f>ROUNDDOWN(I142/F142,0)</f>
        <v>371</v>
      </c>
      <c r="L142" s="8" t="str">
        <f>IF(J142&gt;0.97,"Sold Out",IF(J142&gt;=0.85,"Critical",IF(J142&gt;=0.7,"Constrained","Healthy")))</f>
        <v>Healthy</v>
      </c>
      <c r="M142" s="8" t="s">
        <v>153</v>
      </c>
      <c r="N142" s="8" t="str">
        <f>IF(M142="None","No","Yes")</f>
        <v>No</v>
      </c>
      <c r="O142" s="9">
        <v>46280</v>
      </c>
    </row>
    <row r="143" spans="1:15">
      <c r="A143" s="1" t="s">
        <v>325</v>
      </c>
      <c r="B143" s="1" t="s">
        <v>296</v>
      </c>
      <c r="C143" s="1" t="s">
        <v>212</v>
      </c>
      <c r="D143" s="1" t="s">
        <v>157</v>
      </c>
      <c r="E143" s="1" t="s">
        <v>149</v>
      </c>
      <c r="F143" s="6">
        <v>64</v>
      </c>
      <c r="G143" s="6">
        <v>7168</v>
      </c>
      <c r="H143" s="6">
        <v>4160</v>
      </c>
      <c r="I143" s="6">
        <f>G143-H143</f>
        <v>3008</v>
      </c>
      <c r="J143" s="7">
        <f>IF(G143=0,0,H143/G143)</f>
        <v>0.5803571428571429</v>
      </c>
      <c r="K143" s="6">
        <f>ROUNDDOWN(I143/F143,0)</f>
        <v>47</v>
      </c>
      <c r="L143" s="8" t="str">
        <f>IF(J143&gt;0.97,"Sold Out",IF(J143&gt;=0.85,"Critical",IF(J143&gt;=0.7,"Constrained","Healthy")))</f>
        <v>Healthy</v>
      </c>
      <c r="M143" s="8" t="s">
        <v>153</v>
      </c>
      <c r="N143" s="8" t="str">
        <f>IF(M143="None","No","Yes")</f>
        <v>No</v>
      </c>
      <c r="O143" s="9">
        <v>46280</v>
      </c>
    </row>
    <row r="144" spans="1:15">
      <c r="A144" s="1" t="s">
        <v>326</v>
      </c>
      <c r="B144" s="1" t="s">
        <v>296</v>
      </c>
      <c r="C144" s="1" t="s">
        <v>212</v>
      </c>
      <c r="D144" s="1" t="s">
        <v>162</v>
      </c>
      <c r="E144" s="1" t="s">
        <v>163</v>
      </c>
      <c r="F144" s="6">
        <v>32</v>
      </c>
      <c r="G144" s="6">
        <v>20288</v>
      </c>
      <c r="H144" s="6">
        <v>11712</v>
      </c>
      <c r="I144" s="6">
        <f>G144-H144</f>
        <v>8576</v>
      </c>
      <c r="J144" s="7">
        <f>IF(G144=0,0,H144/G144)</f>
        <v>0.57728706624605675</v>
      </c>
      <c r="K144" s="6">
        <f>ROUNDDOWN(I144/F144,0)</f>
        <v>268</v>
      </c>
      <c r="L144" s="8" t="str">
        <f>IF(J144&gt;0.97,"Sold Out",IF(J144&gt;=0.85,"Critical",IF(J144&gt;=0.7,"Constrained","Healthy")))</f>
        <v>Healthy</v>
      </c>
      <c r="M144" s="8" t="s">
        <v>153</v>
      </c>
      <c r="N144" s="8" t="str">
        <f>IF(M144="None","No","Yes")</f>
        <v>No</v>
      </c>
      <c r="O144" s="9">
        <v>46280</v>
      </c>
    </row>
    <row r="145" spans="1:15">
      <c r="A145" s="1" t="s">
        <v>327</v>
      </c>
      <c r="B145" s="1" t="s">
        <v>296</v>
      </c>
      <c r="C145" s="1" t="s">
        <v>212</v>
      </c>
      <c r="D145" s="1" t="s">
        <v>165</v>
      </c>
      <c r="E145" s="1" t="s">
        <v>163</v>
      </c>
      <c r="F145" s="6">
        <v>64</v>
      </c>
      <c r="G145" s="6">
        <v>3968</v>
      </c>
      <c r="H145" s="6">
        <v>3072</v>
      </c>
      <c r="I145" s="6">
        <f>G145-H145</f>
        <v>896</v>
      </c>
      <c r="J145" s="7">
        <f>IF(G145=0,0,H145/G145)</f>
        <v>0.77419354838709675</v>
      </c>
      <c r="K145" s="6">
        <f>ROUNDDOWN(I145/F145,0)</f>
        <v>14</v>
      </c>
      <c r="L145" s="8" t="str">
        <f>IF(J145&gt;0.97,"Sold Out",IF(J145&gt;=0.85,"Critical",IF(J145&gt;=0.7,"Constrained","Healthy")))</f>
        <v>Constrained</v>
      </c>
      <c r="M145" s="8" t="s">
        <v>153</v>
      </c>
      <c r="N145" s="8" t="str">
        <f>IF(M145="None","No","Yes")</f>
        <v>No</v>
      </c>
      <c r="O145" s="9">
        <v>46280</v>
      </c>
    </row>
    <row r="146" spans="1:15">
      <c r="A146" s="1" t="s">
        <v>328</v>
      </c>
      <c r="B146" s="1" t="s">
        <v>296</v>
      </c>
      <c r="C146" s="1" t="s">
        <v>212</v>
      </c>
      <c r="D146" s="1" t="s">
        <v>186</v>
      </c>
      <c r="E146" s="1" t="s">
        <v>187</v>
      </c>
      <c r="F146" s="6">
        <v>24</v>
      </c>
      <c r="G146" s="6">
        <v>816</v>
      </c>
      <c r="H146" s="6">
        <v>648</v>
      </c>
      <c r="I146" s="6">
        <f>G146-H146</f>
        <v>168</v>
      </c>
      <c r="J146" s="7">
        <f>IF(G146=0,0,H146/G146)</f>
        <v>0.79411764705882348</v>
      </c>
      <c r="K146" s="6">
        <f>ROUNDDOWN(I146/F146,0)</f>
        <v>7</v>
      </c>
      <c r="L146" s="8" t="str">
        <f>IF(J146&gt;0.97,"Sold Out",IF(J146&gt;=0.85,"Critical",IF(J146&gt;=0.7,"Constrained","Healthy")))</f>
        <v>Constrained</v>
      </c>
      <c r="M146" s="8" t="s">
        <v>150</v>
      </c>
      <c r="N146" s="8" t="str">
        <f>IF(M146="None","No","Yes")</f>
        <v>Yes</v>
      </c>
      <c r="O146" s="9">
        <v>46280</v>
      </c>
    </row>
    <row r="147" spans="1:15">
      <c r="A147" s="1" t="s">
        <v>329</v>
      </c>
      <c r="B147" s="1" t="s">
        <v>330</v>
      </c>
      <c r="C147" s="1" t="s">
        <v>147</v>
      </c>
      <c r="D147" s="1" t="s">
        <v>148</v>
      </c>
      <c r="E147" s="1" t="s">
        <v>149</v>
      </c>
      <c r="F147" s="6">
        <v>8</v>
      </c>
      <c r="G147" s="6">
        <v>3200</v>
      </c>
      <c r="H147" s="6">
        <v>1304</v>
      </c>
      <c r="I147" s="6">
        <f>G147-H147</f>
        <v>1896</v>
      </c>
      <c r="J147" s="7">
        <f>IF(G147=0,0,H147/G147)</f>
        <v>0.40749999999999997</v>
      </c>
      <c r="K147" s="6">
        <f>ROUNDDOWN(I147/F147,0)</f>
        <v>237</v>
      </c>
      <c r="L147" s="8" t="str">
        <f>IF(J147&gt;0.97,"Sold Out",IF(J147&gt;=0.85,"Critical",IF(J147&gt;=0.7,"Constrained","Healthy")))</f>
        <v>Healthy</v>
      </c>
      <c r="M147" s="8" t="s">
        <v>153</v>
      </c>
      <c r="N147" s="8" t="str">
        <f>IF(M147="None","No","Yes")</f>
        <v>No</v>
      </c>
      <c r="O147" s="9">
        <v>46280</v>
      </c>
    </row>
    <row r="148" spans="1:15">
      <c r="A148" s="1" t="s">
        <v>331</v>
      </c>
      <c r="B148" s="1" t="s">
        <v>330</v>
      </c>
      <c r="C148" s="1" t="s">
        <v>147</v>
      </c>
      <c r="D148" s="1" t="s">
        <v>152</v>
      </c>
      <c r="E148" s="1" t="s">
        <v>149</v>
      </c>
      <c r="F148" s="6">
        <v>16</v>
      </c>
      <c r="G148" s="6">
        <v>5520</v>
      </c>
      <c r="H148" s="6">
        <v>2000</v>
      </c>
      <c r="I148" s="6">
        <f>G148-H148</f>
        <v>3520</v>
      </c>
      <c r="J148" s="7">
        <f>IF(G148=0,0,H148/G148)</f>
        <v>0.36231884057971014</v>
      </c>
      <c r="K148" s="6">
        <f>ROUNDDOWN(I148/F148,0)</f>
        <v>220</v>
      </c>
      <c r="L148" s="8" t="str">
        <f>IF(J148&gt;0.97,"Sold Out",IF(J148&gt;=0.85,"Critical",IF(J148&gt;=0.7,"Constrained","Healthy")))</f>
        <v>Healthy</v>
      </c>
      <c r="M148" s="8" t="s">
        <v>153</v>
      </c>
      <c r="N148" s="8" t="str">
        <f>IF(M148="None","No","Yes")</f>
        <v>No</v>
      </c>
      <c r="O148" s="9">
        <v>46280</v>
      </c>
    </row>
    <row r="149" spans="1:15">
      <c r="A149" s="1" t="s">
        <v>332</v>
      </c>
      <c r="B149" s="1" t="s">
        <v>330</v>
      </c>
      <c r="C149" s="1" t="s">
        <v>147</v>
      </c>
      <c r="D149" s="1" t="s">
        <v>155</v>
      </c>
      <c r="E149" s="1" t="s">
        <v>149</v>
      </c>
      <c r="F149" s="6">
        <v>32</v>
      </c>
      <c r="G149" s="6">
        <v>10240</v>
      </c>
      <c r="H149" s="6">
        <v>6272</v>
      </c>
      <c r="I149" s="6">
        <f>G149-H149</f>
        <v>3968</v>
      </c>
      <c r="J149" s="7">
        <f>IF(G149=0,0,H149/G149)</f>
        <v>0.61250000000000004</v>
      </c>
      <c r="K149" s="6">
        <f>ROUNDDOWN(I149/F149,0)</f>
        <v>124</v>
      </c>
      <c r="L149" s="8" t="str">
        <f>IF(J149&gt;0.97,"Sold Out",IF(J149&gt;=0.85,"Critical",IF(J149&gt;=0.7,"Constrained","Healthy")))</f>
        <v>Healthy</v>
      </c>
      <c r="M149" s="8" t="s">
        <v>153</v>
      </c>
      <c r="N149" s="8" t="str">
        <f>IF(M149="None","No","Yes")</f>
        <v>No</v>
      </c>
      <c r="O149" s="9">
        <v>46280</v>
      </c>
    </row>
    <row r="150" spans="1:15">
      <c r="A150" s="1" t="s">
        <v>333</v>
      </c>
      <c r="B150" s="1" t="s">
        <v>330</v>
      </c>
      <c r="C150" s="1" t="s">
        <v>147</v>
      </c>
      <c r="D150" s="1" t="s">
        <v>157</v>
      </c>
      <c r="E150" s="1" t="s">
        <v>149</v>
      </c>
      <c r="F150" s="6">
        <v>64</v>
      </c>
      <c r="G150" s="6">
        <v>3520</v>
      </c>
      <c r="H150" s="6">
        <v>1344</v>
      </c>
      <c r="I150" s="6">
        <f>G150-H150</f>
        <v>2176</v>
      </c>
      <c r="J150" s="7">
        <f>IF(G150=0,0,H150/G150)</f>
        <v>0.38181818181818183</v>
      </c>
      <c r="K150" s="6">
        <f>ROUNDDOWN(I150/F150,0)</f>
        <v>34</v>
      </c>
      <c r="L150" s="8" t="str">
        <f>IF(J150&gt;0.97,"Sold Out",IF(J150&gt;=0.85,"Critical",IF(J150&gt;=0.7,"Constrained","Healthy")))</f>
        <v>Healthy</v>
      </c>
      <c r="M150" s="8" t="s">
        <v>153</v>
      </c>
      <c r="N150" s="8" t="str">
        <f>IF(M150="None","No","Yes")</f>
        <v>No</v>
      </c>
      <c r="O150" s="9">
        <v>46280</v>
      </c>
    </row>
    <row r="151" spans="1:15">
      <c r="A151" s="1" t="s">
        <v>334</v>
      </c>
      <c r="B151" s="1" t="s">
        <v>330</v>
      </c>
      <c r="C151" s="1" t="s">
        <v>147</v>
      </c>
      <c r="D151" s="1" t="s">
        <v>159</v>
      </c>
      <c r="E151" s="1" t="s">
        <v>160</v>
      </c>
      <c r="F151" s="6">
        <v>16</v>
      </c>
      <c r="G151" s="6">
        <v>5328</v>
      </c>
      <c r="H151" s="6">
        <v>2640</v>
      </c>
      <c r="I151" s="6">
        <f>G151-H151</f>
        <v>2688</v>
      </c>
      <c r="J151" s="7">
        <f>IF(G151=0,0,H151/G151)</f>
        <v>0.49549549549549549</v>
      </c>
      <c r="K151" s="6">
        <f>ROUNDDOWN(I151/F151,0)</f>
        <v>168</v>
      </c>
      <c r="L151" s="8" t="str">
        <f>IF(J151&gt;0.97,"Sold Out",IF(J151&gt;=0.85,"Critical",IF(J151&gt;=0.7,"Constrained","Healthy")))</f>
        <v>Healthy</v>
      </c>
      <c r="M151" s="8" t="s">
        <v>153</v>
      </c>
      <c r="N151" s="8" t="str">
        <f>IF(M151="None","No","Yes")</f>
        <v>No</v>
      </c>
      <c r="O151" s="9">
        <v>46280</v>
      </c>
    </row>
    <row r="152" spans="1:15">
      <c r="A152" s="1" t="s">
        <v>335</v>
      </c>
      <c r="B152" s="1" t="s">
        <v>330</v>
      </c>
      <c r="C152" s="1" t="s">
        <v>147</v>
      </c>
      <c r="D152" s="1" t="s">
        <v>162</v>
      </c>
      <c r="E152" s="1" t="s">
        <v>163</v>
      </c>
      <c r="F152" s="6">
        <v>32</v>
      </c>
      <c r="G152" s="6">
        <v>5824</v>
      </c>
      <c r="H152" s="6">
        <v>2496</v>
      </c>
      <c r="I152" s="6">
        <f>G152-H152</f>
        <v>3328</v>
      </c>
      <c r="J152" s="7">
        <f>IF(G152=0,0,H152/G152)</f>
        <v>0.42857142857142855</v>
      </c>
      <c r="K152" s="6">
        <f>ROUNDDOWN(I152/F152,0)</f>
        <v>104</v>
      </c>
      <c r="L152" s="8" t="str">
        <f>IF(J152&gt;0.97,"Sold Out",IF(J152&gt;=0.85,"Critical",IF(J152&gt;=0.7,"Constrained","Healthy")))</f>
        <v>Healthy</v>
      </c>
      <c r="M152" s="8" t="s">
        <v>153</v>
      </c>
      <c r="N152" s="8" t="str">
        <f>IF(M152="None","No","Yes")</f>
        <v>No</v>
      </c>
      <c r="O152" s="9">
        <v>46280</v>
      </c>
    </row>
    <row r="153" spans="1:15">
      <c r="A153" s="1" t="s">
        <v>336</v>
      </c>
      <c r="B153" s="1" t="s">
        <v>330</v>
      </c>
      <c r="C153" s="1" t="s">
        <v>147</v>
      </c>
      <c r="D153" s="1" t="s">
        <v>165</v>
      </c>
      <c r="E153" s="1" t="s">
        <v>163</v>
      </c>
      <c r="F153" s="6">
        <v>64</v>
      </c>
      <c r="G153" s="6">
        <v>3264</v>
      </c>
      <c r="H153" s="6">
        <v>1920</v>
      </c>
      <c r="I153" s="6">
        <f>G153-H153</f>
        <v>1344</v>
      </c>
      <c r="J153" s="7">
        <f>IF(G153=0,0,H153/G153)</f>
        <v>0.58823529411764708</v>
      </c>
      <c r="K153" s="6">
        <f>ROUNDDOWN(I153/F153,0)</f>
        <v>21</v>
      </c>
      <c r="L153" s="8" t="str">
        <f>IF(J153&gt;0.97,"Sold Out",IF(J153&gt;=0.85,"Critical",IF(J153&gt;=0.7,"Constrained","Healthy")))</f>
        <v>Healthy</v>
      </c>
      <c r="M153" s="8" t="s">
        <v>153</v>
      </c>
      <c r="N153" s="8" t="str">
        <f>IF(M153="None","No","Yes")</f>
        <v>No</v>
      </c>
      <c r="O153" s="9">
        <v>46280</v>
      </c>
    </row>
    <row r="154" spans="1:15">
      <c r="A154" s="1" t="s">
        <v>337</v>
      </c>
      <c r="B154" s="1" t="s">
        <v>330</v>
      </c>
      <c r="C154" s="1" t="s">
        <v>147</v>
      </c>
      <c r="D154" s="1" t="s">
        <v>168</v>
      </c>
      <c r="E154" s="1" t="s">
        <v>169</v>
      </c>
      <c r="F154" s="6">
        <v>32</v>
      </c>
      <c r="G154" s="6">
        <v>9280</v>
      </c>
      <c r="H154" s="6">
        <v>4704</v>
      </c>
      <c r="I154" s="6">
        <f>G154-H154</f>
        <v>4576</v>
      </c>
      <c r="J154" s="7">
        <f>IF(G154=0,0,H154/G154)</f>
        <v>0.50689655172413794</v>
      </c>
      <c r="K154" s="6">
        <f>ROUNDDOWN(I154/F154,0)</f>
        <v>143</v>
      </c>
      <c r="L154" s="8" t="str">
        <f>IF(J154&gt;0.97,"Sold Out",IF(J154&gt;=0.85,"Critical",IF(J154&gt;=0.7,"Constrained","Healthy")))</f>
        <v>Healthy</v>
      </c>
      <c r="M154" s="8" t="s">
        <v>153</v>
      </c>
      <c r="N154" s="8" t="str">
        <f>IF(M154="None","No","Yes")</f>
        <v>No</v>
      </c>
      <c r="O154" s="9">
        <v>46280</v>
      </c>
    </row>
    <row r="155" spans="1:15">
      <c r="A155" s="1" t="s">
        <v>338</v>
      </c>
      <c r="B155" s="1" t="s">
        <v>330</v>
      </c>
      <c r="C155" s="1" t="s">
        <v>147</v>
      </c>
      <c r="D155" s="1" t="s">
        <v>171</v>
      </c>
      <c r="E155" s="1" t="s">
        <v>172</v>
      </c>
      <c r="F155" s="6">
        <v>16</v>
      </c>
      <c r="G155" s="6">
        <v>3712</v>
      </c>
      <c r="H155" s="6">
        <v>2288</v>
      </c>
      <c r="I155" s="6">
        <f>G155-H155</f>
        <v>1424</v>
      </c>
      <c r="J155" s="7">
        <f>IF(G155=0,0,H155/G155)</f>
        <v>0.61637931034482762</v>
      </c>
      <c r="K155" s="6">
        <f>ROUNDDOWN(I155/F155,0)</f>
        <v>89</v>
      </c>
      <c r="L155" s="8" t="str">
        <f>IF(J155&gt;0.97,"Sold Out",IF(J155&gt;=0.85,"Critical",IF(J155&gt;=0.7,"Constrained","Healthy")))</f>
        <v>Healthy</v>
      </c>
      <c r="M155" s="8" t="s">
        <v>153</v>
      </c>
      <c r="N155" s="8" t="str">
        <f>IF(M155="None","No","Yes")</f>
        <v>No</v>
      </c>
      <c r="O155" s="9">
        <v>46280</v>
      </c>
    </row>
    <row r="156" spans="1:15">
      <c r="A156" s="1" t="s">
        <v>339</v>
      </c>
      <c r="B156" s="1" t="s">
        <v>330</v>
      </c>
      <c r="C156" s="1" t="s">
        <v>147</v>
      </c>
      <c r="D156" s="1" t="s">
        <v>174</v>
      </c>
      <c r="E156" s="1" t="s">
        <v>175</v>
      </c>
      <c r="F156" s="6">
        <v>128</v>
      </c>
      <c r="G156" s="6">
        <v>768</v>
      </c>
      <c r="H156" s="6">
        <v>256</v>
      </c>
      <c r="I156" s="6">
        <f>G156-H156</f>
        <v>512</v>
      </c>
      <c r="J156" s="7">
        <f>IF(G156=0,0,H156/G156)</f>
        <v>0.33333333333333331</v>
      </c>
      <c r="K156" s="6">
        <f>ROUNDDOWN(I156/F156,0)</f>
        <v>4</v>
      </c>
      <c r="L156" s="8" t="str">
        <f>IF(J156&gt;0.97,"Sold Out",IF(J156&gt;=0.85,"Critical",IF(J156&gt;=0.7,"Constrained","Healthy")))</f>
        <v>Healthy</v>
      </c>
      <c r="M156" s="8" t="s">
        <v>153</v>
      </c>
      <c r="N156" s="8" t="str">
        <f>IF(M156="None","No","Yes")</f>
        <v>No</v>
      </c>
      <c r="O156" s="9">
        <v>46280</v>
      </c>
    </row>
    <row r="157" spans="1:15">
      <c r="A157" s="1" t="s">
        <v>340</v>
      </c>
      <c r="B157" s="1" t="s">
        <v>330</v>
      </c>
      <c r="C157" s="1" t="s">
        <v>147</v>
      </c>
      <c r="D157" s="1" t="s">
        <v>177</v>
      </c>
      <c r="E157" s="1" t="s">
        <v>178</v>
      </c>
      <c r="F157" s="6">
        <v>16</v>
      </c>
      <c r="G157" s="6">
        <v>5664</v>
      </c>
      <c r="H157" s="6">
        <v>3632</v>
      </c>
      <c r="I157" s="6">
        <f>G157-H157</f>
        <v>2032</v>
      </c>
      <c r="J157" s="7">
        <f>IF(G157=0,0,H157/G157)</f>
        <v>0.64124293785310738</v>
      </c>
      <c r="K157" s="6">
        <f>ROUNDDOWN(I157/F157,0)</f>
        <v>127</v>
      </c>
      <c r="L157" s="8" t="str">
        <f>IF(J157&gt;0.97,"Sold Out",IF(J157&gt;=0.85,"Critical",IF(J157&gt;=0.7,"Constrained","Healthy")))</f>
        <v>Healthy</v>
      </c>
      <c r="M157" s="8" t="s">
        <v>153</v>
      </c>
      <c r="N157" s="8" t="str">
        <f>IF(M157="None","No","Yes")</f>
        <v>No</v>
      </c>
      <c r="O157" s="9">
        <v>46280</v>
      </c>
    </row>
    <row r="158" spans="1:15">
      <c r="A158" s="1" t="s">
        <v>341</v>
      </c>
      <c r="B158" s="1" t="s">
        <v>330</v>
      </c>
      <c r="C158" s="1" t="s">
        <v>147</v>
      </c>
      <c r="D158" s="1" t="s">
        <v>180</v>
      </c>
      <c r="E158" s="1" t="s">
        <v>181</v>
      </c>
      <c r="F158" s="6">
        <v>32</v>
      </c>
      <c r="G158" s="6">
        <v>12928</v>
      </c>
      <c r="H158" s="6">
        <v>6432</v>
      </c>
      <c r="I158" s="6">
        <f>G158-H158</f>
        <v>6496</v>
      </c>
      <c r="J158" s="7">
        <f>IF(G158=0,0,H158/G158)</f>
        <v>0.49752475247524752</v>
      </c>
      <c r="K158" s="6">
        <f>ROUNDDOWN(I158/F158,0)</f>
        <v>203</v>
      </c>
      <c r="L158" s="8" t="str">
        <f>IF(J158&gt;0.97,"Sold Out",IF(J158&gt;=0.85,"Critical",IF(J158&gt;=0.7,"Constrained","Healthy")))</f>
        <v>Healthy</v>
      </c>
      <c r="M158" s="8" t="s">
        <v>153</v>
      </c>
      <c r="N158" s="8" t="str">
        <f>IF(M158="None","No","Yes")</f>
        <v>No</v>
      </c>
      <c r="O158" s="9">
        <v>46280</v>
      </c>
    </row>
    <row r="159" spans="1:15">
      <c r="A159" s="1" t="s">
        <v>342</v>
      </c>
      <c r="B159" s="1" t="s">
        <v>330</v>
      </c>
      <c r="C159" s="1" t="s">
        <v>147</v>
      </c>
      <c r="D159" s="1" t="s">
        <v>183</v>
      </c>
      <c r="E159" s="1" t="s">
        <v>184</v>
      </c>
      <c r="F159" s="6">
        <v>176</v>
      </c>
      <c r="G159" s="6">
        <v>1056</v>
      </c>
      <c r="H159" s="6">
        <v>352</v>
      </c>
      <c r="I159" s="6">
        <f>G159-H159</f>
        <v>704</v>
      </c>
      <c r="J159" s="7">
        <f>IF(G159=0,0,H159/G159)</f>
        <v>0.33333333333333331</v>
      </c>
      <c r="K159" s="6">
        <f>ROUNDDOWN(I159/F159,0)</f>
        <v>4</v>
      </c>
      <c r="L159" s="8" t="str">
        <f>IF(J159&gt;0.97,"Sold Out",IF(J159&gt;=0.85,"Critical",IF(J159&gt;=0.7,"Constrained","Healthy")))</f>
        <v>Healthy</v>
      </c>
      <c r="M159" s="8" t="s">
        <v>153</v>
      </c>
      <c r="N159" s="8" t="str">
        <f>IF(M159="None","No","Yes")</f>
        <v>No</v>
      </c>
      <c r="O159" s="9">
        <v>46280</v>
      </c>
    </row>
    <row r="160" spans="1:15">
      <c r="A160" s="1" t="s">
        <v>343</v>
      </c>
      <c r="B160" s="1" t="s">
        <v>330</v>
      </c>
      <c r="C160" s="1" t="s">
        <v>196</v>
      </c>
      <c r="D160" s="1" t="s">
        <v>148</v>
      </c>
      <c r="E160" s="1" t="s">
        <v>149</v>
      </c>
      <c r="F160" s="6">
        <v>8</v>
      </c>
      <c r="G160" s="6">
        <v>2248</v>
      </c>
      <c r="H160" s="6">
        <v>1408</v>
      </c>
      <c r="I160" s="6">
        <f>G160-H160</f>
        <v>840</v>
      </c>
      <c r="J160" s="7">
        <f>IF(G160=0,0,H160/G160)</f>
        <v>0.62633451957295372</v>
      </c>
      <c r="K160" s="6">
        <f>ROUNDDOWN(I160/F160,0)</f>
        <v>105</v>
      </c>
      <c r="L160" s="8" t="str">
        <f>IF(J160&gt;0.97,"Sold Out",IF(J160&gt;=0.85,"Critical",IF(J160&gt;=0.7,"Constrained","Healthy")))</f>
        <v>Healthy</v>
      </c>
      <c r="M160" s="8" t="s">
        <v>153</v>
      </c>
      <c r="N160" s="8" t="str">
        <f>IF(M160="None","No","Yes")</f>
        <v>No</v>
      </c>
      <c r="O160" s="9">
        <v>46280</v>
      </c>
    </row>
    <row r="161" spans="1:15">
      <c r="A161" s="1" t="s">
        <v>344</v>
      </c>
      <c r="B161" s="1" t="s">
        <v>330</v>
      </c>
      <c r="C161" s="1" t="s">
        <v>196</v>
      </c>
      <c r="D161" s="1" t="s">
        <v>152</v>
      </c>
      <c r="E161" s="1" t="s">
        <v>149</v>
      </c>
      <c r="F161" s="6">
        <v>16</v>
      </c>
      <c r="G161" s="6">
        <v>2160</v>
      </c>
      <c r="H161" s="6">
        <v>928</v>
      </c>
      <c r="I161" s="6">
        <f>G161-H161</f>
        <v>1232</v>
      </c>
      <c r="J161" s="7">
        <f>IF(G161=0,0,H161/G161)</f>
        <v>0.42962962962962964</v>
      </c>
      <c r="K161" s="6">
        <f>ROUNDDOWN(I161/F161,0)</f>
        <v>77</v>
      </c>
      <c r="L161" s="8" t="str">
        <f>IF(J161&gt;0.97,"Sold Out",IF(J161&gt;=0.85,"Critical",IF(J161&gt;=0.7,"Constrained","Healthy")))</f>
        <v>Healthy</v>
      </c>
      <c r="M161" s="8" t="s">
        <v>153</v>
      </c>
      <c r="N161" s="8" t="str">
        <f>IF(M161="None","No","Yes")</f>
        <v>No</v>
      </c>
      <c r="O161" s="9">
        <v>46280</v>
      </c>
    </row>
    <row r="162" spans="1:15">
      <c r="A162" s="1" t="s">
        <v>345</v>
      </c>
      <c r="B162" s="1" t="s">
        <v>330</v>
      </c>
      <c r="C162" s="1" t="s">
        <v>196</v>
      </c>
      <c r="D162" s="1" t="s">
        <v>155</v>
      </c>
      <c r="E162" s="1" t="s">
        <v>149</v>
      </c>
      <c r="F162" s="6">
        <v>32</v>
      </c>
      <c r="G162" s="6">
        <v>2560</v>
      </c>
      <c r="H162" s="6">
        <v>896</v>
      </c>
      <c r="I162" s="6">
        <f>G162-H162</f>
        <v>1664</v>
      </c>
      <c r="J162" s="7">
        <f>IF(G162=0,0,H162/G162)</f>
        <v>0.35</v>
      </c>
      <c r="K162" s="6">
        <f>ROUNDDOWN(I162/F162,0)</f>
        <v>52</v>
      </c>
      <c r="L162" s="8" t="str">
        <f>IF(J162&gt;0.97,"Sold Out",IF(J162&gt;=0.85,"Critical",IF(J162&gt;=0.7,"Constrained","Healthy")))</f>
        <v>Healthy</v>
      </c>
      <c r="M162" s="8" t="s">
        <v>153</v>
      </c>
      <c r="N162" s="8" t="str">
        <f>IF(M162="None","No","Yes")</f>
        <v>No</v>
      </c>
      <c r="O162" s="9">
        <v>46280</v>
      </c>
    </row>
    <row r="163" spans="1:15">
      <c r="A163" s="1" t="s">
        <v>346</v>
      </c>
      <c r="B163" s="1" t="s">
        <v>330</v>
      </c>
      <c r="C163" s="1" t="s">
        <v>196</v>
      </c>
      <c r="D163" s="1" t="s">
        <v>157</v>
      </c>
      <c r="E163" s="1" t="s">
        <v>149</v>
      </c>
      <c r="F163" s="6">
        <v>64</v>
      </c>
      <c r="G163" s="6">
        <v>3392</v>
      </c>
      <c r="H163" s="6">
        <v>1344</v>
      </c>
      <c r="I163" s="6">
        <f>G163-H163</f>
        <v>2048</v>
      </c>
      <c r="J163" s="7">
        <f>IF(G163=0,0,H163/G163)</f>
        <v>0.39622641509433965</v>
      </c>
      <c r="K163" s="6">
        <f>ROUNDDOWN(I163/F163,0)</f>
        <v>32</v>
      </c>
      <c r="L163" s="8" t="str">
        <f>IF(J163&gt;0.97,"Sold Out",IF(J163&gt;=0.85,"Critical",IF(J163&gt;=0.7,"Constrained","Healthy")))</f>
        <v>Healthy</v>
      </c>
      <c r="M163" s="8" t="s">
        <v>153</v>
      </c>
      <c r="N163" s="8" t="str">
        <f>IF(M163="None","No","Yes")</f>
        <v>No</v>
      </c>
      <c r="O163" s="9">
        <v>46280</v>
      </c>
    </row>
    <row r="164" spans="1:15">
      <c r="A164" s="1" t="s">
        <v>347</v>
      </c>
      <c r="B164" s="1" t="s">
        <v>330</v>
      </c>
      <c r="C164" s="1" t="s">
        <v>196</v>
      </c>
      <c r="D164" s="1" t="s">
        <v>159</v>
      </c>
      <c r="E164" s="1" t="s">
        <v>160</v>
      </c>
      <c r="F164" s="6">
        <v>16</v>
      </c>
      <c r="G164" s="6">
        <v>1248</v>
      </c>
      <c r="H164" s="6">
        <v>496</v>
      </c>
      <c r="I164" s="6">
        <f>G164-H164</f>
        <v>752</v>
      </c>
      <c r="J164" s="7">
        <f>IF(G164=0,0,H164/G164)</f>
        <v>0.39743589743589741</v>
      </c>
      <c r="K164" s="6">
        <f>ROUNDDOWN(I164/F164,0)</f>
        <v>47</v>
      </c>
      <c r="L164" s="8" t="str">
        <f>IF(J164&gt;0.97,"Sold Out",IF(J164&gt;=0.85,"Critical",IF(J164&gt;=0.7,"Constrained","Healthy")))</f>
        <v>Healthy</v>
      </c>
      <c r="M164" s="8" t="s">
        <v>153</v>
      </c>
      <c r="N164" s="8" t="str">
        <f>IF(M164="None","No","Yes")</f>
        <v>No</v>
      </c>
      <c r="O164" s="9">
        <v>46280</v>
      </c>
    </row>
    <row r="165" spans="1:15">
      <c r="A165" s="1" t="s">
        <v>348</v>
      </c>
      <c r="B165" s="1" t="s">
        <v>330</v>
      </c>
      <c r="C165" s="1" t="s">
        <v>196</v>
      </c>
      <c r="D165" s="1" t="s">
        <v>162</v>
      </c>
      <c r="E165" s="1" t="s">
        <v>163</v>
      </c>
      <c r="F165" s="6">
        <v>32</v>
      </c>
      <c r="G165" s="6">
        <v>9856</v>
      </c>
      <c r="H165" s="6">
        <v>4480</v>
      </c>
      <c r="I165" s="6">
        <f>G165-H165</f>
        <v>5376</v>
      </c>
      <c r="J165" s="7">
        <f>IF(G165=0,0,H165/G165)</f>
        <v>0.45454545454545453</v>
      </c>
      <c r="K165" s="6">
        <f>ROUNDDOWN(I165/F165,0)</f>
        <v>168</v>
      </c>
      <c r="L165" s="8" t="str">
        <f>IF(J165&gt;0.97,"Sold Out",IF(J165&gt;=0.85,"Critical",IF(J165&gt;=0.7,"Constrained","Healthy")))</f>
        <v>Healthy</v>
      </c>
      <c r="M165" s="8" t="s">
        <v>153</v>
      </c>
      <c r="N165" s="8" t="str">
        <f>IF(M165="None","No","Yes")</f>
        <v>No</v>
      </c>
      <c r="O165" s="9">
        <v>46280</v>
      </c>
    </row>
    <row r="166" spans="1:15">
      <c r="A166" s="1" t="s">
        <v>349</v>
      </c>
      <c r="B166" s="1" t="s">
        <v>330</v>
      </c>
      <c r="C166" s="1" t="s">
        <v>196</v>
      </c>
      <c r="D166" s="1" t="s">
        <v>165</v>
      </c>
      <c r="E166" s="1" t="s">
        <v>163</v>
      </c>
      <c r="F166" s="6">
        <v>64</v>
      </c>
      <c r="G166" s="6">
        <v>4736</v>
      </c>
      <c r="H166" s="6">
        <v>1856</v>
      </c>
      <c r="I166" s="6">
        <f>G166-H166</f>
        <v>2880</v>
      </c>
      <c r="J166" s="7">
        <f>IF(G166=0,0,H166/G166)</f>
        <v>0.39189189189189189</v>
      </c>
      <c r="K166" s="6">
        <f>ROUNDDOWN(I166/F166,0)</f>
        <v>45</v>
      </c>
      <c r="L166" s="8" t="str">
        <f>IF(J166&gt;0.97,"Sold Out",IF(J166&gt;=0.85,"Critical",IF(J166&gt;=0.7,"Constrained","Healthy")))</f>
        <v>Healthy</v>
      </c>
      <c r="M166" s="8" t="s">
        <v>153</v>
      </c>
      <c r="N166" s="8" t="str">
        <f>IF(M166="None","No","Yes")</f>
        <v>No</v>
      </c>
      <c r="O166" s="9">
        <v>46280</v>
      </c>
    </row>
    <row r="167" spans="1:15">
      <c r="A167" s="1" t="s">
        <v>350</v>
      </c>
      <c r="B167" s="1" t="s">
        <v>330</v>
      </c>
      <c r="C167" s="1" t="s">
        <v>196</v>
      </c>
      <c r="D167" s="1" t="s">
        <v>168</v>
      </c>
      <c r="E167" s="1" t="s">
        <v>169</v>
      </c>
      <c r="F167" s="6">
        <v>32</v>
      </c>
      <c r="G167" s="6">
        <v>5440</v>
      </c>
      <c r="H167" s="6">
        <v>1824</v>
      </c>
      <c r="I167" s="6">
        <f>G167-H167</f>
        <v>3616</v>
      </c>
      <c r="J167" s="7">
        <f>IF(G167=0,0,H167/G167)</f>
        <v>0.3352941176470588</v>
      </c>
      <c r="K167" s="6">
        <f>ROUNDDOWN(I167/F167,0)</f>
        <v>113</v>
      </c>
      <c r="L167" s="8" t="str">
        <f>IF(J167&gt;0.97,"Sold Out",IF(J167&gt;=0.85,"Critical",IF(J167&gt;=0.7,"Constrained","Healthy")))</f>
        <v>Healthy</v>
      </c>
      <c r="M167" s="8" t="s">
        <v>153</v>
      </c>
      <c r="N167" s="8" t="str">
        <f>IF(M167="None","No","Yes")</f>
        <v>No</v>
      </c>
      <c r="O167" s="9">
        <v>46280</v>
      </c>
    </row>
    <row r="168" spans="1:15">
      <c r="A168" s="1" t="s">
        <v>351</v>
      </c>
      <c r="B168" s="1" t="s">
        <v>330</v>
      </c>
      <c r="C168" s="1" t="s">
        <v>196</v>
      </c>
      <c r="D168" s="1" t="s">
        <v>174</v>
      </c>
      <c r="E168" s="1" t="s">
        <v>175</v>
      </c>
      <c r="F168" s="6">
        <v>128</v>
      </c>
      <c r="G168" s="6">
        <v>2048</v>
      </c>
      <c r="H168" s="6">
        <v>896</v>
      </c>
      <c r="I168" s="6">
        <f>G168-H168</f>
        <v>1152</v>
      </c>
      <c r="J168" s="7">
        <f>IF(G168=0,0,H168/G168)</f>
        <v>0.4375</v>
      </c>
      <c r="K168" s="6">
        <f>ROUNDDOWN(I168/F168,0)</f>
        <v>9</v>
      </c>
      <c r="L168" s="8" t="str">
        <f>IF(J168&gt;0.97,"Sold Out",IF(J168&gt;=0.85,"Critical",IF(J168&gt;=0.7,"Constrained","Healthy")))</f>
        <v>Healthy</v>
      </c>
      <c r="M168" s="8" t="s">
        <v>153</v>
      </c>
      <c r="N168" s="8" t="str">
        <f>IF(M168="None","No","Yes")</f>
        <v>No</v>
      </c>
      <c r="O168" s="9">
        <v>46280</v>
      </c>
    </row>
    <row r="169" spans="1:15">
      <c r="A169" s="1" t="s">
        <v>352</v>
      </c>
      <c r="B169" s="1" t="s">
        <v>330</v>
      </c>
      <c r="C169" s="1" t="s">
        <v>196</v>
      </c>
      <c r="D169" s="1" t="s">
        <v>177</v>
      </c>
      <c r="E169" s="1" t="s">
        <v>178</v>
      </c>
      <c r="F169" s="6">
        <v>16</v>
      </c>
      <c r="G169" s="6">
        <v>5760</v>
      </c>
      <c r="H169" s="6">
        <v>2208</v>
      </c>
      <c r="I169" s="6">
        <f>G169-H169</f>
        <v>3552</v>
      </c>
      <c r="J169" s="7">
        <f>IF(G169=0,0,H169/G169)</f>
        <v>0.38333333333333336</v>
      </c>
      <c r="K169" s="6">
        <f>ROUNDDOWN(I169/F169,0)</f>
        <v>222</v>
      </c>
      <c r="L169" s="8" t="str">
        <f>IF(J169&gt;0.97,"Sold Out",IF(J169&gt;=0.85,"Critical",IF(J169&gt;=0.7,"Constrained","Healthy")))</f>
        <v>Healthy</v>
      </c>
      <c r="M169" s="8" t="s">
        <v>153</v>
      </c>
      <c r="N169" s="8" t="str">
        <f>IF(M169="None","No","Yes")</f>
        <v>No</v>
      </c>
      <c r="O169" s="9">
        <v>46280</v>
      </c>
    </row>
    <row r="170" spans="1:15">
      <c r="A170" s="1" t="s">
        <v>353</v>
      </c>
      <c r="B170" s="1" t="s">
        <v>330</v>
      </c>
      <c r="C170" s="1" t="s">
        <v>196</v>
      </c>
      <c r="D170" s="1" t="s">
        <v>180</v>
      </c>
      <c r="E170" s="1" t="s">
        <v>181</v>
      </c>
      <c r="F170" s="6">
        <v>32</v>
      </c>
      <c r="G170" s="6">
        <v>9632</v>
      </c>
      <c r="H170" s="6">
        <v>5440</v>
      </c>
      <c r="I170" s="6">
        <f>G170-H170</f>
        <v>4192</v>
      </c>
      <c r="J170" s="7">
        <f>IF(G170=0,0,H170/G170)</f>
        <v>0.56478405315614622</v>
      </c>
      <c r="K170" s="6">
        <f>ROUNDDOWN(I170/F170,0)</f>
        <v>131</v>
      </c>
      <c r="L170" s="8" t="str">
        <f>IF(J170&gt;0.97,"Sold Out",IF(J170&gt;=0.85,"Critical",IF(J170&gt;=0.7,"Constrained","Healthy")))</f>
        <v>Healthy</v>
      </c>
      <c r="M170" s="8" t="s">
        <v>153</v>
      </c>
      <c r="N170" s="8" t="str">
        <f>IF(M170="None","No","Yes")</f>
        <v>No</v>
      </c>
      <c r="O170" s="9">
        <v>46280</v>
      </c>
    </row>
    <row r="171" spans="1:15">
      <c r="A171" s="1" t="s">
        <v>354</v>
      </c>
      <c r="B171" s="1" t="s">
        <v>330</v>
      </c>
      <c r="C171" s="1" t="s">
        <v>196</v>
      </c>
      <c r="D171" s="1" t="s">
        <v>183</v>
      </c>
      <c r="E171" s="1" t="s">
        <v>184</v>
      </c>
      <c r="F171" s="6">
        <v>176</v>
      </c>
      <c r="G171" s="6">
        <v>1056</v>
      </c>
      <c r="H171" s="6">
        <v>528</v>
      </c>
      <c r="I171" s="6">
        <f>G171-H171</f>
        <v>528</v>
      </c>
      <c r="J171" s="7">
        <f>IF(G171=0,0,H171/G171)</f>
        <v>0.5</v>
      </c>
      <c r="K171" s="6">
        <f>ROUNDDOWN(I171/F171,0)</f>
        <v>3</v>
      </c>
      <c r="L171" s="8" t="str">
        <f>IF(J171&gt;0.97,"Sold Out",IF(J171&gt;=0.85,"Critical",IF(J171&gt;=0.7,"Constrained","Healthy")))</f>
        <v>Healthy</v>
      </c>
      <c r="M171" s="8" t="s">
        <v>153</v>
      </c>
      <c r="N171" s="8" t="str">
        <f>IF(M171="None","No","Yes")</f>
        <v>No</v>
      </c>
      <c r="O171" s="9">
        <v>46280</v>
      </c>
    </row>
    <row r="172" spans="1:15">
      <c r="A172" s="1" t="s">
        <v>355</v>
      </c>
      <c r="B172" s="1" t="s">
        <v>330</v>
      </c>
      <c r="C172" s="1" t="s">
        <v>212</v>
      </c>
      <c r="D172" s="1" t="s">
        <v>152</v>
      </c>
      <c r="E172" s="1" t="s">
        <v>149</v>
      </c>
      <c r="F172" s="6">
        <v>16</v>
      </c>
      <c r="G172" s="6">
        <v>4464</v>
      </c>
      <c r="H172" s="6">
        <v>2704</v>
      </c>
      <c r="I172" s="6">
        <f>G172-H172</f>
        <v>1760</v>
      </c>
      <c r="J172" s="7">
        <f>IF(G172=0,0,H172/G172)</f>
        <v>0.60573476702508966</v>
      </c>
      <c r="K172" s="6">
        <f>ROUNDDOWN(I172/F172,0)</f>
        <v>110</v>
      </c>
      <c r="L172" s="8" t="str">
        <f>IF(J172&gt;0.97,"Sold Out",IF(J172&gt;=0.85,"Critical",IF(J172&gt;=0.7,"Constrained","Healthy")))</f>
        <v>Healthy</v>
      </c>
      <c r="M172" s="8" t="s">
        <v>153</v>
      </c>
      <c r="N172" s="8" t="str">
        <f>IF(M172="None","No","Yes")</f>
        <v>No</v>
      </c>
      <c r="O172" s="9">
        <v>46280</v>
      </c>
    </row>
    <row r="173" spans="1:15">
      <c r="A173" s="1" t="s">
        <v>356</v>
      </c>
      <c r="B173" s="1" t="s">
        <v>330</v>
      </c>
      <c r="C173" s="1" t="s">
        <v>212</v>
      </c>
      <c r="D173" s="1" t="s">
        <v>155</v>
      </c>
      <c r="E173" s="1" t="s">
        <v>149</v>
      </c>
      <c r="F173" s="6">
        <v>32</v>
      </c>
      <c r="G173" s="6">
        <v>7904</v>
      </c>
      <c r="H173" s="6">
        <v>4928</v>
      </c>
      <c r="I173" s="6">
        <f>G173-H173</f>
        <v>2976</v>
      </c>
      <c r="J173" s="7">
        <f>IF(G173=0,0,H173/G173)</f>
        <v>0.62348178137651822</v>
      </c>
      <c r="K173" s="6">
        <f>ROUNDDOWN(I173/F173,0)</f>
        <v>93</v>
      </c>
      <c r="L173" s="8" t="str">
        <f>IF(J173&gt;0.97,"Sold Out",IF(J173&gt;=0.85,"Critical",IF(J173&gt;=0.7,"Constrained","Healthy")))</f>
        <v>Healthy</v>
      </c>
      <c r="M173" s="8" t="s">
        <v>153</v>
      </c>
      <c r="N173" s="8" t="str">
        <f>IF(M173="None","No","Yes")</f>
        <v>No</v>
      </c>
      <c r="O173" s="9">
        <v>46280</v>
      </c>
    </row>
    <row r="174" spans="1:15">
      <c r="A174" s="1" t="s">
        <v>357</v>
      </c>
      <c r="B174" s="1" t="s">
        <v>330</v>
      </c>
      <c r="C174" s="1" t="s">
        <v>212</v>
      </c>
      <c r="D174" s="1" t="s">
        <v>165</v>
      </c>
      <c r="E174" s="1" t="s">
        <v>163</v>
      </c>
      <c r="F174" s="6">
        <v>64</v>
      </c>
      <c r="G174" s="6">
        <v>3456</v>
      </c>
      <c r="H174" s="6">
        <v>1472</v>
      </c>
      <c r="I174" s="6">
        <f>G174-H174</f>
        <v>1984</v>
      </c>
      <c r="J174" s="7">
        <f>IF(G174=0,0,H174/G174)</f>
        <v>0.42592592592592593</v>
      </c>
      <c r="K174" s="6">
        <f>ROUNDDOWN(I174/F174,0)</f>
        <v>31</v>
      </c>
      <c r="L174" s="8" t="str">
        <f>IF(J174&gt;0.97,"Sold Out",IF(J174&gt;=0.85,"Critical",IF(J174&gt;=0.7,"Constrained","Healthy")))</f>
        <v>Healthy</v>
      </c>
      <c r="M174" s="8" t="s">
        <v>153</v>
      </c>
      <c r="N174" s="8" t="str">
        <f>IF(M174="None","No","Yes")</f>
        <v>No</v>
      </c>
      <c r="O174" s="9">
        <v>46280</v>
      </c>
    </row>
    <row r="175" spans="1:15">
      <c r="A175" s="1" t="s">
        <v>358</v>
      </c>
      <c r="B175" s="1" t="s">
        <v>359</v>
      </c>
      <c r="C175" s="1" t="s">
        <v>147</v>
      </c>
      <c r="D175" s="1" t="s">
        <v>148</v>
      </c>
      <c r="E175" s="1" t="s">
        <v>149</v>
      </c>
      <c r="F175" s="6">
        <v>8</v>
      </c>
      <c r="G175" s="6">
        <v>1912</v>
      </c>
      <c r="H175" s="6">
        <v>1480</v>
      </c>
      <c r="I175" s="6">
        <f>G175-H175</f>
        <v>432</v>
      </c>
      <c r="J175" s="7">
        <f>IF(G175=0,0,H175/G175)</f>
        <v>0.77405857740585771</v>
      </c>
      <c r="K175" s="6">
        <f>ROUNDDOWN(I175/F175,0)</f>
        <v>54</v>
      </c>
      <c r="L175" s="8" t="str">
        <f>IF(J175&gt;0.97,"Sold Out",IF(J175&gt;=0.85,"Critical",IF(J175&gt;=0.7,"Constrained","Healthy")))</f>
        <v>Constrained</v>
      </c>
      <c r="M175" s="8" t="s">
        <v>150</v>
      </c>
      <c r="N175" s="8" t="str">
        <f>IF(M175="None","No","Yes")</f>
        <v>Yes</v>
      </c>
      <c r="O175" s="9">
        <v>46280</v>
      </c>
    </row>
    <row r="176" spans="1:15">
      <c r="A176" s="1" t="s">
        <v>360</v>
      </c>
      <c r="B176" s="1" t="s">
        <v>359</v>
      </c>
      <c r="C176" s="1" t="s">
        <v>147</v>
      </c>
      <c r="D176" s="1" t="s">
        <v>152</v>
      </c>
      <c r="E176" s="1" t="s">
        <v>149</v>
      </c>
      <c r="F176" s="6">
        <v>16</v>
      </c>
      <c r="G176" s="6">
        <v>6032</v>
      </c>
      <c r="H176" s="6">
        <v>4304</v>
      </c>
      <c r="I176" s="6">
        <f>G176-H176</f>
        <v>1728</v>
      </c>
      <c r="J176" s="7">
        <f>IF(G176=0,0,H176/G176)</f>
        <v>0.71352785145888598</v>
      </c>
      <c r="K176" s="6">
        <f>ROUNDDOWN(I176/F176,0)</f>
        <v>108</v>
      </c>
      <c r="L176" s="8" t="str">
        <f>IF(J176&gt;0.97,"Sold Out",IF(J176&gt;=0.85,"Critical",IF(J176&gt;=0.7,"Constrained","Healthy")))</f>
        <v>Constrained</v>
      </c>
      <c r="M176" s="8" t="s">
        <v>150</v>
      </c>
      <c r="N176" s="8" t="str">
        <f>IF(M176="None","No","Yes")</f>
        <v>Yes</v>
      </c>
      <c r="O176" s="9">
        <v>46280</v>
      </c>
    </row>
    <row r="177" spans="1:15">
      <c r="A177" s="1" t="s">
        <v>361</v>
      </c>
      <c r="B177" s="1" t="s">
        <v>359</v>
      </c>
      <c r="C177" s="1" t="s">
        <v>147</v>
      </c>
      <c r="D177" s="1" t="s">
        <v>155</v>
      </c>
      <c r="E177" s="1" t="s">
        <v>149</v>
      </c>
      <c r="F177" s="6">
        <v>32</v>
      </c>
      <c r="G177" s="6">
        <v>14976</v>
      </c>
      <c r="H177" s="6">
        <v>12704</v>
      </c>
      <c r="I177" s="6">
        <f>G177-H177</f>
        <v>2272</v>
      </c>
      <c r="J177" s="7">
        <f>IF(G177=0,0,H177/G177)</f>
        <v>0.84829059829059827</v>
      </c>
      <c r="K177" s="6">
        <f>ROUNDDOWN(I177/F177,0)</f>
        <v>71</v>
      </c>
      <c r="L177" s="8" t="str">
        <f>IF(J177&gt;0.97,"Sold Out",IF(J177&gt;=0.85,"Critical",IF(J177&gt;=0.7,"Constrained","Healthy")))</f>
        <v>Constrained</v>
      </c>
      <c r="M177" s="8" t="s">
        <v>150</v>
      </c>
      <c r="N177" s="8" t="str">
        <f>IF(M177="None","No","Yes")</f>
        <v>Yes</v>
      </c>
      <c r="O177" s="9">
        <v>46280</v>
      </c>
    </row>
    <row r="178" spans="1:15">
      <c r="A178" s="1" t="s">
        <v>362</v>
      </c>
      <c r="B178" s="1" t="s">
        <v>359</v>
      </c>
      <c r="C178" s="1" t="s">
        <v>147</v>
      </c>
      <c r="D178" s="1" t="s">
        <v>157</v>
      </c>
      <c r="E178" s="1" t="s">
        <v>149</v>
      </c>
      <c r="F178" s="6">
        <v>64</v>
      </c>
      <c r="G178" s="6">
        <v>8896</v>
      </c>
      <c r="H178" s="6">
        <v>6400</v>
      </c>
      <c r="I178" s="6">
        <f>G178-H178</f>
        <v>2496</v>
      </c>
      <c r="J178" s="7">
        <f>IF(G178=0,0,H178/G178)</f>
        <v>0.71942446043165464</v>
      </c>
      <c r="K178" s="6">
        <f>ROUNDDOWN(I178/F178,0)</f>
        <v>39</v>
      </c>
      <c r="L178" s="8" t="str">
        <f>IF(J178&gt;0.97,"Sold Out",IF(J178&gt;=0.85,"Critical",IF(J178&gt;=0.7,"Constrained","Healthy")))</f>
        <v>Constrained</v>
      </c>
      <c r="M178" s="8" t="s">
        <v>150</v>
      </c>
      <c r="N178" s="8" t="str">
        <f>IF(M178="None","No","Yes")</f>
        <v>Yes</v>
      </c>
      <c r="O178" s="9">
        <v>46280</v>
      </c>
    </row>
    <row r="179" spans="1:15">
      <c r="A179" s="1" t="s">
        <v>363</v>
      </c>
      <c r="B179" s="1" t="s">
        <v>359</v>
      </c>
      <c r="C179" s="1" t="s">
        <v>147</v>
      </c>
      <c r="D179" s="1" t="s">
        <v>159</v>
      </c>
      <c r="E179" s="1" t="s">
        <v>160</v>
      </c>
      <c r="F179" s="6">
        <v>16</v>
      </c>
      <c r="G179" s="6">
        <v>4224</v>
      </c>
      <c r="H179" s="6">
        <v>2080</v>
      </c>
      <c r="I179" s="6">
        <f>G179-H179</f>
        <v>2144</v>
      </c>
      <c r="J179" s="7">
        <f>IF(G179=0,0,H179/G179)</f>
        <v>0.49242424242424243</v>
      </c>
      <c r="K179" s="6">
        <f>ROUNDDOWN(I179/F179,0)</f>
        <v>134</v>
      </c>
      <c r="L179" s="8" t="str">
        <f>IF(J179&gt;0.97,"Sold Out",IF(J179&gt;=0.85,"Critical",IF(J179&gt;=0.7,"Constrained","Healthy")))</f>
        <v>Healthy</v>
      </c>
      <c r="M179" s="8" t="s">
        <v>153</v>
      </c>
      <c r="N179" s="8" t="str">
        <f>IF(M179="None","No","Yes")</f>
        <v>No</v>
      </c>
      <c r="O179" s="9">
        <v>46280</v>
      </c>
    </row>
    <row r="180" spans="1:15">
      <c r="A180" s="1" t="s">
        <v>364</v>
      </c>
      <c r="B180" s="1" t="s">
        <v>359</v>
      </c>
      <c r="C180" s="1" t="s">
        <v>147</v>
      </c>
      <c r="D180" s="1" t="s">
        <v>162</v>
      </c>
      <c r="E180" s="1" t="s">
        <v>163</v>
      </c>
      <c r="F180" s="6">
        <v>32</v>
      </c>
      <c r="G180" s="6">
        <v>28768</v>
      </c>
      <c r="H180" s="6">
        <v>19296</v>
      </c>
      <c r="I180" s="6">
        <f>G180-H180</f>
        <v>9472</v>
      </c>
      <c r="J180" s="7">
        <f>IF(G180=0,0,H180/G180)</f>
        <v>0.6707452725250278</v>
      </c>
      <c r="K180" s="6">
        <f>ROUNDDOWN(I180/F180,0)</f>
        <v>296</v>
      </c>
      <c r="L180" s="8" t="str">
        <f>IF(J180&gt;0.97,"Sold Out",IF(J180&gt;=0.85,"Critical",IF(J180&gt;=0.7,"Constrained","Healthy")))</f>
        <v>Healthy</v>
      </c>
      <c r="M180" s="8" t="s">
        <v>153</v>
      </c>
      <c r="N180" s="8" t="str">
        <f>IF(M180="None","No","Yes")</f>
        <v>No</v>
      </c>
      <c r="O180" s="9">
        <v>46280</v>
      </c>
    </row>
    <row r="181" spans="1:15">
      <c r="A181" s="1" t="s">
        <v>365</v>
      </c>
      <c r="B181" s="1" t="s">
        <v>359</v>
      </c>
      <c r="C181" s="1" t="s">
        <v>147</v>
      </c>
      <c r="D181" s="1" t="s">
        <v>165</v>
      </c>
      <c r="E181" s="1" t="s">
        <v>163</v>
      </c>
      <c r="F181" s="6">
        <v>64</v>
      </c>
      <c r="G181" s="6">
        <v>8192</v>
      </c>
      <c r="H181" s="6">
        <v>6848</v>
      </c>
      <c r="I181" s="6">
        <f>G181-H181</f>
        <v>1344</v>
      </c>
      <c r="J181" s="7">
        <f>IF(G181=0,0,H181/G181)</f>
        <v>0.8359375</v>
      </c>
      <c r="K181" s="6">
        <f>ROUNDDOWN(I181/F181,0)</f>
        <v>21</v>
      </c>
      <c r="L181" s="8" t="str">
        <f>IF(J181&gt;0.97,"Sold Out",IF(J181&gt;=0.85,"Critical",IF(J181&gt;=0.7,"Constrained","Healthy")))</f>
        <v>Constrained</v>
      </c>
      <c r="M181" s="8" t="s">
        <v>153</v>
      </c>
      <c r="N181" s="8" t="str">
        <f>IF(M181="None","No","Yes")</f>
        <v>No</v>
      </c>
      <c r="O181" s="9">
        <v>46280</v>
      </c>
    </row>
    <row r="182" spans="1:15">
      <c r="A182" s="1" t="s">
        <v>366</v>
      </c>
      <c r="B182" s="1" t="s">
        <v>359</v>
      </c>
      <c r="C182" s="1" t="s">
        <v>147</v>
      </c>
      <c r="D182" s="1" t="s">
        <v>168</v>
      </c>
      <c r="E182" s="1" t="s">
        <v>169</v>
      </c>
      <c r="F182" s="6">
        <v>32</v>
      </c>
      <c r="G182" s="6">
        <v>13568</v>
      </c>
      <c r="H182" s="6">
        <v>9568</v>
      </c>
      <c r="I182" s="6">
        <f>G182-H182</f>
        <v>4000</v>
      </c>
      <c r="J182" s="7">
        <f>IF(G182=0,0,H182/G182)</f>
        <v>0.70518867924528306</v>
      </c>
      <c r="K182" s="6">
        <f>ROUNDDOWN(I182/F182,0)</f>
        <v>125</v>
      </c>
      <c r="L182" s="8" t="str">
        <f>IF(J182&gt;0.97,"Sold Out",IF(J182&gt;=0.85,"Critical",IF(J182&gt;=0.7,"Constrained","Healthy")))</f>
        <v>Constrained</v>
      </c>
      <c r="M182" s="8" t="s">
        <v>150</v>
      </c>
      <c r="N182" s="8" t="str">
        <f>IF(M182="None","No","Yes")</f>
        <v>Yes</v>
      </c>
      <c r="O182" s="9">
        <v>46280</v>
      </c>
    </row>
    <row r="183" spans="1:15">
      <c r="A183" s="1" t="s">
        <v>367</v>
      </c>
      <c r="B183" s="1" t="s">
        <v>359</v>
      </c>
      <c r="C183" s="1" t="s">
        <v>147</v>
      </c>
      <c r="D183" s="1" t="s">
        <v>171</v>
      </c>
      <c r="E183" s="1" t="s">
        <v>172</v>
      </c>
      <c r="F183" s="6">
        <v>16</v>
      </c>
      <c r="G183" s="6">
        <v>12144</v>
      </c>
      <c r="H183" s="6">
        <v>6960</v>
      </c>
      <c r="I183" s="6">
        <f>G183-H183</f>
        <v>5184</v>
      </c>
      <c r="J183" s="7">
        <f>IF(G183=0,0,H183/G183)</f>
        <v>0.5731225296442688</v>
      </c>
      <c r="K183" s="6">
        <f>ROUNDDOWN(I183/F183,0)</f>
        <v>324</v>
      </c>
      <c r="L183" s="8" t="str">
        <f>IF(J183&gt;0.97,"Sold Out",IF(J183&gt;=0.85,"Critical",IF(J183&gt;=0.7,"Constrained","Healthy")))</f>
        <v>Healthy</v>
      </c>
      <c r="M183" s="8" t="s">
        <v>153</v>
      </c>
      <c r="N183" s="8" t="str">
        <f>IF(M183="None","No","Yes")</f>
        <v>No</v>
      </c>
      <c r="O183" s="9">
        <v>46280</v>
      </c>
    </row>
    <row r="184" spans="1:15">
      <c r="A184" s="1" t="s">
        <v>368</v>
      </c>
      <c r="B184" s="1" t="s">
        <v>359</v>
      </c>
      <c r="C184" s="1" t="s">
        <v>147</v>
      </c>
      <c r="D184" s="1" t="s">
        <v>174</v>
      </c>
      <c r="E184" s="1" t="s">
        <v>175</v>
      </c>
      <c r="F184" s="6">
        <v>128</v>
      </c>
      <c r="G184" s="6">
        <v>1280</v>
      </c>
      <c r="H184" s="6">
        <v>1024</v>
      </c>
      <c r="I184" s="6">
        <f>G184-H184</f>
        <v>256</v>
      </c>
      <c r="J184" s="7">
        <f>IF(G184=0,0,H184/G184)</f>
        <v>0.8</v>
      </c>
      <c r="K184" s="6">
        <f>ROUNDDOWN(I184/F184,0)</f>
        <v>2</v>
      </c>
      <c r="L184" s="8" t="str">
        <f>IF(J184&gt;0.97,"Sold Out",IF(J184&gt;=0.85,"Critical",IF(J184&gt;=0.7,"Constrained","Healthy")))</f>
        <v>Constrained</v>
      </c>
      <c r="M184" s="8" t="s">
        <v>153</v>
      </c>
      <c r="N184" s="8" t="str">
        <f>IF(M184="None","No","Yes")</f>
        <v>No</v>
      </c>
      <c r="O184" s="9">
        <v>46280</v>
      </c>
    </row>
    <row r="185" spans="1:15">
      <c r="A185" s="1" t="s">
        <v>369</v>
      </c>
      <c r="B185" s="1" t="s">
        <v>359</v>
      </c>
      <c r="C185" s="1" t="s">
        <v>147</v>
      </c>
      <c r="D185" s="1" t="s">
        <v>177</v>
      </c>
      <c r="E185" s="1" t="s">
        <v>178</v>
      </c>
      <c r="F185" s="6">
        <v>16</v>
      </c>
      <c r="G185" s="6">
        <v>13520</v>
      </c>
      <c r="H185" s="6">
        <v>10080</v>
      </c>
      <c r="I185" s="6">
        <f>G185-H185</f>
        <v>3440</v>
      </c>
      <c r="J185" s="7">
        <f>IF(G185=0,0,H185/G185)</f>
        <v>0.74556213017751483</v>
      </c>
      <c r="K185" s="6">
        <f>ROUNDDOWN(I185/F185,0)</f>
        <v>215</v>
      </c>
      <c r="L185" s="8" t="str">
        <f>IF(J185&gt;0.97,"Sold Out",IF(J185&gt;=0.85,"Critical",IF(J185&gt;=0.7,"Constrained","Healthy")))</f>
        <v>Constrained</v>
      </c>
      <c r="M185" s="8" t="s">
        <v>150</v>
      </c>
      <c r="N185" s="8" t="str">
        <f>IF(M185="None","No","Yes")</f>
        <v>Yes</v>
      </c>
      <c r="O185" s="9">
        <v>46280</v>
      </c>
    </row>
    <row r="186" spans="1:15">
      <c r="A186" s="1" t="s">
        <v>370</v>
      </c>
      <c r="B186" s="1" t="s">
        <v>359</v>
      </c>
      <c r="C186" s="1" t="s">
        <v>147</v>
      </c>
      <c r="D186" s="1" t="s">
        <v>180</v>
      </c>
      <c r="E186" s="1" t="s">
        <v>181</v>
      </c>
      <c r="F186" s="6">
        <v>32</v>
      </c>
      <c r="G186" s="6">
        <v>18464</v>
      </c>
      <c r="H186" s="6">
        <v>11040</v>
      </c>
      <c r="I186" s="6">
        <f>G186-H186</f>
        <v>7424</v>
      </c>
      <c r="J186" s="7">
        <f>IF(G186=0,0,H186/G186)</f>
        <v>0.59792027729636044</v>
      </c>
      <c r="K186" s="6">
        <f>ROUNDDOWN(I186/F186,0)</f>
        <v>232</v>
      </c>
      <c r="L186" s="8" t="str">
        <f>IF(J186&gt;0.97,"Sold Out",IF(J186&gt;=0.85,"Critical",IF(J186&gt;=0.7,"Constrained","Healthy")))</f>
        <v>Healthy</v>
      </c>
      <c r="M186" s="8" t="s">
        <v>153</v>
      </c>
      <c r="N186" s="8" t="str">
        <f>IF(M186="None","No","Yes")</f>
        <v>No</v>
      </c>
      <c r="O186" s="9">
        <v>46280</v>
      </c>
    </row>
    <row r="187" spans="1:15">
      <c r="A187" s="1" t="s">
        <v>371</v>
      </c>
      <c r="B187" s="1" t="s">
        <v>359</v>
      </c>
      <c r="C187" s="1" t="s">
        <v>147</v>
      </c>
      <c r="D187" s="1" t="s">
        <v>186</v>
      </c>
      <c r="E187" s="1" t="s">
        <v>187</v>
      </c>
      <c r="F187" s="6">
        <v>24</v>
      </c>
      <c r="G187" s="6">
        <v>1008</v>
      </c>
      <c r="H187" s="6">
        <v>720</v>
      </c>
      <c r="I187" s="6">
        <f>G187-H187</f>
        <v>288</v>
      </c>
      <c r="J187" s="7">
        <f>IF(G187=0,0,H187/G187)</f>
        <v>0.7142857142857143</v>
      </c>
      <c r="K187" s="6">
        <f>ROUNDDOWN(I187/F187,0)</f>
        <v>12</v>
      </c>
      <c r="L187" s="8" t="str">
        <f>IF(J187&gt;0.97,"Sold Out",IF(J187&gt;=0.85,"Critical",IF(J187&gt;=0.7,"Constrained","Healthy")))</f>
        <v>Constrained</v>
      </c>
      <c r="M187" s="8" t="s">
        <v>153</v>
      </c>
      <c r="N187" s="8" t="str">
        <f>IF(M187="None","No","Yes")</f>
        <v>No</v>
      </c>
      <c r="O187" s="9">
        <v>46280</v>
      </c>
    </row>
    <row r="188" spans="1:15">
      <c r="A188" s="1" t="s">
        <v>372</v>
      </c>
      <c r="B188" s="1" t="s">
        <v>359</v>
      </c>
      <c r="C188" s="1" t="s">
        <v>147</v>
      </c>
      <c r="D188" s="1" t="s">
        <v>189</v>
      </c>
      <c r="E188" s="1" t="s">
        <v>190</v>
      </c>
      <c r="F188" s="6">
        <v>96</v>
      </c>
      <c r="G188" s="6">
        <v>2112</v>
      </c>
      <c r="H188" s="6">
        <v>1536</v>
      </c>
      <c r="I188" s="6">
        <f>G188-H188</f>
        <v>576</v>
      </c>
      <c r="J188" s="7">
        <f>IF(G188=0,0,H188/G188)</f>
        <v>0.72727272727272729</v>
      </c>
      <c r="K188" s="6">
        <f>ROUNDDOWN(I188/F188,0)</f>
        <v>6</v>
      </c>
      <c r="L188" s="8" t="str">
        <f>IF(J188&gt;0.97,"Sold Out",IF(J188&gt;=0.85,"Critical",IF(J188&gt;=0.7,"Constrained","Healthy")))</f>
        <v>Constrained</v>
      </c>
      <c r="M188" s="8" t="s">
        <v>153</v>
      </c>
      <c r="N188" s="8" t="str">
        <f>IF(M188="None","No","Yes")</f>
        <v>No</v>
      </c>
      <c r="O188" s="9">
        <v>46280</v>
      </c>
    </row>
    <row r="189" spans="1:15">
      <c r="A189" s="1" t="s">
        <v>373</v>
      </c>
      <c r="B189" s="1" t="s">
        <v>359</v>
      </c>
      <c r="C189" s="1" t="s">
        <v>147</v>
      </c>
      <c r="D189" s="1" t="s">
        <v>193</v>
      </c>
      <c r="E189" s="1" t="s">
        <v>194</v>
      </c>
      <c r="F189" s="6">
        <v>40</v>
      </c>
      <c r="G189" s="6">
        <v>1080</v>
      </c>
      <c r="H189" s="6">
        <v>880</v>
      </c>
      <c r="I189" s="6">
        <f>G189-H189</f>
        <v>200</v>
      </c>
      <c r="J189" s="7">
        <f>IF(G189=0,0,H189/G189)</f>
        <v>0.81481481481481477</v>
      </c>
      <c r="K189" s="6">
        <f>ROUNDDOWN(I189/F189,0)</f>
        <v>5</v>
      </c>
      <c r="L189" s="8" t="str">
        <f>IF(J189&gt;0.97,"Sold Out",IF(J189&gt;=0.85,"Critical",IF(J189&gt;=0.7,"Constrained","Healthy")))</f>
        <v>Constrained</v>
      </c>
      <c r="M189" s="8" t="s">
        <v>150</v>
      </c>
      <c r="N189" s="8" t="str">
        <f>IF(M189="None","No","Yes")</f>
        <v>Yes</v>
      </c>
      <c r="O189" s="9">
        <v>46280</v>
      </c>
    </row>
    <row r="190" spans="1:15">
      <c r="A190" s="1" t="s">
        <v>374</v>
      </c>
      <c r="B190" s="1" t="s">
        <v>359</v>
      </c>
      <c r="C190" s="1" t="s">
        <v>196</v>
      </c>
      <c r="D190" s="1" t="s">
        <v>148</v>
      </c>
      <c r="E190" s="1" t="s">
        <v>149</v>
      </c>
      <c r="F190" s="6">
        <v>8</v>
      </c>
      <c r="G190" s="6">
        <v>3528</v>
      </c>
      <c r="H190" s="6">
        <v>2520</v>
      </c>
      <c r="I190" s="6">
        <f>G190-H190</f>
        <v>1008</v>
      </c>
      <c r="J190" s="7">
        <f>IF(G190=0,0,H190/G190)</f>
        <v>0.7142857142857143</v>
      </c>
      <c r="K190" s="6">
        <f>ROUNDDOWN(I190/F190,0)</f>
        <v>126</v>
      </c>
      <c r="L190" s="8" t="str">
        <f>IF(J190&gt;0.97,"Sold Out",IF(J190&gt;=0.85,"Critical",IF(J190&gt;=0.7,"Constrained","Healthy")))</f>
        <v>Constrained</v>
      </c>
      <c r="M190" s="8" t="s">
        <v>153</v>
      </c>
      <c r="N190" s="8" t="str">
        <f>IF(M190="None","No","Yes")</f>
        <v>No</v>
      </c>
      <c r="O190" s="9">
        <v>46280</v>
      </c>
    </row>
    <row r="191" spans="1:15">
      <c r="A191" s="1" t="s">
        <v>375</v>
      </c>
      <c r="B191" s="1" t="s">
        <v>359</v>
      </c>
      <c r="C191" s="1" t="s">
        <v>196</v>
      </c>
      <c r="D191" s="1" t="s">
        <v>152</v>
      </c>
      <c r="E191" s="1" t="s">
        <v>149</v>
      </c>
      <c r="F191" s="6">
        <v>16</v>
      </c>
      <c r="G191" s="6">
        <v>3936</v>
      </c>
      <c r="H191" s="6">
        <v>2064</v>
      </c>
      <c r="I191" s="6">
        <f>G191-H191</f>
        <v>1872</v>
      </c>
      <c r="J191" s="7">
        <f>IF(G191=0,0,H191/G191)</f>
        <v>0.52439024390243905</v>
      </c>
      <c r="K191" s="6">
        <f>ROUNDDOWN(I191/F191,0)</f>
        <v>117</v>
      </c>
      <c r="L191" s="8" t="str">
        <f>IF(J191&gt;0.97,"Sold Out",IF(J191&gt;=0.85,"Critical",IF(J191&gt;=0.7,"Constrained","Healthy")))</f>
        <v>Healthy</v>
      </c>
      <c r="M191" s="8" t="s">
        <v>153</v>
      </c>
      <c r="N191" s="8" t="str">
        <f>IF(M191="None","No","Yes")</f>
        <v>No</v>
      </c>
      <c r="O191" s="9">
        <v>46280</v>
      </c>
    </row>
    <row r="192" spans="1:15">
      <c r="A192" s="1" t="s">
        <v>376</v>
      </c>
      <c r="B192" s="1" t="s">
        <v>359</v>
      </c>
      <c r="C192" s="1" t="s">
        <v>196</v>
      </c>
      <c r="D192" s="1" t="s">
        <v>155</v>
      </c>
      <c r="E192" s="1" t="s">
        <v>149</v>
      </c>
      <c r="F192" s="6">
        <v>32</v>
      </c>
      <c r="G192" s="6">
        <v>20864</v>
      </c>
      <c r="H192" s="6">
        <v>14432</v>
      </c>
      <c r="I192" s="6">
        <f>G192-H192</f>
        <v>6432</v>
      </c>
      <c r="J192" s="7">
        <f>IF(G192=0,0,H192/G192)</f>
        <v>0.69171779141104295</v>
      </c>
      <c r="K192" s="6">
        <f>ROUNDDOWN(I192/F192,0)</f>
        <v>201</v>
      </c>
      <c r="L192" s="8" t="str">
        <f>IF(J192&gt;0.97,"Sold Out",IF(J192&gt;=0.85,"Critical",IF(J192&gt;=0.7,"Constrained","Healthy")))</f>
        <v>Healthy</v>
      </c>
      <c r="M192" s="8" t="s">
        <v>153</v>
      </c>
      <c r="N192" s="8" t="str">
        <f>IF(M192="None","No","Yes")</f>
        <v>No</v>
      </c>
      <c r="O192" s="9">
        <v>46280</v>
      </c>
    </row>
    <row r="193" spans="1:15">
      <c r="A193" s="1" t="s">
        <v>377</v>
      </c>
      <c r="B193" s="1" t="s">
        <v>359</v>
      </c>
      <c r="C193" s="1" t="s">
        <v>196</v>
      </c>
      <c r="D193" s="1" t="s">
        <v>157</v>
      </c>
      <c r="E193" s="1" t="s">
        <v>149</v>
      </c>
      <c r="F193" s="6">
        <v>64</v>
      </c>
      <c r="G193" s="6">
        <v>11008</v>
      </c>
      <c r="H193" s="6">
        <v>5312</v>
      </c>
      <c r="I193" s="6">
        <f>G193-H193</f>
        <v>5696</v>
      </c>
      <c r="J193" s="7">
        <f>IF(G193=0,0,H193/G193)</f>
        <v>0.48255813953488375</v>
      </c>
      <c r="K193" s="6">
        <f>ROUNDDOWN(I193/F193,0)</f>
        <v>89</v>
      </c>
      <c r="L193" s="8" t="str">
        <f>IF(J193&gt;0.97,"Sold Out",IF(J193&gt;=0.85,"Critical",IF(J193&gt;=0.7,"Constrained","Healthy")))</f>
        <v>Healthy</v>
      </c>
      <c r="M193" s="8" t="s">
        <v>153</v>
      </c>
      <c r="N193" s="8" t="str">
        <f>IF(M193="None","No","Yes")</f>
        <v>No</v>
      </c>
      <c r="O193" s="9">
        <v>46280</v>
      </c>
    </row>
    <row r="194" spans="1:15">
      <c r="A194" s="1" t="s">
        <v>378</v>
      </c>
      <c r="B194" s="1" t="s">
        <v>359</v>
      </c>
      <c r="C194" s="1" t="s">
        <v>196</v>
      </c>
      <c r="D194" s="1" t="s">
        <v>159</v>
      </c>
      <c r="E194" s="1" t="s">
        <v>160</v>
      </c>
      <c r="F194" s="6">
        <v>16</v>
      </c>
      <c r="G194" s="6">
        <v>3632</v>
      </c>
      <c r="H194" s="6">
        <v>2432</v>
      </c>
      <c r="I194" s="6">
        <f>G194-H194</f>
        <v>1200</v>
      </c>
      <c r="J194" s="7">
        <f>IF(G194=0,0,H194/G194)</f>
        <v>0.66960352422907488</v>
      </c>
      <c r="K194" s="6">
        <f>ROUNDDOWN(I194/F194,0)</f>
        <v>75</v>
      </c>
      <c r="L194" s="8" t="str">
        <f>IF(J194&gt;0.97,"Sold Out",IF(J194&gt;=0.85,"Critical",IF(J194&gt;=0.7,"Constrained","Healthy")))</f>
        <v>Healthy</v>
      </c>
      <c r="M194" s="8" t="s">
        <v>153</v>
      </c>
      <c r="N194" s="8" t="str">
        <f>IF(M194="None","No","Yes")</f>
        <v>No</v>
      </c>
      <c r="O194" s="9">
        <v>46280</v>
      </c>
    </row>
    <row r="195" spans="1:15">
      <c r="A195" s="1" t="s">
        <v>379</v>
      </c>
      <c r="B195" s="1" t="s">
        <v>359</v>
      </c>
      <c r="C195" s="1" t="s">
        <v>196</v>
      </c>
      <c r="D195" s="1" t="s">
        <v>162</v>
      </c>
      <c r="E195" s="1" t="s">
        <v>163</v>
      </c>
      <c r="F195" s="6">
        <v>32</v>
      </c>
      <c r="G195" s="6">
        <v>7232</v>
      </c>
      <c r="H195" s="6">
        <v>5984</v>
      </c>
      <c r="I195" s="6">
        <f>G195-H195</f>
        <v>1248</v>
      </c>
      <c r="J195" s="7">
        <f>IF(G195=0,0,H195/G195)</f>
        <v>0.82743362831858402</v>
      </c>
      <c r="K195" s="6">
        <f>ROUNDDOWN(I195/F195,0)</f>
        <v>39</v>
      </c>
      <c r="L195" s="8" t="str">
        <f>IF(J195&gt;0.97,"Sold Out",IF(J195&gt;=0.85,"Critical",IF(J195&gt;=0.7,"Constrained","Healthy")))</f>
        <v>Constrained</v>
      </c>
      <c r="M195" s="8" t="s">
        <v>150</v>
      </c>
      <c r="N195" s="8" t="str">
        <f>IF(M195="None","No","Yes")</f>
        <v>Yes</v>
      </c>
      <c r="O195" s="9">
        <v>46280</v>
      </c>
    </row>
    <row r="196" spans="1:15">
      <c r="A196" s="1" t="s">
        <v>380</v>
      </c>
      <c r="B196" s="1" t="s">
        <v>359</v>
      </c>
      <c r="C196" s="1" t="s">
        <v>196</v>
      </c>
      <c r="D196" s="1" t="s">
        <v>165</v>
      </c>
      <c r="E196" s="1" t="s">
        <v>163</v>
      </c>
      <c r="F196" s="6">
        <v>64</v>
      </c>
      <c r="G196" s="6">
        <v>12032</v>
      </c>
      <c r="H196" s="6">
        <v>8320</v>
      </c>
      <c r="I196" s="6">
        <f>G196-H196</f>
        <v>3712</v>
      </c>
      <c r="J196" s="7">
        <f>IF(G196=0,0,H196/G196)</f>
        <v>0.69148936170212771</v>
      </c>
      <c r="K196" s="6">
        <f>ROUNDDOWN(I196/F196,0)</f>
        <v>58</v>
      </c>
      <c r="L196" s="8" t="str">
        <f>IF(J196&gt;0.97,"Sold Out",IF(J196&gt;=0.85,"Critical",IF(J196&gt;=0.7,"Constrained","Healthy")))</f>
        <v>Healthy</v>
      </c>
      <c r="M196" s="8" t="s">
        <v>153</v>
      </c>
      <c r="N196" s="8" t="str">
        <f>IF(M196="None","No","Yes")</f>
        <v>No</v>
      </c>
      <c r="O196" s="9">
        <v>46280</v>
      </c>
    </row>
    <row r="197" spans="1:15">
      <c r="A197" s="1" t="s">
        <v>381</v>
      </c>
      <c r="B197" s="1" t="s">
        <v>359</v>
      </c>
      <c r="C197" s="1" t="s">
        <v>196</v>
      </c>
      <c r="D197" s="1" t="s">
        <v>168</v>
      </c>
      <c r="E197" s="1" t="s">
        <v>169</v>
      </c>
      <c r="F197" s="6">
        <v>32</v>
      </c>
      <c r="G197" s="6">
        <v>7168</v>
      </c>
      <c r="H197" s="6">
        <v>4000</v>
      </c>
      <c r="I197" s="6">
        <f>G197-H197</f>
        <v>3168</v>
      </c>
      <c r="J197" s="7">
        <f>IF(G197=0,0,H197/G197)</f>
        <v>0.5580357142857143</v>
      </c>
      <c r="K197" s="6">
        <f>ROUNDDOWN(I197/F197,0)</f>
        <v>99</v>
      </c>
      <c r="L197" s="8" t="str">
        <f>IF(J197&gt;0.97,"Sold Out",IF(J197&gt;=0.85,"Critical",IF(J197&gt;=0.7,"Constrained","Healthy")))</f>
        <v>Healthy</v>
      </c>
      <c r="M197" s="8" t="s">
        <v>153</v>
      </c>
      <c r="N197" s="8" t="str">
        <f>IF(M197="None","No","Yes")</f>
        <v>No</v>
      </c>
      <c r="O197" s="9">
        <v>46280</v>
      </c>
    </row>
    <row r="198" spans="1:15">
      <c r="A198" s="1" t="s">
        <v>382</v>
      </c>
      <c r="B198" s="1" t="s">
        <v>359</v>
      </c>
      <c r="C198" s="1" t="s">
        <v>196</v>
      </c>
      <c r="D198" s="1" t="s">
        <v>174</v>
      </c>
      <c r="E198" s="1" t="s">
        <v>175</v>
      </c>
      <c r="F198" s="6">
        <v>128</v>
      </c>
      <c r="G198" s="6">
        <v>4992</v>
      </c>
      <c r="H198" s="6">
        <v>4352</v>
      </c>
      <c r="I198" s="6">
        <f>G198-H198</f>
        <v>640</v>
      </c>
      <c r="J198" s="7">
        <f>IF(G198=0,0,H198/G198)</f>
        <v>0.87179487179487181</v>
      </c>
      <c r="K198" s="6">
        <f>ROUNDDOWN(I198/F198,0)</f>
        <v>5</v>
      </c>
      <c r="L198" s="8" t="str">
        <f>IF(J198&gt;0.97,"Sold Out",IF(J198&gt;=0.85,"Critical",IF(J198&gt;=0.7,"Constrained","Healthy")))</f>
        <v>Critical</v>
      </c>
      <c r="M198" s="8" t="s">
        <v>191</v>
      </c>
      <c r="N198" s="8" t="str">
        <f>IF(M198="None","No","Yes")</f>
        <v>Yes</v>
      </c>
      <c r="O198" s="9">
        <v>46280</v>
      </c>
    </row>
    <row r="199" spans="1:15">
      <c r="A199" s="1" t="s">
        <v>383</v>
      </c>
      <c r="B199" s="1" t="s">
        <v>359</v>
      </c>
      <c r="C199" s="1" t="s">
        <v>196</v>
      </c>
      <c r="D199" s="1" t="s">
        <v>177</v>
      </c>
      <c r="E199" s="1" t="s">
        <v>178</v>
      </c>
      <c r="F199" s="6">
        <v>16</v>
      </c>
      <c r="G199" s="6">
        <v>9984</v>
      </c>
      <c r="H199" s="6">
        <v>8544</v>
      </c>
      <c r="I199" s="6">
        <f>G199-H199</f>
        <v>1440</v>
      </c>
      <c r="J199" s="7">
        <f>IF(G199=0,0,H199/G199)</f>
        <v>0.85576923076923073</v>
      </c>
      <c r="K199" s="6">
        <f>ROUNDDOWN(I199/F199,0)</f>
        <v>90</v>
      </c>
      <c r="L199" s="8" t="str">
        <f>IF(J199&gt;0.97,"Sold Out",IF(J199&gt;=0.85,"Critical",IF(J199&gt;=0.7,"Constrained","Healthy")))</f>
        <v>Critical</v>
      </c>
      <c r="M199" s="8" t="s">
        <v>191</v>
      </c>
      <c r="N199" s="8" t="str">
        <f>IF(M199="None","No","Yes")</f>
        <v>Yes</v>
      </c>
      <c r="O199" s="9">
        <v>46280</v>
      </c>
    </row>
    <row r="200" spans="1:15">
      <c r="A200" s="1" t="s">
        <v>384</v>
      </c>
      <c r="B200" s="1" t="s">
        <v>359</v>
      </c>
      <c r="C200" s="1" t="s">
        <v>196</v>
      </c>
      <c r="D200" s="1" t="s">
        <v>180</v>
      </c>
      <c r="E200" s="1" t="s">
        <v>181</v>
      </c>
      <c r="F200" s="6">
        <v>32</v>
      </c>
      <c r="G200" s="6">
        <v>13856</v>
      </c>
      <c r="H200" s="6">
        <v>10560</v>
      </c>
      <c r="I200" s="6">
        <f>G200-H200</f>
        <v>3296</v>
      </c>
      <c r="J200" s="7">
        <f>IF(G200=0,0,H200/G200)</f>
        <v>0.76212471131639725</v>
      </c>
      <c r="K200" s="6">
        <f>ROUNDDOWN(I200/F200,0)</f>
        <v>103</v>
      </c>
      <c r="L200" s="8" t="str">
        <f>IF(J200&gt;0.97,"Sold Out",IF(J200&gt;=0.85,"Critical",IF(J200&gt;=0.7,"Constrained","Healthy")))</f>
        <v>Constrained</v>
      </c>
      <c r="M200" s="8" t="s">
        <v>150</v>
      </c>
      <c r="N200" s="8" t="str">
        <f>IF(M200="None","No","Yes")</f>
        <v>Yes</v>
      </c>
      <c r="O200" s="9">
        <v>46280</v>
      </c>
    </row>
    <row r="201" spans="1:15">
      <c r="A201" s="1" t="s">
        <v>385</v>
      </c>
      <c r="B201" s="1" t="s">
        <v>359</v>
      </c>
      <c r="C201" s="1" t="s">
        <v>196</v>
      </c>
      <c r="D201" s="1" t="s">
        <v>186</v>
      </c>
      <c r="E201" s="1" t="s">
        <v>187</v>
      </c>
      <c r="F201" s="6">
        <v>24</v>
      </c>
      <c r="G201" s="6">
        <v>1320</v>
      </c>
      <c r="H201" s="6">
        <v>1152</v>
      </c>
      <c r="I201" s="6">
        <f>G201-H201</f>
        <v>168</v>
      </c>
      <c r="J201" s="7">
        <f>IF(G201=0,0,H201/G201)</f>
        <v>0.87272727272727268</v>
      </c>
      <c r="K201" s="6">
        <f>ROUNDDOWN(I201/F201,0)</f>
        <v>7</v>
      </c>
      <c r="L201" s="8" t="str">
        <f>IF(J201&gt;0.97,"Sold Out",IF(J201&gt;=0.85,"Critical",IF(J201&gt;=0.7,"Constrained","Healthy")))</f>
        <v>Critical</v>
      </c>
      <c r="M201" s="8" t="s">
        <v>150</v>
      </c>
      <c r="N201" s="8" t="str">
        <f>IF(M201="None","No","Yes")</f>
        <v>Yes</v>
      </c>
      <c r="O201" s="9">
        <v>46280</v>
      </c>
    </row>
    <row r="202" spans="1:15">
      <c r="A202" s="1" t="s">
        <v>386</v>
      </c>
      <c r="B202" s="1" t="s">
        <v>359</v>
      </c>
      <c r="C202" s="1" t="s">
        <v>196</v>
      </c>
      <c r="D202" s="1" t="s">
        <v>189</v>
      </c>
      <c r="E202" s="1" t="s">
        <v>190</v>
      </c>
      <c r="F202" s="6">
        <v>96</v>
      </c>
      <c r="G202" s="6">
        <v>1824</v>
      </c>
      <c r="H202" s="6">
        <v>1440</v>
      </c>
      <c r="I202" s="6">
        <f>G202-H202</f>
        <v>384</v>
      </c>
      <c r="J202" s="7">
        <f>IF(G202=0,0,H202/G202)</f>
        <v>0.78947368421052633</v>
      </c>
      <c r="K202" s="6">
        <f>ROUNDDOWN(I202/F202,0)</f>
        <v>4</v>
      </c>
      <c r="L202" s="8" t="str">
        <f>IF(J202&gt;0.97,"Sold Out",IF(J202&gt;=0.85,"Critical",IF(J202&gt;=0.7,"Constrained","Healthy")))</f>
        <v>Constrained</v>
      </c>
      <c r="M202" s="8" t="s">
        <v>153</v>
      </c>
      <c r="N202" s="8" t="str">
        <f>IF(M202="None","No","Yes")</f>
        <v>No</v>
      </c>
      <c r="O202" s="9">
        <v>46280</v>
      </c>
    </row>
    <row r="203" spans="1:15">
      <c r="A203" s="1" t="s">
        <v>387</v>
      </c>
      <c r="B203" s="1" t="s">
        <v>359</v>
      </c>
      <c r="C203" s="1" t="s">
        <v>196</v>
      </c>
      <c r="D203" s="1" t="s">
        <v>193</v>
      </c>
      <c r="E203" s="1" t="s">
        <v>194</v>
      </c>
      <c r="F203" s="6">
        <v>40</v>
      </c>
      <c r="G203" s="6">
        <v>1920</v>
      </c>
      <c r="H203" s="6">
        <v>1360</v>
      </c>
      <c r="I203" s="6">
        <f>G203-H203</f>
        <v>560</v>
      </c>
      <c r="J203" s="7">
        <f>IF(G203=0,0,H203/G203)</f>
        <v>0.70833333333333337</v>
      </c>
      <c r="K203" s="6">
        <f>ROUNDDOWN(I203/F203,0)</f>
        <v>14</v>
      </c>
      <c r="L203" s="8" t="str">
        <f>IF(J203&gt;0.97,"Sold Out",IF(J203&gt;=0.85,"Critical",IF(J203&gt;=0.7,"Constrained","Healthy")))</f>
        <v>Constrained</v>
      </c>
      <c r="M203" s="8" t="s">
        <v>150</v>
      </c>
      <c r="N203" s="8" t="str">
        <f>IF(M203="None","No","Yes")</f>
        <v>Yes</v>
      </c>
      <c r="O203" s="9">
        <v>46280</v>
      </c>
    </row>
    <row r="204" spans="1:15">
      <c r="A204" s="1" t="s">
        <v>388</v>
      </c>
      <c r="B204" s="1" t="s">
        <v>359</v>
      </c>
      <c r="C204" s="1" t="s">
        <v>212</v>
      </c>
      <c r="D204" s="1" t="s">
        <v>152</v>
      </c>
      <c r="E204" s="1" t="s">
        <v>149</v>
      </c>
      <c r="F204" s="6">
        <v>16</v>
      </c>
      <c r="G204" s="6">
        <v>9712</v>
      </c>
      <c r="H204" s="6">
        <v>6688</v>
      </c>
      <c r="I204" s="6">
        <f>G204-H204</f>
        <v>3024</v>
      </c>
      <c r="J204" s="7">
        <f>IF(G204=0,0,H204/G204)</f>
        <v>0.6886326194398682</v>
      </c>
      <c r="K204" s="6">
        <f>ROUNDDOWN(I204/F204,0)</f>
        <v>189</v>
      </c>
      <c r="L204" s="8" t="str">
        <f>IF(J204&gt;0.97,"Sold Out",IF(J204&gt;=0.85,"Critical",IF(J204&gt;=0.7,"Constrained","Healthy")))</f>
        <v>Healthy</v>
      </c>
      <c r="M204" s="8" t="s">
        <v>153</v>
      </c>
      <c r="N204" s="8" t="str">
        <f>IF(M204="None","No","Yes")</f>
        <v>No</v>
      </c>
      <c r="O204" s="9">
        <v>46280</v>
      </c>
    </row>
    <row r="205" spans="1:15">
      <c r="A205" s="1" t="s">
        <v>389</v>
      </c>
      <c r="B205" s="1" t="s">
        <v>359</v>
      </c>
      <c r="C205" s="1" t="s">
        <v>212</v>
      </c>
      <c r="D205" s="1" t="s">
        <v>155</v>
      </c>
      <c r="E205" s="1" t="s">
        <v>149</v>
      </c>
      <c r="F205" s="6">
        <v>32</v>
      </c>
      <c r="G205" s="6">
        <v>11968</v>
      </c>
      <c r="H205" s="6">
        <v>8320</v>
      </c>
      <c r="I205" s="6">
        <f>G205-H205</f>
        <v>3648</v>
      </c>
      <c r="J205" s="7">
        <f>IF(G205=0,0,H205/G205)</f>
        <v>0.69518716577540107</v>
      </c>
      <c r="K205" s="6">
        <f>ROUNDDOWN(I205/F205,0)</f>
        <v>114</v>
      </c>
      <c r="L205" s="8" t="str">
        <f>IF(J205&gt;0.97,"Sold Out",IF(J205&gt;=0.85,"Critical",IF(J205&gt;=0.7,"Constrained","Healthy")))</f>
        <v>Healthy</v>
      </c>
      <c r="M205" s="8" t="s">
        <v>153</v>
      </c>
      <c r="N205" s="8" t="str">
        <f>IF(M205="None","No","Yes")</f>
        <v>No</v>
      </c>
      <c r="O205" s="9">
        <v>46280</v>
      </c>
    </row>
    <row r="206" spans="1:15">
      <c r="A206" s="1" t="s">
        <v>390</v>
      </c>
      <c r="B206" s="1" t="s">
        <v>359</v>
      </c>
      <c r="C206" s="1" t="s">
        <v>212</v>
      </c>
      <c r="D206" s="1" t="s">
        <v>157</v>
      </c>
      <c r="E206" s="1" t="s">
        <v>149</v>
      </c>
      <c r="F206" s="6">
        <v>64</v>
      </c>
      <c r="G206" s="6">
        <v>11392</v>
      </c>
      <c r="H206" s="6">
        <v>6592</v>
      </c>
      <c r="I206" s="6">
        <f>G206-H206</f>
        <v>4800</v>
      </c>
      <c r="J206" s="7">
        <f>IF(G206=0,0,H206/G206)</f>
        <v>0.5786516853932584</v>
      </c>
      <c r="K206" s="6">
        <f>ROUNDDOWN(I206/F206,0)</f>
        <v>75</v>
      </c>
      <c r="L206" s="8" t="str">
        <f>IF(J206&gt;0.97,"Sold Out",IF(J206&gt;=0.85,"Critical",IF(J206&gt;=0.7,"Constrained","Healthy")))</f>
        <v>Healthy</v>
      </c>
      <c r="M206" s="8" t="s">
        <v>153</v>
      </c>
      <c r="N206" s="8" t="str">
        <f>IF(M206="None","No","Yes")</f>
        <v>No</v>
      </c>
      <c r="O206" s="9">
        <v>46280</v>
      </c>
    </row>
    <row r="207" spans="1:15">
      <c r="A207" s="1" t="s">
        <v>391</v>
      </c>
      <c r="B207" s="1" t="s">
        <v>359</v>
      </c>
      <c r="C207" s="1" t="s">
        <v>212</v>
      </c>
      <c r="D207" s="1" t="s">
        <v>162</v>
      </c>
      <c r="E207" s="1" t="s">
        <v>163</v>
      </c>
      <c r="F207" s="6">
        <v>32</v>
      </c>
      <c r="G207" s="6">
        <v>25856</v>
      </c>
      <c r="H207" s="6">
        <v>15072</v>
      </c>
      <c r="I207" s="6">
        <f>G207-H207</f>
        <v>10784</v>
      </c>
      <c r="J207" s="7">
        <f>IF(G207=0,0,H207/G207)</f>
        <v>0.58292079207920788</v>
      </c>
      <c r="K207" s="6">
        <f>ROUNDDOWN(I207/F207,0)</f>
        <v>337</v>
      </c>
      <c r="L207" s="8" t="str">
        <f>IF(J207&gt;0.97,"Sold Out",IF(J207&gt;=0.85,"Critical",IF(J207&gt;=0.7,"Constrained","Healthy")))</f>
        <v>Healthy</v>
      </c>
      <c r="M207" s="8" t="s">
        <v>153</v>
      </c>
      <c r="N207" s="8" t="str">
        <f>IF(M207="None","No","Yes")</f>
        <v>No</v>
      </c>
      <c r="O207" s="9">
        <v>46280</v>
      </c>
    </row>
    <row r="208" spans="1:15">
      <c r="A208" s="1" t="s">
        <v>392</v>
      </c>
      <c r="B208" s="1" t="s">
        <v>359</v>
      </c>
      <c r="C208" s="1" t="s">
        <v>212</v>
      </c>
      <c r="D208" s="1" t="s">
        <v>165</v>
      </c>
      <c r="E208" s="1" t="s">
        <v>163</v>
      </c>
      <c r="F208" s="6">
        <v>64</v>
      </c>
      <c r="G208" s="6">
        <v>4864</v>
      </c>
      <c r="H208" s="6">
        <v>3520</v>
      </c>
      <c r="I208" s="6">
        <f>G208-H208</f>
        <v>1344</v>
      </c>
      <c r="J208" s="7">
        <f>IF(G208=0,0,H208/G208)</f>
        <v>0.72368421052631582</v>
      </c>
      <c r="K208" s="6">
        <f>ROUNDDOWN(I208/F208,0)</f>
        <v>21</v>
      </c>
      <c r="L208" s="8" t="str">
        <f>IF(J208&gt;0.97,"Sold Out",IF(J208&gt;=0.85,"Critical",IF(J208&gt;=0.7,"Constrained","Healthy")))</f>
        <v>Constrained</v>
      </c>
      <c r="M208" s="8" t="s">
        <v>150</v>
      </c>
      <c r="N208" s="8" t="str">
        <f>IF(M208="None","No","Yes")</f>
        <v>Yes</v>
      </c>
      <c r="O208" s="9">
        <v>46280</v>
      </c>
    </row>
    <row r="209" spans="1:15">
      <c r="A209" s="1" t="s">
        <v>393</v>
      </c>
      <c r="B209" s="1" t="s">
        <v>359</v>
      </c>
      <c r="C209" s="1" t="s">
        <v>212</v>
      </c>
      <c r="D209" s="1" t="s">
        <v>186</v>
      </c>
      <c r="E209" s="1" t="s">
        <v>187</v>
      </c>
      <c r="F209" s="6">
        <v>24</v>
      </c>
      <c r="G209" s="6">
        <v>1392</v>
      </c>
      <c r="H209" s="6">
        <v>1008</v>
      </c>
      <c r="I209" s="6">
        <f>G209-H209</f>
        <v>384</v>
      </c>
      <c r="J209" s="7">
        <f>IF(G209=0,0,H209/G209)</f>
        <v>0.72413793103448276</v>
      </c>
      <c r="K209" s="6">
        <f>ROUNDDOWN(I209/F209,0)</f>
        <v>16</v>
      </c>
      <c r="L209" s="8" t="str">
        <f>IF(J209&gt;0.97,"Sold Out",IF(J209&gt;=0.85,"Critical",IF(J209&gt;=0.7,"Constrained","Healthy")))</f>
        <v>Constrained</v>
      </c>
      <c r="M209" s="8" t="s">
        <v>153</v>
      </c>
      <c r="N209" s="8" t="str">
        <f>IF(M209="None","No","Yes")</f>
        <v>No</v>
      </c>
      <c r="O209" s="9">
        <v>46280</v>
      </c>
    </row>
    <row r="210" spans="1:15">
      <c r="A210" s="1" t="s">
        <v>394</v>
      </c>
      <c r="B210" s="1" t="s">
        <v>395</v>
      </c>
      <c r="C210" s="1" t="s">
        <v>147</v>
      </c>
      <c r="D210" s="1" t="s">
        <v>148</v>
      </c>
      <c r="E210" s="1" t="s">
        <v>149</v>
      </c>
      <c r="F210" s="6">
        <v>8</v>
      </c>
      <c r="G210" s="6">
        <v>1200</v>
      </c>
      <c r="H210" s="6">
        <v>856</v>
      </c>
      <c r="I210" s="6">
        <f>G210-H210</f>
        <v>344</v>
      </c>
      <c r="J210" s="7">
        <f>IF(G210=0,0,H210/G210)</f>
        <v>0.71333333333333337</v>
      </c>
      <c r="K210" s="6">
        <f>ROUNDDOWN(I210/F210,0)</f>
        <v>43</v>
      </c>
      <c r="L210" s="8" t="str">
        <f>IF(J210&gt;0.97,"Sold Out",IF(J210&gt;=0.85,"Critical",IF(J210&gt;=0.7,"Constrained","Healthy")))</f>
        <v>Constrained</v>
      </c>
      <c r="M210" s="8" t="s">
        <v>150</v>
      </c>
      <c r="N210" s="8" t="str">
        <f>IF(M210="None","No","Yes")</f>
        <v>Yes</v>
      </c>
      <c r="O210" s="9">
        <v>46280</v>
      </c>
    </row>
    <row r="211" spans="1:15">
      <c r="A211" s="1" t="s">
        <v>396</v>
      </c>
      <c r="B211" s="1" t="s">
        <v>395</v>
      </c>
      <c r="C211" s="1" t="s">
        <v>147</v>
      </c>
      <c r="D211" s="1" t="s">
        <v>152</v>
      </c>
      <c r="E211" s="1" t="s">
        <v>149</v>
      </c>
      <c r="F211" s="6">
        <v>16</v>
      </c>
      <c r="G211" s="6">
        <v>6816</v>
      </c>
      <c r="H211" s="6">
        <v>3792</v>
      </c>
      <c r="I211" s="6">
        <f>G211-H211</f>
        <v>3024</v>
      </c>
      <c r="J211" s="7">
        <f>IF(G211=0,0,H211/G211)</f>
        <v>0.55633802816901412</v>
      </c>
      <c r="K211" s="6">
        <f>ROUNDDOWN(I211/F211,0)</f>
        <v>189</v>
      </c>
      <c r="L211" s="8" t="str">
        <f>IF(J211&gt;0.97,"Sold Out",IF(J211&gt;=0.85,"Critical",IF(J211&gt;=0.7,"Constrained","Healthy")))</f>
        <v>Healthy</v>
      </c>
      <c r="M211" s="8" t="s">
        <v>153</v>
      </c>
      <c r="N211" s="8" t="str">
        <f>IF(M211="None","No","Yes")</f>
        <v>No</v>
      </c>
      <c r="O211" s="9">
        <v>46280</v>
      </c>
    </row>
    <row r="212" spans="1:15">
      <c r="A212" s="1" t="s">
        <v>397</v>
      </c>
      <c r="B212" s="1" t="s">
        <v>395</v>
      </c>
      <c r="C212" s="1" t="s">
        <v>147</v>
      </c>
      <c r="D212" s="1" t="s">
        <v>155</v>
      </c>
      <c r="E212" s="1" t="s">
        <v>149</v>
      </c>
      <c r="F212" s="6">
        <v>32</v>
      </c>
      <c r="G212" s="6">
        <v>9664</v>
      </c>
      <c r="H212" s="6">
        <v>4992</v>
      </c>
      <c r="I212" s="6">
        <f>G212-H212</f>
        <v>4672</v>
      </c>
      <c r="J212" s="7">
        <f>IF(G212=0,0,H212/G212)</f>
        <v>0.51655629139072845</v>
      </c>
      <c r="K212" s="6">
        <f>ROUNDDOWN(I212/F212,0)</f>
        <v>146</v>
      </c>
      <c r="L212" s="8" t="str">
        <f>IF(J212&gt;0.97,"Sold Out",IF(J212&gt;=0.85,"Critical",IF(J212&gt;=0.7,"Constrained","Healthy")))</f>
        <v>Healthy</v>
      </c>
      <c r="M212" s="8" t="s">
        <v>153</v>
      </c>
      <c r="N212" s="8" t="str">
        <f>IF(M212="None","No","Yes")</f>
        <v>No</v>
      </c>
      <c r="O212" s="9">
        <v>46280</v>
      </c>
    </row>
    <row r="213" spans="1:15">
      <c r="A213" s="1" t="s">
        <v>398</v>
      </c>
      <c r="B213" s="1" t="s">
        <v>395</v>
      </c>
      <c r="C213" s="1" t="s">
        <v>147</v>
      </c>
      <c r="D213" s="1" t="s">
        <v>157</v>
      </c>
      <c r="E213" s="1" t="s">
        <v>149</v>
      </c>
      <c r="F213" s="6">
        <v>64</v>
      </c>
      <c r="G213" s="6">
        <v>9344</v>
      </c>
      <c r="H213" s="6">
        <v>7040</v>
      </c>
      <c r="I213" s="6">
        <f>G213-H213</f>
        <v>2304</v>
      </c>
      <c r="J213" s="7">
        <f>IF(G213=0,0,H213/G213)</f>
        <v>0.75342465753424659</v>
      </c>
      <c r="K213" s="6">
        <f>ROUNDDOWN(I213/F213,0)</f>
        <v>36</v>
      </c>
      <c r="L213" s="8" t="str">
        <f>IF(J213&gt;0.97,"Sold Out",IF(J213&gt;=0.85,"Critical",IF(J213&gt;=0.7,"Constrained","Healthy")))</f>
        <v>Constrained</v>
      </c>
      <c r="M213" s="8" t="s">
        <v>150</v>
      </c>
      <c r="N213" s="8" t="str">
        <f>IF(M213="None","No","Yes")</f>
        <v>Yes</v>
      </c>
      <c r="O213" s="9">
        <v>46280</v>
      </c>
    </row>
    <row r="214" spans="1:15">
      <c r="A214" s="1" t="s">
        <v>399</v>
      </c>
      <c r="B214" s="1" t="s">
        <v>395</v>
      </c>
      <c r="C214" s="1" t="s">
        <v>147</v>
      </c>
      <c r="D214" s="1" t="s">
        <v>159</v>
      </c>
      <c r="E214" s="1" t="s">
        <v>160</v>
      </c>
      <c r="F214" s="6">
        <v>16</v>
      </c>
      <c r="G214" s="6">
        <v>6992</v>
      </c>
      <c r="H214" s="6">
        <v>5456</v>
      </c>
      <c r="I214" s="6">
        <f>G214-H214</f>
        <v>1536</v>
      </c>
      <c r="J214" s="7">
        <f>IF(G214=0,0,H214/G214)</f>
        <v>0.78032036613272315</v>
      </c>
      <c r="K214" s="6">
        <f>ROUNDDOWN(I214/F214,0)</f>
        <v>96</v>
      </c>
      <c r="L214" s="8" t="str">
        <f>IF(J214&gt;0.97,"Sold Out",IF(J214&gt;=0.85,"Critical",IF(J214&gt;=0.7,"Constrained","Healthy")))</f>
        <v>Constrained</v>
      </c>
      <c r="M214" s="8" t="s">
        <v>150</v>
      </c>
      <c r="N214" s="8" t="str">
        <f>IF(M214="None","No","Yes")</f>
        <v>Yes</v>
      </c>
      <c r="O214" s="9">
        <v>46280</v>
      </c>
    </row>
    <row r="215" spans="1:15">
      <c r="A215" s="1" t="s">
        <v>400</v>
      </c>
      <c r="B215" s="1" t="s">
        <v>395</v>
      </c>
      <c r="C215" s="1" t="s">
        <v>147</v>
      </c>
      <c r="D215" s="1" t="s">
        <v>162</v>
      </c>
      <c r="E215" s="1" t="s">
        <v>163</v>
      </c>
      <c r="F215" s="6">
        <v>32</v>
      </c>
      <c r="G215" s="6">
        <v>9536</v>
      </c>
      <c r="H215" s="6">
        <v>4352</v>
      </c>
      <c r="I215" s="6">
        <f>G215-H215</f>
        <v>5184</v>
      </c>
      <c r="J215" s="7">
        <f>IF(G215=0,0,H215/G215)</f>
        <v>0.4563758389261745</v>
      </c>
      <c r="K215" s="6">
        <f>ROUNDDOWN(I215/F215,0)</f>
        <v>162</v>
      </c>
      <c r="L215" s="8" t="str">
        <f>IF(J215&gt;0.97,"Sold Out",IF(J215&gt;=0.85,"Critical",IF(J215&gt;=0.7,"Constrained","Healthy")))</f>
        <v>Healthy</v>
      </c>
      <c r="M215" s="8" t="s">
        <v>153</v>
      </c>
      <c r="N215" s="8" t="str">
        <f>IF(M215="None","No","Yes")</f>
        <v>No</v>
      </c>
      <c r="O215" s="9">
        <v>46280</v>
      </c>
    </row>
    <row r="216" spans="1:15">
      <c r="A216" s="1" t="s">
        <v>401</v>
      </c>
      <c r="B216" s="1" t="s">
        <v>395</v>
      </c>
      <c r="C216" s="1" t="s">
        <v>147</v>
      </c>
      <c r="D216" s="1" t="s">
        <v>165</v>
      </c>
      <c r="E216" s="1" t="s">
        <v>163</v>
      </c>
      <c r="F216" s="6">
        <v>64</v>
      </c>
      <c r="G216" s="6">
        <v>10496</v>
      </c>
      <c r="H216" s="6">
        <v>7424</v>
      </c>
      <c r="I216" s="6">
        <f>G216-H216</f>
        <v>3072</v>
      </c>
      <c r="J216" s="7">
        <f>IF(G216=0,0,H216/G216)</f>
        <v>0.70731707317073167</v>
      </c>
      <c r="K216" s="6">
        <f>ROUNDDOWN(I216/F216,0)</f>
        <v>48</v>
      </c>
      <c r="L216" s="8" t="str">
        <f>IF(J216&gt;0.97,"Sold Out",IF(J216&gt;=0.85,"Critical",IF(J216&gt;=0.7,"Constrained","Healthy")))</f>
        <v>Constrained</v>
      </c>
      <c r="M216" s="8" t="s">
        <v>150</v>
      </c>
      <c r="N216" s="8" t="str">
        <f>IF(M216="None","No","Yes")</f>
        <v>Yes</v>
      </c>
      <c r="O216" s="9">
        <v>46280</v>
      </c>
    </row>
    <row r="217" spans="1:15">
      <c r="A217" s="1" t="s">
        <v>402</v>
      </c>
      <c r="B217" s="1" t="s">
        <v>395</v>
      </c>
      <c r="C217" s="1" t="s">
        <v>147</v>
      </c>
      <c r="D217" s="1" t="s">
        <v>168</v>
      </c>
      <c r="E217" s="1" t="s">
        <v>169</v>
      </c>
      <c r="F217" s="6">
        <v>32</v>
      </c>
      <c r="G217" s="6">
        <v>15136</v>
      </c>
      <c r="H217" s="6">
        <v>11200</v>
      </c>
      <c r="I217" s="6">
        <f>G217-H217</f>
        <v>3936</v>
      </c>
      <c r="J217" s="7">
        <f>IF(G217=0,0,H217/G217)</f>
        <v>0.7399577167019028</v>
      </c>
      <c r="K217" s="6">
        <f>ROUNDDOWN(I217/F217,0)</f>
        <v>123</v>
      </c>
      <c r="L217" s="8" t="str">
        <f>IF(J217&gt;0.97,"Sold Out",IF(J217&gt;=0.85,"Critical",IF(J217&gt;=0.7,"Constrained","Healthy")))</f>
        <v>Constrained</v>
      </c>
      <c r="M217" s="8" t="s">
        <v>153</v>
      </c>
      <c r="N217" s="8" t="str">
        <f>IF(M217="None","No","Yes")</f>
        <v>No</v>
      </c>
      <c r="O217" s="9">
        <v>46280</v>
      </c>
    </row>
    <row r="218" spans="1:15">
      <c r="A218" s="1" t="s">
        <v>403</v>
      </c>
      <c r="B218" s="1" t="s">
        <v>395</v>
      </c>
      <c r="C218" s="1" t="s">
        <v>147</v>
      </c>
      <c r="D218" s="1" t="s">
        <v>171</v>
      </c>
      <c r="E218" s="1" t="s">
        <v>172</v>
      </c>
      <c r="F218" s="6">
        <v>16</v>
      </c>
      <c r="G218" s="6">
        <v>3280</v>
      </c>
      <c r="H218" s="6">
        <v>1680</v>
      </c>
      <c r="I218" s="6">
        <f>G218-H218</f>
        <v>1600</v>
      </c>
      <c r="J218" s="7">
        <f>IF(G218=0,0,H218/G218)</f>
        <v>0.51219512195121952</v>
      </c>
      <c r="K218" s="6">
        <f>ROUNDDOWN(I218/F218,0)</f>
        <v>100</v>
      </c>
      <c r="L218" s="8" t="str">
        <f>IF(J218&gt;0.97,"Sold Out",IF(J218&gt;=0.85,"Critical",IF(J218&gt;=0.7,"Constrained","Healthy")))</f>
        <v>Healthy</v>
      </c>
      <c r="M218" s="8" t="s">
        <v>153</v>
      </c>
      <c r="N218" s="8" t="str">
        <f>IF(M218="None","No","Yes")</f>
        <v>No</v>
      </c>
      <c r="O218" s="9">
        <v>46280</v>
      </c>
    </row>
    <row r="219" spans="1:15">
      <c r="A219" s="1" t="s">
        <v>404</v>
      </c>
      <c r="B219" s="1" t="s">
        <v>395</v>
      </c>
      <c r="C219" s="1" t="s">
        <v>147</v>
      </c>
      <c r="D219" s="1" t="s">
        <v>174</v>
      </c>
      <c r="E219" s="1" t="s">
        <v>175</v>
      </c>
      <c r="F219" s="6">
        <v>128</v>
      </c>
      <c r="G219" s="6">
        <v>2432</v>
      </c>
      <c r="H219" s="6">
        <v>1792</v>
      </c>
      <c r="I219" s="6">
        <f>G219-H219</f>
        <v>640</v>
      </c>
      <c r="J219" s="7">
        <f>IF(G219=0,0,H219/G219)</f>
        <v>0.73684210526315785</v>
      </c>
      <c r="K219" s="6">
        <f>ROUNDDOWN(I219/F219,0)</f>
        <v>5</v>
      </c>
      <c r="L219" s="8" t="str">
        <f>IF(J219&gt;0.97,"Sold Out",IF(J219&gt;=0.85,"Critical",IF(J219&gt;=0.7,"Constrained","Healthy")))</f>
        <v>Constrained</v>
      </c>
      <c r="M219" s="8" t="s">
        <v>153</v>
      </c>
      <c r="N219" s="8" t="str">
        <f>IF(M219="None","No","Yes")</f>
        <v>No</v>
      </c>
      <c r="O219" s="9">
        <v>46280</v>
      </c>
    </row>
    <row r="220" spans="1:15">
      <c r="A220" s="1" t="s">
        <v>405</v>
      </c>
      <c r="B220" s="1" t="s">
        <v>395</v>
      </c>
      <c r="C220" s="1" t="s">
        <v>147</v>
      </c>
      <c r="D220" s="1" t="s">
        <v>177</v>
      </c>
      <c r="E220" s="1" t="s">
        <v>178</v>
      </c>
      <c r="F220" s="6">
        <v>16</v>
      </c>
      <c r="G220" s="6">
        <v>11072</v>
      </c>
      <c r="H220" s="6">
        <v>6768</v>
      </c>
      <c r="I220" s="6">
        <f>G220-H220</f>
        <v>4304</v>
      </c>
      <c r="J220" s="7">
        <f>IF(G220=0,0,H220/G220)</f>
        <v>0.61127167630057799</v>
      </c>
      <c r="K220" s="6">
        <f>ROUNDDOWN(I220/F220,0)</f>
        <v>269</v>
      </c>
      <c r="L220" s="8" t="str">
        <f>IF(J220&gt;0.97,"Sold Out",IF(J220&gt;=0.85,"Critical",IF(J220&gt;=0.7,"Constrained","Healthy")))</f>
        <v>Healthy</v>
      </c>
      <c r="M220" s="8" t="s">
        <v>153</v>
      </c>
      <c r="N220" s="8" t="str">
        <f>IF(M220="None","No","Yes")</f>
        <v>No</v>
      </c>
      <c r="O220" s="9">
        <v>46280</v>
      </c>
    </row>
    <row r="221" spans="1:15">
      <c r="A221" s="1" t="s">
        <v>406</v>
      </c>
      <c r="B221" s="1" t="s">
        <v>395</v>
      </c>
      <c r="C221" s="1" t="s">
        <v>147</v>
      </c>
      <c r="D221" s="1" t="s">
        <v>180</v>
      </c>
      <c r="E221" s="1" t="s">
        <v>181</v>
      </c>
      <c r="F221" s="6">
        <v>32</v>
      </c>
      <c r="G221" s="6">
        <v>9824</v>
      </c>
      <c r="H221" s="6">
        <v>4480</v>
      </c>
      <c r="I221" s="6">
        <f>G221-H221</f>
        <v>5344</v>
      </c>
      <c r="J221" s="7">
        <f>IF(G221=0,0,H221/G221)</f>
        <v>0.4560260586319218</v>
      </c>
      <c r="K221" s="6">
        <f>ROUNDDOWN(I221/F221,0)</f>
        <v>167</v>
      </c>
      <c r="L221" s="8" t="str">
        <f>IF(J221&gt;0.97,"Sold Out",IF(J221&gt;=0.85,"Critical",IF(J221&gt;=0.7,"Constrained","Healthy")))</f>
        <v>Healthy</v>
      </c>
      <c r="M221" s="8" t="s">
        <v>153</v>
      </c>
      <c r="N221" s="8" t="str">
        <f>IF(M221="None","No","Yes")</f>
        <v>No</v>
      </c>
      <c r="O221" s="9">
        <v>46280</v>
      </c>
    </row>
    <row r="222" spans="1:15">
      <c r="A222" s="1" t="s">
        <v>407</v>
      </c>
      <c r="B222" s="1" t="s">
        <v>395</v>
      </c>
      <c r="C222" s="1" t="s">
        <v>147</v>
      </c>
      <c r="D222" s="1" t="s">
        <v>186</v>
      </c>
      <c r="E222" s="1" t="s">
        <v>187</v>
      </c>
      <c r="F222" s="6">
        <v>24</v>
      </c>
      <c r="G222" s="6">
        <v>792</v>
      </c>
      <c r="H222" s="6">
        <v>528</v>
      </c>
      <c r="I222" s="6">
        <f>G222-H222</f>
        <v>264</v>
      </c>
      <c r="J222" s="7">
        <f>IF(G222=0,0,H222/G222)</f>
        <v>0.66666666666666663</v>
      </c>
      <c r="K222" s="6">
        <f>ROUNDDOWN(I222/F222,0)</f>
        <v>11</v>
      </c>
      <c r="L222" s="8" t="str">
        <f>IF(J222&gt;0.97,"Sold Out",IF(J222&gt;=0.85,"Critical",IF(J222&gt;=0.7,"Constrained","Healthy")))</f>
        <v>Healthy</v>
      </c>
      <c r="M222" s="8" t="s">
        <v>153</v>
      </c>
      <c r="N222" s="8" t="str">
        <f>IF(M222="None","No","Yes")</f>
        <v>No</v>
      </c>
      <c r="O222" s="9">
        <v>46280</v>
      </c>
    </row>
    <row r="223" spans="1:15">
      <c r="A223" s="1" t="s">
        <v>408</v>
      </c>
      <c r="B223" s="1" t="s">
        <v>395</v>
      </c>
      <c r="C223" s="1" t="s">
        <v>147</v>
      </c>
      <c r="D223" s="1" t="s">
        <v>193</v>
      </c>
      <c r="E223" s="1" t="s">
        <v>194</v>
      </c>
      <c r="F223" s="6">
        <v>40</v>
      </c>
      <c r="G223" s="6">
        <v>2080</v>
      </c>
      <c r="H223" s="6">
        <v>1400</v>
      </c>
      <c r="I223" s="6">
        <f>G223-H223</f>
        <v>680</v>
      </c>
      <c r="J223" s="7">
        <f>IF(G223=0,0,H223/G223)</f>
        <v>0.67307692307692313</v>
      </c>
      <c r="K223" s="6">
        <f>ROUNDDOWN(I223/F223,0)</f>
        <v>17</v>
      </c>
      <c r="L223" s="8" t="str">
        <f>IF(J223&gt;0.97,"Sold Out",IF(J223&gt;=0.85,"Critical",IF(J223&gt;=0.7,"Constrained","Healthy")))</f>
        <v>Healthy</v>
      </c>
      <c r="M223" s="8" t="s">
        <v>153</v>
      </c>
      <c r="N223" s="8" t="str">
        <f>IF(M223="None","No","Yes")</f>
        <v>No</v>
      </c>
      <c r="O223" s="9">
        <v>46280</v>
      </c>
    </row>
    <row r="224" spans="1:15">
      <c r="A224" s="1" t="s">
        <v>409</v>
      </c>
      <c r="B224" s="1" t="s">
        <v>395</v>
      </c>
      <c r="C224" s="1" t="s">
        <v>196</v>
      </c>
      <c r="D224" s="1" t="s">
        <v>148</v>
      </c>
      <c r="E224" s="1" t="s">
        <v>149</v>
      </c>
      <c r="F224" s="6">
        <v>8</v>
      </c>
      <c r="G224" s="6">
        <v>4256</v>
      </c>
      <c r="H224" s="6">
        <v>2288</v>
      </c>
      <c r="I224" s="6">
        <f>G224-H224</f>
        <v>1968</v>
      </c>
      <c r="J224" s="7">
        <f>IF(G224=0,0,H224/G224)</f>
        <v>0.53759398496240607</v>
      </c>
      <c r="K224" s="6">
        <f>ROUNDDOWN(I224/F224,0)</f>
        <v>246</v>
      </c>
      <c r="L224" s="8" t="str">
        <f>IF(J224&gt;0.97,"Sold Out",IF(J224&gt;=0.85,"Critical",IF(J224&gt;=0.7,"Constrained","Healthy")))</f>
        <v>Healthy</v>
      </c>
      <c r="M224" s="8" t="s">
        <v>153</v>
      </c>
      <c r="N224" s="8" t="str">
        <f>IF(M224="None","No","Yes")</f>
        <v>No</v>
      </c>
      <c r="O224" s="9">
        <v>46280</v>
      </c>
    </row>
    <row r="225" spans="1:15">
      <c r="A225" s="1" t="s">
        <v>410</v>
      </c>
      <c r="B225" s="1" t="s">
        <v>395</v>
      </c>
      <c r="C225" s="1" t="s">
        <v>196</v>
      </c>
      <c r="D225" s="1" t="s">
        <v>152</v>
      </c>
      <c r="E225" s="1" t="s">
        <v>149</v>
      </c>
      <c r="F225" s="6">
        <v>16</v>
      </c>
      <c r="G225" s="6">
        <v>10016</v>
      </c>
      <c r="H225" s="6">
        <v>6960</v>
      </c>
      <c r="I225" s="6">
        <f>G225-H225</f>
        <v>3056</v>
      </c>
      <c r="J225" s="7">
        <f>IF(G225=0,0,H225/G225)</f>
        <v>0.694888178913738</v>
      </c>
      <c r="K225" s="6">
        <f>ROUNDDOWN(I225/F225,0)</f>
        <v>191</v>
      </c>
      <c r="L225" s="8" t="str">
        <f>IF(J225&gt;0.97,"Sold Out",IF(J225&gt;=0.85,"Critical",IF(J225&gt;=0.7,"Constrained","Healthy")))</f>
        <v>Healthy</v>
      </c>
      <c r="M225" s="8" t="s">
        <v>153</v>
      </c>
      <c r="N225" s="8" t="str">
        <f>IF(M225="None","No","Yes")</f>
        <v>No</v>
      </c>
      <c r="O225" s="9">
        <v>46280</v>
      </c>
    </row>
    <row r="226" spans="1:15">
      <c r="A226" s="1" t="s">
        <v>411</v>
      </c>
      <c r="B226" s="1" t="s">
        <v>395</v>
      </c>
      <c r="C226" s="1" t="s">
        <v>196</v>
      </c>
      <c r="D226" s="1" t="s">
        <v>155</v>
      </c>
      <c r="E226" s="1" t="s">
        <v>149</v>
      </c>
      <c r="F226" s="6">
        <v>32</v>
      </c>
      <c r="G226" s="6">
        <v>14752</v>
      </c>
      <c r="H226" s="6">
        <v>11520</v>
      </c>
      <c r="I226" s="6">
        <f>G226-H226</f>
        <v>3232</v>
      </c>
      <c r="J226" s="7">
        <f>IF(G226=0,0,H226/G226)</f>
        <v>0.78091106290672452</v>
      </c>
      <c r="K226" s="6">
        <f>ROUNDDOWN(I226/F226,0)</f>
        <v>101</v>
      </c>
      <c r="L226" s="8" t="str">
        <f>IF(J226&gt;0.97,"Sold Out",IF(J226&gt;=0.85,"Critical",IF(J226&gt;=0.7,"Constrained","Healthy")))</f>
        <v>Constrained</v>
      </c>
      <c r="M226" s="8" t="s">
        <v>153</v>
      </c>
      <c r="N226" s="8" t="str">
        <f>IF(M226="None","No","Yes")</f>
        <v>No</v>
      </c>
      <c r="O226" s="9">
        <v>46280</v>
      </c>
    </row>
    <row r="227" spans="1:15">
      <c r="A227" s="1" t="s">
        <v>412</v>
      </c>
      <c r="B227" s="1" t="s">
        <v>395</v>
      </c>
      <c r="C227" s="1" t="s">
        <v>196</v>
      </c>
      <c r="D227" s="1" t="s">
        <v>157</v>
      </c>
      <c r="E227" s="1" t="s">
        <v>149</v>
      </c>
      <c r="F227" s="6">
        <v>64</v>
      </c>
      <c r="G227" s="6">
        <v>6848</v>
      </c>
      <c r="H227" s="6">
        <v>5504</v>
      </c>
      <c r="I227" s="6">
        <f>G227-H227</f>
        <v>1344</v>
      </c>
      <c r="J227" s="7">
        <f>IF(G227=0,0,H227/G227)</f>
        <v>0.80373831775700932</v>
      </c>
      <c r="K227" s="6">
        <f>ROUNDDOWN(I227/F227,0)</f>
        <v>21</v>
      </c>
      <c r="L227" s="8" t="str">
        <f>IF(J227&gt;0.97,"Sold Out",IF(J227&gt;=0.85,"Critical",IF(J227&gt;=0.7,"Constrained","Healthy")))</f>
        <v>Constrained</v>
      </c>
      <c r="M227" s="8" t="s">
        <v>150</v>
      </c>
      <c r="N227" s="8" t="str">
        <f>IF(M227="None","No","Yes")</f>
        <v>Yes</v>
      </c>
      <c r="O227" s="9">
        <v>46280</v>
      </c>
    </row>
    <row r="228" spans="1:15">
      <c r="A228" s="1" t="s">
        <v>413</v>
      </c>
      <c r="B228" s="1" t="s">
        <v>395</v>
      </c>
      <c r="C228" s="1" t="s">
        <v>196</v>
      </c>
      <c r="D228" s="1" t="s">
        <v>159</v>
      </c>
      <c r="E228" s="1" t="s">
        <v>160</v>
      </c>
      <c r="F228" s="6">
        <v>16</v>
      </c>
      <c r="G228" s="6">
        <v>5840</v>
      </c>
      <c r="H228" s="6">
        <v>4848</v>
      </c>
      <c r="I228" s="6">
        <f>G228-H228</f>
        <v>992</v>
      </c>
      <c r="J228" s="7">
        <f>IF(G228=0,0,H228/G228)</f>
        <v>0.83013698630136989</v>
      </c>
      <c r="K228" s="6">
        <f>ROUNDDOWN(I228/F228,0)</f>
        <v>62</v>
      </c>
      <c r="L228" s="8" t="str">
        <f>IF(J228&gt;0.97,"Sold Out",IF(J228&gt;=0.85,"Critical",IF(J228&gt;=0.7,"Constrained","Healthy")))</f>
        <v>Constrained</v>
      </c>
      <c r="M228" s="8" t="s">
        <v>150</v>
      </c>
      <c r="N228" s="8" t="str">
        <f>IF(M228="None","No","Yes")</f>
        <v>Yes</v>
      </c>
      <c r="O228" s="9">
        <v>46280</v>
      </c>
    </row>
    <row r="229" spans="1:15">
      <c r="A229" s="1" t="s">
        <v>414</v>
      </c>
      <c r="B229" s="1" t="s">
        <v>395</v>
      </c>
      <c r="C229" s="1" t="s">
        <v>196</v>
      </c>
      <c r="D229" s="1" t="s">
        <v>162</v>
      </c>
      <c r="E229" s="1" t="s">
        <v>163</v>
      </c>
      <c r="F229" s="6">
        <v>32</v>
      </c>
      <c r="G229" s="6">
        <v>25152</v>
      </c>
      <c r="H229" s="6">
        <v>15520</v>
      </c>
      <c r="I229" s="6">
        <f>G229-H229</f>
        <v>9632</v>
      </c>
      <c r="J229" s="7">
        <f>IF(G229=0,0,H229/G229)</f>
        <v>0.61704834605597969</v>
      </c>
      <c r="K229" s="6">
        <f>ROUNDDOWN(I229/F229,0)</f>
        <v>301</v>
      </c>
      <c r="L229" s="8" t="str">
        <f>IF(J229&gt;0.97,"Sold Out",IF(J229&gt;=0.85,"Critical",IF(J229&gt;=0.7,"Constrained","Healthy")))</f>
        <v>Healthy</v>
      </c>
      <c r="M229" s="8" t="s">
        <v>153</v>
      </c>
      <c r="N229" s="8" t="str">
        <f>IF(M229="None","No","Yes")</f>
        <v>No</v>
      </c>
      <c r="O229" s="9">
        <v>46280</v>
      </c>
    </row>
    <row r="230" spans="1:15">
      <c r="A230" s="1" t="s">
        <v>415</v>
      </c>
      <c r="B230" s="1" t="s">
        <v>395</v>
      </c>
      <c r="C230" s="1" t="s">
        <v>196</v>
      </c>
      <c r="D230" s="1" t="s">
        <v>165</v>
      </c>
      <c r="E230" s="1" t="s">
        <v>163</v>
      </c>
      <c r="F230" s="6">
        <v>64</v>
      </c>
      <c r="G230" s="6">
        <v>7936</v>
      </c>
      <c r="H230" s="6">
        <v>6656</v>
      </c>
      <c r="I230" s="6">
        <f>G230-H230</f>
        <v>1280</v>
      </c>
      <c r="J230" s="7">
        <f>IF(G230=0,0,H230/G230)</f>
        <v>0.83870967741935487</v>
      </c>
      <c r="K230" s="6">
        <f>ROUNDDOWN(I230/F230,0)</f>
        <v>20</v>
      </c>
      <c r="L230" s="8" t="str">
        <f>IF(J230&gt;0.97,"Sold Out",IF(J230&gt;=0.85,"Critical",IF(J230&gt;=0.7,"Constrained","Healthy")))</f>
        <v>Constrained</v>
      </c>
      <c r="M230" s="8" t="s">
        <v>153</v>
      </c>
      <c r="N230" s="8" t="str">
        <f>IF(M230="None","No","Yes")</f>
        <v>No</v>
      </c>
      <c r="O230" s="9">
        <v>46280</v>
      </c>
    </row>
    <row r="231" spans="1:15">
      <c r="A231" s="1" t="s">
        <v>416</v>
      </c>
      <c r="B231" s="1" t="s">
        <v>395</v>
      </c>
      <c r="C231" s="1" t="s">
        <v>196</v>
      </c>
      <c r="D231" s="1" t="s">
        <v>168</v>
      </c>
      <c r="E231" s="1" t="s">
        <v>169</v>
      </c>
      <c r="F231" s="6">
        <v>32</v>
      </c>
      <c r="G231" s="6">
        <v>26176</v>
      </c>
      <c r="H231" s="6">
        <v>18528</v>
      </c>
      <c r="I231" s="6">
        <f>G231-H231</f>
        <v>7648</v>
      </c>
      <c r="J231" s="7">
        <f>IF(G231=0,0,H231/G231)</f>
        <v>0.70782396088019561</v>
      </c>
      <c r="K231" s="6">
        <f>ROUNDDOWN(I231/F231,0)</f>
        <v>239</v>
      </c>
      <c r="L231" s="8" t="str">
        <f>IF(J231&gt;0.97,"Sold Out",IF(J231&gt;=0.85,"Critical",IF(J231&gt;=0.7,"Constrained","Healthy")))</f>
        <v>Constrained</v>
      </c>
      <c r="M231" s="8" t="s">
        <v>150</v>
      </c>
      <c r="N231" s="8" t="str">
        <f>IF(M231="None","No","Yes")</f>
        <v>Yes</v>
      </c>
      <c r="O231" s="9">
        <v>46280</v>
      </c>
    </row>
    <row r="232" spans="1:15">
      <c r="A232" s="1" t="s">
        <v>417</v>
      </c>
      <c r="B232" s="1" t="s">
        <v>395</v>
      </c>
      <c r="C232" s="1" t="s">
        <v>196</v>
      </c>
      <c r="D232" s="1" t="s">
        <v>174</v>
      </c>
      <c r="E232" s="1" t="s">
        <v>175</v>
      </c>
      <c r="F232" s="6">
        <v>128</v>
      </c>
      <c r="G232" s="6">
        <v>2944</v>
      </c>
      <c r="H232" s="6">
        <v>2304</v>
      </c>
      <c r="I232" s="6">
        <f>G232-H232</f>
        <v>640</v>
      </c>
      <c r="J232" s="7">
        <f>IF(G232=0,0,H232/G232)</f>
        <v>0.78260869565217395</v>
      </c>
      <c r="K232" s="6">
        <f>ROUNDDOWN(I232/F232,0)</f>
        <v>5</v>
      </c>
      <c r="L232" s="8" t="str">
        <f>IF(J232&gt;0.97,"Sold Out",IF(J232&gt;=0.85,"Critical",IF(J232&gt;=0.7,"Constrained","Healthy")))</f>
        <v>Constrained</v>
      </c>
      <c r="M232" s="8" t="s">
        <v>153</v>
      </c>
      <c r="N232" s="8" t="str">
        <f>IF(M232="None","No","Yes")</f>
        <v>No</v>
      </c>
      <c r="O232" s="9">
        <v>46280</v>
      </c>
    </row>
    <row r="233" spans="1:15">
      <c r="A233" s="1" t="s">
        <v>418</v>
      </c>
      <c r="B233" s="1" t="s">
        <v>395</v>
      </c>
      <c r="C233" s="1" t="s">
        <v>196</v>
      </c>
      <c r="D233" s="1" t="s">
        <v>177</v>
      </c>
      <c r="E233" s="1" t="s">
        <v>178</v>
      </c>
      <c r="F233" s="6">
        <v>16</v>
      </c>
      <c r="G233" s="6">
        <v>10368</v>
      </c>
      <c r="H233" s="6">
        <v>8816</v>
      </c>
      <c r="I233" s="6">
        <f>G233-H233</f>
        <v>1552</v>
      </c>
      <c r="J233" s="7">
        <f>IF(G233=0,0,H233/G233)</f>
        <v>0.85030864197530864</v>
      </c>
      <c r="K233" s="6">
        <f>ROUNDDOWN(I233/F233,0)</f>
        <v>97</v>
      </c>
      <c r="L233" s="8" t="str">
        <f>IF(J233&gt;0.97,"Sold Out",IF(J233&gt;=0.85,"Critical",IF(J233&gt;=0.7,"Constrained","Healthy")))</f>
        <v>Critical</v>
      </c>
      <c r="M233" s="8" t="s">
        <v>191</v>
      </c>
      <c r="N233" s="8" t="str">
        <f>IF(M233="None","No","Yes")</f>
        <v>Yes</v>
      </c>
      <c r="O233" s="9">
        <v>46280</v>
      </c>
    </row>
    <row r="234" spans="1:15">
      <c r="A234" s="1" t="s">
        <v>419</v>
      </c>
      <c r="B234" s="1" t="s">
        <v>395</v>
      </c>
      <c r="C234" s="1" t="s">
        <v>196</v>
      </c>
      <c r="D234" s="1" t="s">
        <v>180</v>
      </c>
      <c r="E234" s="1" t="s">
        <v>181</v>
      </c>
      <c r="F234" s="6">
        <v>32</v>
      </c>
      <c r="G234" s="6">
        <v>12864</v>
      </c>
      <c r="H234" s="6">
        <v>8896</v>
      </c>
      <c r="I234" s="6">
        <f>G234-H234</f>
        <v>3968</v>
      </c>
      <c r="J234" s="7">
        <f>IF(G234=0,0,H234/G234)</f>
        <v>0.69154228855721389</v>
      </c>
      <c r="K234" s="6">
        <f>ROUNDDOWN(I234/F234,0)</f>
        <v>124</v>
      </c>
      <c r="L234" s="8" t="str">
        <f>IF(J234&gt;0.97,"Sold Out",IF(J234&gt;=0.85,"Critical",IF(J234&gt;=0.7,"Constrained","Healthy")))</f>
        <v>Healthy</v>
      </c>
      <c r="M234" s="8" t="s">
        <v>153</v>
      </c>
      <c r="N234" s="8" t="str">
        <f>IF(M234="None","No","Yes")</f>
        <v>No</v>
      </c>
      <c r="O234" s="9">
        <v>46280</v>
      </c>
    </row>
    <row r="235" spans="1:15">
      <c r="A235" s="1" t="s">
        <v>420</v>
      </c>
      <c r="B235" s="1" t="s">
        <v>395</v>
      </c>
      <c r="C235" s="1" t="s">
        <v>196</v>
      </c>
      <c r="D235" s="1" t="s">
        <v>186</v>
      </c>
      <c r="E235" s="1" t="s">
        <v>187</v>
      </c>
      <c r="F235" s="6">
        <v>24</v>
      </c>
      <c r="G235" s="6">
        <v>936</v>
      </c>
      <c r="H235" s="6">
        <v>816</v>
      </c>
      <c r="I235" s="6">
        <f>G235-H235</f>
        <v>120</v>
      </c>
      <c r="J235" s="7">
        <f>IF(G235=0,0,H235/G235)</f>
        <v>0.87179487179487181</v>
      </c>
      <c r="K235" s="6">
        <f>ROUNDDOWN(I235/F235,0)</f>
        <v>5</v>
      </c>
      <c r="L235" s="8" t="str">
        <f>IF(J235&gt;0.97,"Sold Out",IF(J235&gt;=0.85,"Critical",IF(J235&gt;=0.7,"Constrained","Healthy")))</f>
        <v>Critical</v>
      </c>
      <c r="M235" s="8" t="s">
        <v>191</v>
      </c>
      <c r="N235" s="8" t="str">
        <f>IF(M235="None","No","Yes")</f>
        <v>Yes</v>
      </c>
      <c r="O235" s="9">
        <v>46280</v>
      </c>
    </row>
    <row r="236" spans="1:15">
      <c r="A236" s="1" t="s">
        <v>421</v>
      </c>
      <c r="B236" s="1" t="s">
        <v>395</v>
      </c>
      <c r="C236" s="1" t="s">
        <v>196</v>
      </c>
      <c r="D236" s="1" t="s">
        <v>193</v>
      </c>
      <c r="E236" s="1" t="s">
        <v>194</v>
      </c>
      <c r="F236" s="6">
        <v>40</v>
      </c>
      <c r="G236" s="6">
        <v>600</v>
      </c>
      <c r="H236" s="6">
        <v>480</v>
      </c>
      <c r="I236" s="6">
        <f>G236-H236</f>
        <v>120</v>
      </c>
      <c r="J236" s="7">
        <f>IF(G236=0,0,H236/G236)</f>
        <v>0.8</v>
      </c>
      <c r="K236" s="6">
        <f>ROUNDDOWN(I236/F236,0)</f>
        <v>3</v>
      </c>
      <c r="L236" s="8" t="str">
        <f>IF(J236&gt;0.97,"Sold Out",IF(J236&gt;=0.85,"Critical",IF(J236&gt;=0.7,"Constrained","Healthy")))</f>
        <v>Constrained</v>
      </c>
      <c r="M236" s="8" t="s">
        <v>150</v>
      </c>
      <c r="N236" s="8" t="str">
        <f>IF(M236="None","No","Yes")</f>
        <v>Yes</v>
      </c>
      <c r="O236" s="9">
        <v>46280</v>
      </c>
    </row>
    <row r="237" spans="1:15">
      <c r="A237" s="1" t="s">
        <v>422</v>
      </c>
      <c r="B237" s="1" t="s">
        <v>395</v>
      </c>
      <c r="C237" s="1" t="s">
        <v>212</v>
      </c>
      <c r="D237" s="1" t="s">
        <v>152</v>
      </c>
      <c r="E237" s="1" t="s">
        <v>149</v>
      </c>
      <c r="F237" s="6">
        <v>16</v>
      </c>
      <c r="G237" s="6">
        <v>8640</v>
      </c>
      <c r="H237" s="6">
        <v>6368</v>
      </c>
      <c r="I237" s="6">
        <f>G237-H237</f>
        <v>2272</v>
      </c>
      <c r="J237" s="7">
        <f>IF(G237=0,0,H237/G237)</f>
        <v>0.73703703703703705</v>
      </c>
      <c r="K237" s="6">
        <f>ROUNDDOWN(I237/F237,0)</f>
        <v>142</v>
      </c>
      <c r="L237" s="8" t="str">
        <f>IF(J237&gt;0.97,"Sold Out",IF(J237&gt;=0.85,"Critical",IF(J237&gt;=0.7,"Constrained","Healthy")))</f>
        <v>Constrained</v>
      </c>
      <c r="M237" s="8" t="s">
        <v>150</v>
      </c>
      <c r="N237" s="8" t="str">
        <f>IF(M237="None","No","Yes")</f>
        <v>Yes</v>
      </c>
      <c r="O237" s="9">
        <v>46280</v>
      </c>
    </row>
    <row r="238" spans="1:15">
      <c r="A238" s="1" t="s">
        <v>423</v>
      </c>
      <c r="B238" s="1" t="s">
        <v>395</v>
      </c>
      <c r="C238" s="1" t="s">
        <v>212</v>
      </c>
      <c r="D238" s="1" t="s">
        <v>155</v>
      </c>
      <c r="E238" s="1" t="s">
        <v>149</v>
      </c>
      <c r="F238" s="6">
        <v>32</v>
      </c>
      <c r="G238" s="6">
        <v>7680</v>
      </c>
      <c r="H238" s="6">
        <v>6144</v>
      </c>
      <c r="I238" s="6">
        <f>G238-H238</f>
        <v>1536</v>
      </c>
      <c r="J238" s="7">
        <f>IF(G238=0,0,H238/G238)</f>
        <v>0.8</v>
      </c>
      <c r="K238" s="6">
        <f>ROUNDDOWN(I238/F238,0)</f>
        <v>48</v>
      </c>
      <c r="L238" s="8" t="str">
        <f>IF(J238&gt;0.97,"Sold Out",IF(J238&gt;=0.85,"Critical",IF(J238&gt;=0.7,"Constrained","Healthy")))</f>
        <v>Constrained</v>
      </c>
      <c r="M238" s="8" t="s">
        <v>150</v>
      </c>
      <c r="N238" s="8" t="str">
        <f>IF(M238="None","No","Yes")</f>
        <v>Yes</v>
      </c>
      <c r="O238" s="9">
        <v>46280</v>
      </c>
    </row>
    <row r="239" spans="1:15">
      <c r="A239" s="1" t="s">
        <v>424</v>
      </c>
      <c r="B239" s="1" t="s">
        <v>395</v>
      </c>
      <c r="C239" s="1" t="s">
        <v>212</v>
      </c>
      <c r="D239" s="1" t="s">
        <v>157</v>
      </c>
      <c r="E239" s="1" t="s">
        <v>149</v>
      </c>
      <c r="F239" s="6">
        <v>64</v>
      </c>
      <c r="G239" s="6">
        <v>7424</v>
      </c>
      <c r="H239" s="6">
        <v>4224</v>
      </c>
      <c r="I239" s="6">
        <f>G239-H239</f>
        <v>3200</v>
      </c>
      <c r="J239" s="7">
        <f>IF(G239=0,0,H239/G239)</f>
        <v>0.56896551724137934</v>
      </c>
      <c r="K239" s="6">
        <f>ROUNDDOWN(I239/F239,0)</f>
        <v>50</v>
      </c>
      <c r="L239" s="8" t="str">
        <f>IF(J239&gt;0.97,"Sold Out",IF(J239&gt;=0.85,"Critical",IF(J239&gt;=0.7,"Constrained","Healthy")))</f>
        <v>Healthy</v>
      </c>
      <c r="M239" s="8" t="s">
        <v>153</v>
      </c>
      <c r="N239" s="8" t="str">
        <f>IF(M239="None","No","Yes")</f>
        <v>No</v>
      </c>
      <c r="O239" s="9">
        <v>46280</v>
      </c>
    </row>
    <row r="240" spans="1:15">
      <c r="A240" s="1" t="s">
        <v>425</v>
      </c>
      <c r="B240" s="1" t="s">
        <v>395</v>
      </c>
      <c r="C240" s="1" t="s">
        <v>212</v>
      </c>
      <c r="D240" s="1" t="s">
        <v>162</v>
      </c>
      <c r="E240" s="1" t="s">
        <v>163</v>
      </c>
      <c r="F240" s="6">
        <v>32</v>
      </c>
      <c r="G240" s="6">
        <v>9792</v>
      </c>
      <c r="H240" s="6">
        <v>6720</v>
      </c>
      <c r="I240" s="6">
        <f>G240-H240</f>
        <v>3072</v>
      </c>
      <c r="J240" s="7">
        <f>IF(G240=0,0,H240/G240)</f>
        <v>0.68627450980392157</v>
      </c>
      <c r="K240" s="6">
        <f>ROUNDDOWN(I240/F240,0)</f>
        <v>96</v>
      </c>
      <c r="L240" s="8" t="str">
        <f>IF(J240&gt;0.97,"Sold Out",IF(J240&gt;=0.85,"Critical",IF(J240&gt;=0.7,"Constrained","Healthy")))</f>
        <v>Healthy</v>
      </c>
      <c r="M240" s="8" t="s">
        <v>153</v>
      </c>
      <c r="N240" s="8" t="str">
        <f>IF(M240="None","No","Yes")</f>
        <v>No</v>
      </c>
      <c r="O240" s="9">
        <v>46280</v>
      </c>
    </row>
    <row r="241" spans="1:15">
      <c r="A241" s="1" t="s">
        <v>426</v>
      </c>
      <c r="B241" s="1" t="s">
        <v>395</v>
      </c>
      <c r="C241" s="1" t="s">
        <v>212</v>
      </c>
      <c r="D241" s="1" t="s">
        <v>165</v>
      </c>
      <c r="E241" s="1" t="s">
        <v>163</v>
      </c>
      <c r="F241" s="6">
        <v>64</v>
      </c>
      <c r="G241" s="6">
        <v>4352</v>
      </c>
      <c r="H241" s="6">
        <v>3776</v>
      </c>
      <c r="I241" s="6">
        <f>G241-H241</f>
        <v>576</v>
      </c>
      <c r="J241" s="7">
        <f>IF(G241=0,0,H241/G241)</f>
        <v>0.86764705882352944</v>
      </c>
      <c r="K241" s="6">
        <f>ROUNDDOWN(I241/F241,0)</f>
        <v>9</v>
      </c>
      <c r="L241" s="8" t="str">
        <f>IF(J241&gt;0.97,"Sold Out",IF(J241&gt;=0.85,"Critical",IF(J241&gt;=0.7,"Constrained","Healthy")))</f>
        <v>Critical</v>
      </c>
      <c r="M241" s="8" t="s">
        <v>150</v>
      </c>
      <c r="N241" s="8" t="str">
        <f>IF(M241="None","No","Yes")</f>
        <v>Yes</v>
      </c>
      <c r="O241" s="9">
        <v>46280</v>
      </c>
    </row>
    <row r="242" spans="1:15">
      <c r="A242" s="1" t="s">
        <v>427</v>
      </c>
      <c r="B242" s="1" t="s">
        <v>395</v>
      </c>
      <c r="C242" s="1" t="s">
        <v>212</v>
      </c>
      <c r="D242" s="1" t="s">
        <v>186</v>
      </c>
      <c r="E242" s="1" t="s">
        <v>187</v>
      </c>
      <c r="F242" s="6">
        <v>24</v>
      </c>
      <c r="G242" s="6">
        <v>1152</v>
      </c>
      <c r="H242" s="6">
        <v>840</v>
      </c>
      <c r="I242" s="6">
        <f>G242-H242</f>
        <v>312</v>
      </c>
      <c r="J242" s="7">
        <f>IF(G242=0,0,H242/G242)</f>
        <v>0.72916666666666663</v>
      </c>
      <c r="K242" s="6">
        <f>ROUNDDOWN(I242/F242,0)</f>
        <v>13</v>
      </c>
      <c r="L242" s="8" t="str">
        <f>IF(J242&gt;0.97,"Sold Out",IF(J242&gt;=0.85,"Critical",IF(J242&gt;=0.7,"Constrained","Healthy")))</f>
        <v>Constrained</v>
      </c>
      <c r="M242" s="8" t="s">
        <v>150</v>
      </c>
      <c r="N242" s="8" t="str">
        <f>IF(M242="None","No","Yes")</f>
        <v>Yes</v>
      </c>
      <c r="O242" s="9">
        <v>46280</v>
      </c>
    </row>
    <row r="243" spans="1:15">
      <c r="A243" s="1" t="s">
        <v>428</v>
      </c>
      <c r="B243" s="1" t="s">
        <v>429</v>
      </c>
      <c r="C243" s="1" t="s">
        <v>147</v>
      </c>
      <c r="D243" s="1" t="s">
        <v>148</v>
      </c>
      <c r="E243" s="1" t="s">
        <v>149</v>
      </c>
      <c r="F243" s="6">
        <v>8</v>
      </c>
      <c r="G243" s="6">
        <v>1456</v>
      </c>
      <c r="H243" s="6">
        <v>528</v>
      </c>
      <c r="I243" s="6">
        <f>G243-H243</f>
        <v>928</v>
      </c>
      <c r="J243" s="7">
        <f>IF(G243=0,0,H243/G243)</f>
        <v>0.36263736263736263</v>
      </c>
      <c r="K243" s="6">
        <f>ROUNDDOWN(I243/F243,0)</f>
        <v>116</v>
      </c>
      <c r="L243" s="8" t="str">
        <f>IF(J243&gt;0.97,"Sold Out",IF(J243&gt;=0.85,"Critical",IF(J243&gt;=0.7,"Constrained","Healthy")))</f>
        <v>Healthy</v>
      </c>
      <c r="M243" s="8" t="s">
        <v>153</v>
      </c>
      <c r="N243" s="8" t="str">
        <f>IF(M243="None","No","Yes")</f>
        <v>No</v>
      </c>
      <c r="O243" s="9">
        <v>46280</v>
      </c>
    </row>
    <row r="244" spans="1:15">
      <c r="A244" s="1" t="s">
        <v>430</v>
      </c>
      <c r="B244" s="1" t="s">
        <v>429</v>
      </c>
      <c r="C244" s="1" t="s">
        <v>147</v>
      </c>
      <c r="D244" s="1" t="s">
        <v>152</v>
      </c>
      <c r="E244" s="1" t="s">
        <v>149</v>
      </c>
      <c r="F244" s="6">
        <v>16</v>
      </c>
      <c r="G244" s="6">
        <v>6208</v>
      </c>
      <c r="H244" s="6">
        <v>2848</v>
      </c>
      <c r="I244" s="6">
        <f>G244-H244</f>
        <v>3360</v>
      </c>
      <c r="J244" s="7">
        <f>IF(G244=0,0,H244/G244)</f>
        <v>0.45876288659793812</v>
      </c>
      <c r="K244" s="6">
        <f>ROUNDDOWN(I244/F244,0)</f>
        <v>210</v>
      </c>
      <c r="L244" s="8" t="str">
        <f>IF(J244&gt;0.97,"Sold Out",IF(J244&gt;=0.85,"Critical",IF(J244&gt;=0.7,"Constrained","Healthy")))</f>
        <v>Healthy</v>
      </c>
      <c r="M244" s="8" t="s">
        <v>153</v>
      </c>
      <c r="N244" s="8" t="str">
        <f>IF(M244="None","No","Yes")</f>
        <v>No</v>
      </c>
      <c r="O244" s="9">
        <v>46280</v>
      </c>
    </row>
    <row r="245" spans="1:15">
      <c r="A245" s="1" t="s">
        <v>431</v>
      </c>
      <c r="B245" s="1" t="s">
        <v>429</v>
      </c>
      <c r="C245" s="1" t="s">
        <v>147</v>
      </c>
      <c r="D245" s="1" t="s">
        <v>155</v>
      </c>
      <c r="E245" s="1" t="s">
        <v>149</v>
      </c>
      <c r="F245" s="6">
        <v>32</v>
      </c>
      <c r="G245" s="6">
        <v>8480</v>
      </c>
      <c r="H245" s="6">
        <v>5312</v>
      </c>
      <c r="I245" s="6">
        <f>G245-H245</f>
        <v>3168</v>
      </c>
      <c r="J245" s="7">
        <f>IF(G245=0,0,H245/G245)</f>
        <v>0.62641509433962261</v>
      </c>
      <c r="K245" s="6">
        <f>ROUNDDOWN(I245/F245,0)</f>
        <v>99</v>
      </c>
      <c r="L245" s="8" t="str">
        <f>IF(J245&gt;0.97,"Sold Out",IF(J245&gt;=0.85,"Critical",IF(J245&gt;=0.7,"Constrained","Healthy")))</f>
        <v>Healthy</v>
      </c>
      <c r="M245" s="8" t="s">
        <v>153</v>
      </c>
      <c r="N245" s="8" t="str">
        <f>IF(M245="None","No","Yes")</f>
        <v>No</v>
      </c>
      <c r="O245" s="9">
        <v>46280</v>
      </c>
    </row>
    <row r="246" spans="1:15">
      <c r="A246" s="1" t="s">
        <v>432</v>
      </c>
      <c r="B246" s="1" t="s">
        <v>429</v>
      </c>
      <c r="C246" s="1" t="s">
        <v>147</v>
      </c>
      <c r="D246" s="1" t="s">
        <v>157</v>
      </c>
      <c r="E246" s="1" t="s">
        <v>149</v>
      </c>
      <c r="F246" s="6">
        <v>64</v>
      </c>
      <c r="G246" s="6">
        <v>2112</v>
      </c>
      <c r="H246" s="6">
        <v>832</v>
      </c>
      <c r="I246" s="6">
        <f>G246-H246</f>
        <v>1280</v>
      </c>
      <c r="J246" s="7">
        <f>IF(G246=0,0,H246/G246)</f>
        <v>0.39393939393939392</v>
      </c>
      <c r="K246" s="6">
        <f>ROUNDDOWN(I246/F246,0)</f>
        <v>20</v>
      </c>
      <c r="L246" s="8" t="str">
        <f>IF(J246&gt;0.97,"Sold Out",IF(J246&gt;=0.85,"Critical",IF(J246&gt;=0.7,"Constrained","Healthy")))</f>
        <v>Healthy</v>
      </c>
      <c r="M246" s="8" t="s">
        <v>153</v>
      </c>
      <c r="N246" s="8" t="str">
        <f>IF(M246="None","No","Yes")</f>
        <v>No</v>
      </c>
      <c r="O246" s="9">
        <v>46280</v>
      </c>
    </row>
    <row r="247" spans="1:15">
      <c r="A247" s="1" t="s">
        <v>433</v>
      </c>
      <c r="B247" s="1" t="s">
        <v>429</v>
      </c>
      <c r="C247" s="1" t="s">
        <v>147</v>
      </c>
      <c r="D247" s="1" t="s">
        <v>159</v>
      </c>
      <c r="E247" s="1" t="s">
        <v>160</v>
      </c>
      <c r="F247" s="6">
        <v>16</v>
      </c>
      <c r="G247" s="6">
        <v>1200</v>
      </c>
      <c r="H247" s="6">
        <v>672</v>
      </c>
      <c r="I247" s="6">
        <f>G247-H247</f>
        <v>528</v>
      </c>
      <c r="J247" s="7">
        <f>IF(G247=0,0,H247/G247)</f>
        <v>0.56000000000000005</v>
      </c>
      <c r="K247" s="6">
        <f>ROUNDDOWN(I247/F247,0)</f>
        <v>33</v>
      </c>
      <c r="L247" s="8" t="str">
        <f>IF(J247&gt;0.97,"Sold Out",IF(J247&gt;=0.85,"Critical",IF(J247&gt;=0.7,"Constrained","Healthy")))</f>
        <v>Healthy</v>
      </c>
      <c r="M247" s="8" t="s">
        <v>153</v>
      </c>
      <c r="N247" s="8" t="str">
        <f>IF(M247="None","No","Yes")</f>
        <v>No</v>
      </c>
      <c r="O247" s="9">
        <v>46280</v>
      </c>
    </row>
    <row r="248" spans="1:15">
      <c r="A248" s="1" t="s">
        <v>434</v>
      </c>
      <c r="B248" s="1" t="s">
        <v>429</v>
      </c>
      <c r="C248" s="1" t="s">
        <v>147</v>
      </c>
      <c r="D248" s="1" t="s">
        <v>162</v>
      </c>
      <c r="E248" s="1" t="s">
        <v>163</v>
      </c>
      <c r="F248" s="6">
        <v>32</v>
      </c>
      <c r="G248" s="6">
        <v>8288</v>
      </c>
      <c r="H248" s="6">
        <v>4736</v>
      </c>
      <c r="I248" s="6">
        <f>G248-H248</f>
        <v>3552</v>
      </c>
      <c r="J248" s="7">
        <f>IF(G248=0,0,H248/G248)</f>
        <v>0.5714285714285714</v>
      </c>
      <c r="K248" s="6">
        <f>ROUNDDOWN(I248/F248,0)</f>
        <v>111</v>
      </c>
      <c r="L248" s="8" t="str">
        <f>IF(J248&gt;0.97,"Sold Out",IF(J248&gt;=0.85,"Critical",IF(J248&gt;=0.7,"Constrained","Healthy")))</f>
        <v>Healthy</v>
      </c>
      <c r="M248" s="8" t="s">
        <v>153</v>
      </c>
      <c r="N248" s="8" t="str">
        <f>IF(M248="None","No","Yes")</f>
        <v>No</v>
      </c>
      <c r="O248" s="9">
        <v>46280</v>
      </c>
    </row>
    <row r="249" spans="1:15">
      <c r="A249" s="1" t="s">
        <v>435</v>
      </c>
      <c r="B249" s="1" t="s">
        <v>429</v>
      </c>
      <c r="C249" s="1" t="s">
        <v>147</v>
      </c>
      <c r="D249" s="1" t="s">
        <v>165</v>
      </c>
      <c r="E249" s="1" t="s">
        <v>163</v>
      </c>
      <c r="F249" s="6">
        <v>64</v>
      </c>
      <c r="G249" s="6">
        <v>5056</v>
      </c>
      <c r="H249" s="6">
        <v>2624</v>
      </c>
      <c r="I249" s="6">
        <f>G249-H249</f>
        <v>2432</v>
      </c>
      <c r="J249" s="7">
        <f>IF(G249=0,0,H249/G249)</f>
        <v>0.51898734177215189</v>
      </c>
      <c r="K249" s="6">
        <f>ROUNDDOWN(I249/F249,0)</f>
        <v>38</v>
      </c>
      <c r="L249" s="8" t="str">
        <f>IF(J249&gt;0.97,"Sold Out",IF(J249&gt;=0.85,"Critical",IF(J249&gt;=0.7,"Constrained","Healthy")))</f>
        <v>Healthy</v>
      </c>
      <c r="M249" s="8" t="s">
        <v>153</v>
      </c>
      <c r="N249" s="8" t="str">
        <f>IF(M249="None","No","Yes")</f>
        <v>No</v>
      </c>
      <c r="O249" s="9">
        <v>46280</v>
      </c>
    </row>
    <row r="250" spans="1:15">
      <c r="A250" s="1" t="s">
        <v>436</v>
      </c>
      <c r="B250" s="1" t="s">
        <v>429</v>
      </c>
      <c r="C250" s="1" t="s">
        <v>147</v>
      </c>
      <c r="D250" s="1" t="s">
        <v>168</v>
      </c>
      <c r="E250" s="1" t="s">
        <v>169</v>
      </c>
      <c r="F250" s="6">
        <v>32</v>
      </c>
      <c r="G250" s="6">
        <v>12512</v>
      </c>
      <c r="H250" s="6">
        <v>6528</v>
      </c>
      <c r="I250" s="6">
        <f>G250-H250</f>
        <v>5984</v>
      </c>
      <c r="J250" s="7">
        <f>IF(G250=0,0,H250/G250)</f>
        <v>0.52173913043478259</v>
      </c>
      <c r="K250" s="6">
        <f>ROUNDDOWN(I250/F250,0)</f>
        <v>187</v>
      </c>
      <c r="L250" s="8" t="str">
        <f>IF(J250&gt;0.97,"Sold Out",IF(J250&gt;=0.85,"Critical",IF(J250&gt;=0.7,"Constrained","Healthy")))</f>
        <v>Healthy</v>
      </c>
      <c r="M250" s="8" t="s">
        <v>153</v>
      </c>
      <c r="N250" s="8" t="str">
        <f>IF(M250="None","No","Yes")</f>
        <v>No</v>
      </c>
      <c r="O250" s="9">
        <v>46280</v>
      </c>
    </row>
    <row r="251" spans="1:15">
      <c r="A251" s="1" t="s">
        <v>437</v>
      </c>
      <c r="B251" s="1" t="s">
        <v>429</v>
      </c>
      <c r="C251" s="1" t="s">
        <v>147</v>
      </c>
      <c r="D251" s="1" t="s">
        <v>174</v>
      </c>
      <c r="E251" s="1" t="s">
        <v>175</v>
      </c>
      <c r="F251" s="6">
        <v>128</v>
      </c>
      <c r="G251" s="6">
        <v>2176</v>
      </c>
      <c r="H251" s="6">
        <v>1024</v>
      </c>
      <c r="I251" s="6">
        <f>G251-H251</f>
        <v>1152</v>
      </c>
      <c r="J251" s="7">
        <f>IF(G251=0,0,H251/G251)</f>
        <v>0.47058823529411764</v>
      </c>
      <c r="K251" s="6">
        <f>ROUNDDOWN(I251/F251,0)</f>
        <v>9</v>
      </c>
      <c r="L251" s="8" t="str">
        <f>IF(J251&gt;0.97,"Sold Out",IF(J251&gt;=0.85,"Critical",IF(J251&gt;=0.7,"Constrained","Healthy")))</f>
        <v>Healthy</v>
      </c>
      <c r="M251" s="8" t="s">
        <v>153</v>
      </c>
      <c r="N251" s="8" t="str">
        <f>IF(M251="None","No","Yes")</f>
        <v>No</v>
      </c>
      <c r="O251" s="9">
        <v>46280</v>
      </c>
    </row>
    <row r="252" spans="1:15">
      <c r="A252" s="1" t="s">
        <v>438</v>
      </c>
      <c r="B252" s="1" t="s">
        <v>429</v>
      </c>
      <c r="C252" s="1" t="s">
        <v>196</v>
      </c>
      <c r="D252" s="1" t="s">
        <v>148</v>
      </c>
      <c r="E252" s="1" t="s">
        <v>149</v>
      </c>
      <c r="F252" s="6">
        <v>8</v>
      </c>
      <c r="G252" s="6">
        <v>2304</v>
      </c>
      <c r="H252" s="6">
        <v>848</v>
      </c>
      <c r="I252" s="6">
        <f>G252-H252</f>
        <v>1456</v>
      </c>
      <c r="J252" s="7">
        <f>IF(G252=0,0,H252/G252)</f>
        <v>0.36805555555555558</v>
      </c>
      <c r="K252" s="6">
        <f>ROUNDDOWN(I252/F252,0)</f>
        <v>182</v>
      </c>
      <c r="L252" s="8" t="str">
        <f>IF(J252&gt;0.97,"Sold Out",IF(J252&gt;=0.85,"Critical",IF(J252&gt;=0.7,"Constrained","Healthy")))</f>
        <v>Healthy</v>
      </c>
      <c r="M252" s="8" t="s">
        <v>153</v>
      </c>
      <c r="N252" s="8" t="str">
        <f>IF(M252="None","No","Yes")</f>
        <v>No</v>
      </c>
      <c r="O252" s="9">
        <v>46280</v>
      </c>
    </row>
    <row r="253" spans="1:15">
      <c r="A253" s="1" t="s">
        <v>439</v>
      </c>
      <c r="B253" s="1" t="s">
        <v>429</v>
      </c>
      <c r="C253" s="1" t="s">
        <v>196</v>
      </c>
      <c r="D253" s="1" t="s">
        <v>152</v>
      </c>
      <c r="E253" s="1" t="s">
        <v>149</v>
      </c>
      <c r="F253" s="6">
        <v>16</v>
      </c>
      <c r="G253" s="6">
        <v>3808</v>
      </c>
      <c r="H253" s="6">
        <v>2288</v>
      </c>
      <c r="I253" s="6">
        <f>G253-H253</f>
        <v>1520</v>
      </c>
      <c r="J253" s="7">
        <f>IF(G253=0,0,H253/G253)</f>
        <v>0.60084033613445376</v>
      </c>
      <c r="K253" s="6">
        <f>ROUNDDOWN(I253/F253,0)</f>
        <v>95</v>
      </c>
      <c r="L253" s="8" t="str">
        <f>IF(J253&gt;0.97,"Sold Out",IF(J253&gt;=0.85,"Critical",IF(J253&gt;=0.7,"Constrained","Healthy")))</f>
        <v>Healthy</v>
      </c>
      <c r="M253" s="8" t="s">
        <v>153</v>
      </c>
      <c r="N253" s="8" t="str">
        <f>IF(M253="None","No","Yes")</f>
        <v>No</v>
      </c>
      <c r="O253" s="9">
        <v>46280</v>
      </c>
    </row>
    <row r="254" spans="1:15">
      <c r="A254" s="1" t="s">
        <v>440</v>
      </c>
      <c r="B254" s="1" t="s">
        <v>429</v>
      </c>
      <c r="C254" s="1" t="s">
        <v>196</v>
      </c>
      <c r="D254" s="1" t="s">
        <v>155</v>
      </c>
      <c r="E254" s="1" t="s">
        <v>149</v>
      </c>
      <c r="F254" s="6">
        <v>32</v>
      </c>
      <c r="G254" s="6">
        <v>4896</v>
      </c>
      <c r="H254" s="6">
        <v>2560</v>
      </c>
      <c r="I254" s="6">
        <f>G254-H254</f>
        <v>2336</v>
      </c>
      <c r="J254" s="7">
        <f>IF(G254=0,0,H254/G254)</f>
        <v>0.52287581699346408</v>
      </c>
      <c r="K254" s="6">
        <f>ROUNDDOWN(I254/F254,0)</f>
        <v>73</v>
      </c>
      <c r="L254" s="8" t="str">
        <f>IF(J254&gt;0.97,"Sold Out",IF(J254&gt;=0.85,"Critical",IF(J254&gt;=0.7,"Constrained","Healthy")))</f>
        <v>Healthy</v>
      </c>
      <c r="M254" s="8" t="s">
        <v>153</v>
      </c>
      <c r="N254" s="8" t="str">
        <f>IF(M254="None","No","Yes")</f>
        <v>No</v>
      </c>
      <c r="O254" s="9">
        <v>46280</v>
      </c>
    </row>
    <row r="255" spans="1:15">
      <c r="A255" s="1" t="s">
        <v>441</v>
      </c>
      <c r="B255" s="1" t="s">
        <v>429</v>
      </c>
      <c r="C255" s="1" t="s">
        <v>196</v>
      </c>
      <c r="D255" s="1" t="s">
        <v>157</v>
      </c>
      <c r="E255" s="1" t="s">
        <v>149</v>
      </c>
      <c r="F255" s="6">
        <v>64</v>
      </c>
      <c r="G255" s="6">
        <v>1920</v>
      </c>
      <c r="H255" s="6">
        <v>1152</v>
      </c>
      <c r="I255" s="6">
        <f>G255-H255</f>
        <v>768</v>
      </c>
      <c r="J255" s="7">
        <f>IF(G255=0,0,H255/G255)</f>
        <v>0.6</v>
      </c>
      <c r="K255" s="6">
        <f>ROUNDDOWN(I255/F255,0)</f>
        <v>12</v>
      </c>
      <c r="L255" s="8" t="str">
        <f>IF(J255&gt;0.97,"Sold Out",IF(J255&gt;=0.85,"Critical",IF(J255&gt;=0.7,"Constrained","Healthy")))</f>
        <v>Healthy</v>
      </c>
      <c r="M255" s="8" t="s">
        <v>153</v>
      </c>
      <c r="N255" s="8" t="str">
        <f>IF(M255="None","No","Yes")</f>
        <v>No</v>
      </c>
      <c r="O255" s="9">
        <v>46280</v>
      </c>
    </row>
    <row r="256" spans="1:15">
      <c r="A256" s="1" t="s">
        <v>442</v>
      </c>
      <c r="B256" s="1" t="s">
        <v>429</v>
      </c>
      <c r="C256" s="1" t="s">
        <v>196</v>
      </c>
      <c r="D256" s="1" t="s">
        <v>159</v>
      </c>
      <c r="E256" s="1" t="s">
        <v>160</v>
      </c>
      <c r="F256" s="6">
        <v>16</v>
      </c>
      <c r="G256" s="6">
        <v>5600</v>
      </c>
      <c r="H256" s="6">
        <v>2624</v>
      </c>
      <c r="I256" s="6">
        <f>G256-H256</f>
        <v>2976</v>
      </c>
      <c r="J256" s="7">
        <f>IF(G256=0,0,H256/G256)</f>
        <v>0.46857142857142858</v>
      </c>
      <c r="K256" s="6">
        <f>ROUNDDOWN(I256/F256,0)</f>
        <v>186</v>
      </c>
      <c r="L256" s="8" t="str">
        <f>IF(J256&gt;0.97,"Sold Out",IF(J256&gt;=0.85,"Critical",IF(J256&gt;=0.7,"Constrained","Healthy")))</f>
        <v>Healthy</v>
      </c>
      <c r="M256" s="8" t="s">
        <v>153</v>
      </c>
      <c r="N256" s="8" t="str">
        <f>IF(M256="None","No","Yes")</f>
        <v>No</v>
      </c>
      <c r="O256" s="9">
        <v>46280</v>
      </c>
    </row>
    <row r="257" spans="1:15">
      <c r="A257" s="1" t="s">
        <v>443</v>
      </c>
      <c r="B257" s="1" t="s">
        <v>429</v>
      </c>
      <c r="C257" s="1" t="s">
        <v>196</v>
      </c>
      <c r="D257" s="1" t="s">
        <v>162</v>
      </c>
      <c r="E257" s="1" t="s">
        <v>163</v>
      </c>
      <c r="F257" s="6">
        <v>32</v>
      </c>
      <c r="G257" s="6">
        <v>11584</v>
      </c>
      <c r="H257" s="6">
        <v>4800</v>
      </c>
      <c r="I257" s="6">
        <f>G257-H257</f>
        <v>6784</v>
      </c>
      <c r="J257" s="7">
        <f>IF(G257=0,0,H257/G257)</f>
        <v>0.4143646408839779</v>
      </c>
      <c r="K257" s="6">
        <f>ROUNDDOWN(I257/F257,0)</f>
        <v>212</v>
      </c>
      <c r="L257" s="8" t="str">
        <f>IF(J257&gt;0.97,"Sold Out",IF(J257&gt;=0.85,"Critical",IF(J257&gt;=0.7,"Constrained","Healthy")))</f>
        <v>Healthy</v>
      </c>
      <c r="M257" s="8" t="s">
        <v>153</v>
      </c>
      <c r="N257" s="8" t="str">
        <f>IF(M257="None","No","Yes")</f>
        <v>No</v>
      </c>
      <c r="O257" s="9">
        <v>46280</v>
      </c>
    </row>
    <row r="258" spans="1:15">
      <c r="A258" s="1" t="s">
        <v>444</v>
      </c>
      <c r="B258" s="1" t="s">
        <v>429</v>
      </c>
      <c r="C258" s="1" t="s">
        <v>196</v>
      </c>
      <c r="D258" s="1" t="s">
        <v>165</v>
      </c>
      <c r="E258" s="1" t="s">
        <v>163</v>
      </c>
      <c r="F258" s="6">
        <v>64</v>
      </c>
      <c r="G258" s="6">
        <v>5568</v>
      </c>
      <c r="H258" s="6">
        <v>3584</v>
      </c>
      <c r="I258" s="6">
        <f>G258-H258</f>
        <v>1984</v>
      </c>
      <c r="J258" s="7">
        <f>IF(G258=0,0,H258/G258)</f>
        <v>0.64367816091954022</v>
      </c>
      <c r="K258" s="6">
        <f>ROUNDDOWN(I258/F258,0)</f>
        <v>31</v>
      </c>
      <c r="L258" s="8" t="str">
        <f>IF(J258&gt;0.97,"Sold Out",IF(J258&gt;=0.85,"Critical",IF(J258&gt;=0.7,"Constrained","Healthy")))</f>
        <v>Healthy</v>
      </c>
      <c r="M258" s="8" t="s">
        <v>153</v>
      </c>
      <c r="N258" s="8" t="str">
        <f>IF(M258="None","No","Yes")</f>
        <v>No</v>
      </c>
      <c r="O258" s="9">
        <v>46280</v>
      </c>
    </row>
    <row r="259" spans="1:15">
      <c r="A259" s="1" t="s">
        <v>445</v>
      </c>
      <c r="B259" s="1" t="s">
        <v>429</v>
      </c>
      <c r="C259" s="1" t="s">
        <v>196</v>
      </c>
      <c r="D259" s="1" t="s">
        <v>168</v>
      </c>
      <c r="E259" s="1" t="s">
        <v>169</v>
      </c>
      <c r="F259" s="6">
        <v>32</v>
      </c>
      <c r="G259" s="6">
        <v>12416</v>
      </c>
      <c r="H259" s="6">
        <v>7680</v>
      </c>
      <c r="I259" s="6">
        <f>G259-H259</f>
        <v>4736</v>
      </c>
      <c r="J259" s="7">
        <f>IF(G259=0,0,H259/G259)</f>
        <v>0.61855670103092786</v>
      </c>
      <c r="K259" s="6">
        <f>ROUNDDOWN(I259/F259,0)</f>
        <v>148</v>
      </c>
      <c r="L259" s="8" t="str">
        <f>IF(J259&gt;0.97,"Sold Out",IF(J259&gt;=0.85,"Critical",IF(J259&gt;=0.7,"Constrained","Healthy")))</f>
        <v>Healthy</v>
      </c>
      <c r="M259" s="8" t="s">
        <v>153</v>
      </c>
      <c r="N259" s="8" t="str">
        <f>IF(M259="None","No","Yes")</f>
        <v>No</v>
      </c>
      <c r="O259" s="9">
        <v>46280</v>
      </c>
    </row>
    <row r="260" spans="1:15">
      <c r="A260" s="1" t="s">
        <v>446</v>
      </c>
      <c r="B260" s="1" t="s">
        <v>429</v>
      </c>
      <c r="C260" s="1" t="s">
        <v>196</v>
      </c>
      <c r="D260" s="1" t="s">
        <v>174</v>
      </c>
      <c r="E260" s="1" t="s">
        <v>175</v>
      </c>
      <c r="F260" s="6">
        <v>128</v>
      </c>
      <c r="G260" s="6">
        <v>768</v>
      </c>
      <c r="H260" s="6">
        <v>384</v>
      </c>
      <c r="I260" s="6">
        <f>G260-H260</f>
        <v>384</v>
      </c>
      <c r="J260" s="7">
        <f>IF(G260=0,0,H260/G260)</f>
        <v>0.5</v>
      </c>
      <c r="K260" s="6">
        <f>ROUNDDOWN(I260/F260,0)</f>
        <v>3</v>
      </c>
      <c r="L260" s="8" t="str">
        <f>IF(J260&gt;0.97,"Sold Out",IF(J260&gt;=0.85,"Critical",IF(J260&gt;=0.7,"Constrained","Healthy")))</f>
        <v>Healthy</v>
      </c>
      <c r="M260" s="8" t="s">
        <v>153</v>
      </c>
      <c r="N260" s="8" t="str">
        <f>IF(M260="None","No","Yes")</f>
        <v>No</v>
      </c>
      <c r="O260" s="9">
        <v>46280</v>
      </c>
    </row>
    <row r="261" spans="1:15">
      <c r="A261" s="1" t="s">
        <v>447</v>
      </c>
      <c r="B261" s="1" t="s">
        <v>429</v>
      </c>
      <c r="C261" s="1" t="s">
        <v>212</v>
      </c>
      <c r="D261" s="1" t="s">
        <v>152</v>
      </c>
      <c r="E261" s="1" t="s">
        <v>149</v>
      </c>
      <c r="F261" s="6">
        <v>16</v>
      </c>
      <c r="G261" s="6">
        <v>5936</v>
      </c>
      <c r="H261" s="6">
        <v>3776</v>
      </c>
      <c r="I261" s="6">
        <f>G261-H261</f>
        <v>2160</v>
      </c>
      <c r="J261" s="7">
        <f>IF(G261=0,0,H261/G261)</f>
        <v>0.63611859838274931</v>
      </c>
      <c r="K261" s="6">
        <f>ROUNDDOWN(I261/F261,0)</f>
        <v>135</v>
      </c>
      <c r="L261" s="8" t="str">
        <f>IF(J261&gt;0.97,"Sold Out",IF(J261&gt;=0.85,"Critical",IF(J261&gt;=0.7,"Constrained","Healthy")))</f>
        <v>Healthy</v>
      </c>
      <c r="M261" s="8" t="s">
        <v>153</v>
      </c>
      <c r="N261" s="8" t="str">
        <f>IF(M261="None","No","Yes")</f>
        <v>No</v>
      </c>
      <c r="O261" s="9">
        <v>46280</v>
      </c>
    </row>
    <row r="262" spans="1:15">
      <c r="A262" s="1" t="s">
        <v>448</v>
      </c>
      <c r="B262" s="1" t="s">
        <v>429</v>
      </c>
      <c r="C262" s="1" t="s">
        <v>212</v>
      </c>
      <c r="D262" s="1" t="s">
        <v>155</v>
      </c>
      <c r="E262" s="1" t="s">
        <v>149</v>
      </c>
      <c r="F262" s="6">
        <v>32</v>
      </c>
      <c r="G262" s="6">
        <v>6784</v>
      </c>
      <c r="H262" s="6">
        <v>3392</v>
      </c>
      <c r="I262" s="6">
        <f>G262-H262</f>
        <v>3392</v>
      </c>
      <c r="J262" s="7">
        <f>IF(G262=0,0,H262/G262)</f>
        <v>0.5</v>
      </c>
      <c r="K262" s="6">
        <f>ROUNDDOWN(I262/F262,0)</f>
        <v>106</v>
      </c>
      <c r="L262" s="8" t="str">
        <f>IF(J262&gt;0.97,"Sold Out",IF(J262&gt;=0.85,"Critical",IF(J262&gt;=0.7,"Constrained","Healthy")))</f>
        <v>Healthy</v>
      </c>
      <c r="M262" s="8" t="s">
        <v>153</v>
      </c>
      <c r="N262" s="8" t="str">
        <f>IF(M262="None","No","Yes")</f>
        <v>No</v>
      </c>
      <c r="O262" s="9">
        <v>46280</v>
      </c>
    </row>
    <row r="263" spans="1:15">
      <c r="A263" s="1" t="s">
        <v>449</v>
      </c>
      <c r="B263" s="1" t="s">
        <v>429</v>
      </c>
      <c r="C263" s="1" t="s">
        <v>212</v>
      </c>
      <c r="D263" s="1" t="s">
        <v>165</v>
      </c>
      <c r="E263" s="1" t="s">
        <v>163</v>
      </c>
      <c r="F263" s="6">
        <v>64</v>
      </c>
      <c r="G263" s="6">
        <v>5696</v>
      </c>
      <c r="H263" s="6">
        <v>2304</v>
      </c>
      <c r="I263" s="6">
        <f>G263-H263</f>
        <v>3392</v>
      </c>
      <c r="J263" s="7">
        <f>IF(G263=0,0,H263/G263)</f>
        <v>0.4044943820224719</v>
      </c>
      <c r="K263" s="6">
        <f>ROUNDDOWN(I263/F263,0)</f>
        <v>53</v>
      </c>
      <c r="L263" s="8" t="str">
        <f>IF(J263&gt;0.97,"Sold Out",IF(J263&gt;=0.85,"Critical",IF(J263&gt;=0.7,"Constrained","Healthy")))</f>
        <v>Healthy</v>
      </c>
      <c r="M263" s="8" t="s">
        <v>153</v>
      </c>
      <c r="N263" s="8" t="str">
        <f>IF(M263="None","No","Yes")</f>
        <v>No</v>
      </c>
      <c r="O263" s="9">
        <v>46280</v>
      </c>
    </row>
    <row r="264" spans="1:15">
      <c r="A264" s="1" t="s">
        <v>450</v>
      </c>
      <c r="B264" s="1" t="s">
        <v>451</v>
      </c>
      <c r="C264" s="1" t="s">
        <v>147</v>
      </c>
      <c r="D264" s="1" t="s">
        <v>148</v>
      </c>
      <c r="E264" s="1" t="s">
        <v>149</v>
      </c>
      <c r="F264" s="6">
        <v>8</v>
      </c>
      <c r="G264" s="6">
        <v>720</v>
      </c>
      <c r="H264" s="6">
        <v>392</v>
      </c>
      <c r="I264" s="6">
        <f>G264-H264</f>
        <v>328</v>
      </c>
      <c r="J264" s="7">
        <f>IF(G264=0,0,H264/G264)</f>
        <v>0.5444444444444444</v>
      </c>
      <c r="K264" s="6">
        <f>ROUNDDOWN(I264/F264,0)</f>
        <v>41</v>
      </c>
      <c r="L264" s="8" t="str">
        <f>IF(J264&gt;0.97,"Sold Out",IF(J264&gt;=0.85,"Critical",IF(J264&gt;=0.7,"Constrained","Healthy")))</f>
        <v>Healthy</v>
      </c>
      <c r="M264" s="8" t="s">
        <v>153</v>
      </c>
      <c r="N264" s="8" t="str">
        <f>IF(M264="None","No","Yes")</f>
        <v>No</v>
      </c>
      <c r="O264" s="9">
        <v>46280</v>
      </c>
    </row>
    <row r="265" spans="1:15">
      <c r="A265" s="1" t="s">
        <v>452</v>
      </c>
      <c r="B265" s="1" t="s">
        <v>451</v>
      </c>
      <c r="C265" s="1" t="s">
        <v>147</v>
      </c>
      <c r="D265" s="1" t="s">
        <v>152</v>
      </c>
      <c r="E265" s="1" t="s">
        <v>149</v>
      </c>
      <c r="F265" s="6">
        <v>16</v>
      </c>
      <c r="G265" s="6">
        <v>2592</v>
      </c>
      <c r="H265" s="6">
        <v>1280</v>
      </c>
      <c r="I265" s="6">
        <f>G265-H265</f>
        <v>1312</v>
      </c>
      <c r="J265" s="7">
        <f>IF(G265=0,0,H265/G265)</f>
        <v>0.49382716049382713</v>
      </c>
      <c r="K265" s="6">
        <f>ROUNDDOWN(I265/F265,0)</f>
        <v>82</v>
      </c>
      <c r="L265" s="8" t="str">
        <f>IF(J265&gt;0.97,"Sold Out",IF(J265&gt;=0.85,"Critical",IF(J265&gt;=0.7,"Constrained","Healthy")))</f>
        <v>Healthy</v>
      </c>
      <c r="M265" s="8" t="s">
        <v>153</v>
      </c>
      <c r="N265" s="8" t="str">
        <f>IF(M265="None","No","Yes")</f>
        <v>No</v>
      </c>
      <c r="O265" s="9">
        <v>46280</v>
      </c>
    </row>
    <row r="266" spans="1:15">
      <c r="A266" s="1" t="s">
        <v>453</v>
      </c>
      <c r="B266" s="1" t="s">
        <v>451</v>
      </c>
      <c r="C266" s="1" t="s">
        <v>147</v>
      </c>
      <c r="D266" s="1" t="s">
        <v>155</v>
      </c>
      <c r="E266" s="1" t="s">
        <v>149</v>
      </c>
      <c r="F266" s="6">
        <v>32</v>
      </c>
      <c r="G266" s="6">
        <v>3296</v>
      </c>
      <c r="H266" s="6">
        <v>1600</v>
      </c>
      <c r="I266" s="6">
        <f>G266-H266</f>
        <v>1696</v>
      </c>
      <c r="J266" s="7">
        <f>IF(G266=0,0,H266/G266)</f>
        <v>0.4854368932038835</v>
      </c>
      <c r="K266" s="6">
        <f>ROUNDDOWN(I266/F266,0)</f>
        <v>53</v>
      </c>
      <c r="L266" s="8" t="str">
        <f>IF(J266&gt;0.97,"Sold Out",IF(J266&gt;=0.85,"Critical",IF(J266&gt;=0.7,"Constrained","Healthy")))</f>
        <v>Healthy</v>
      </c>
      <c r="M266" s="8" t="s">
        <v>153</v>
      </c>
      <c r="N266" s="8" t="str">
        <f>IF(M266="None","No","Yes")</f>
        <v>No</v>
      </c>
      <c r="O266" s="9">
        <v>46280</v>
      </c>
    </row>
    <row r="267" spans="1:15">
      <c r="A267" s="1" t="s">
        <v>454</v>
      </c>
      <c r="B267" s="1" t="s">
        <v>451</v>
      </c>
      <c r="C267" s="1" t="s">
        <v>147</v>
      </c>
      <c r="D267" s="1" t="s">
        <v>157</v>
      </c>
      <c r="E267" s="1" t="s">
        <v>149</v>
      </c>
      <c r="F267" s="6">
        <v>64</v>
      </c>
      <c r="G267" s="6">
        <v>1920</v>
      </c>
      <c r="H267" s="6">
        <v>1216</v>
      </c>
      <c r="I267" s="6">
        <f>G267-H267</f>
        <v>704</v>
      </c>
      <c r="J267" s="7">
        <f>IF(G267=0,0,H267/G267)</f>
        <v>0.6333333333333333</v>
      </c>
      <c r="K267" s="6">
        <f>ROUNDDOWN(I267/F267,0)</f>
        <v>11</v>
      </c>
      <c r="L267" s="8" t="str">
        <f>IF(J267&gt;0.97,"Sold Out",IF(J267&gt;=0.85,"Critical",IF(J267&gt;=0.7,"Constrained","Healthy")))</f>
        <v>Healthy</v>
      </c>
      <c r="M267" s="8" t="s">
        <v>153</v>
      </c>
      <c r="N267" s="8" t="str">
        <f>IF(M267="None","No","Yes")</f>
        <v>No</v>
      </c>
      <c r="O267" s="9">
        <v>46280</v>
      </c>
    </row>
    <row r="268" spans="1:15">
      <c r="A268" s="1" t="s">
        <v>455</v>
      </c>
      <c r="B268" s="1" t="s">
        <v>451</v>
      </c>
      <c r="C268" s="1" t="s">
        <v>147</v>
      </c>
      <c r="D268" s="1" t="s">
        <v>159</v>
      </c>
      <c r="E268" s="1" t="s">
        <v>160</v>
      </c>
      <c r="F268" s="6">
        <v>16</v>
      </c>
      <c r="G268" s="6">
        <v>2672</v>
      </c>
      <c r="H268" s="6">
        <v>1536</v>
      </c>
      <c r="I268" s="6">
        <f>G268-H268</f>
        <v>1136</v>
      </c>
      <c r="J268" s="7">
        <f>IF(G268=0,0,H268/G268)</f>
        <v>0.57485029940119758</v>
      </c>
      <c r="K268" s="6">
        <f>ROUNDDOWN(I268/F268,0)</f>
        <v>71</v>
      </c>
      <c r="L268" s="8" t="str">
        <f>IF(J268&gt;0.97,"Sold Out",IF(J268&gt;=0.85,"Critical",IF(J268&gt;=0.7,"Constrained","Healthy")))</f>
        <v>Healthy</v>
      </c>
      <c r="M268" s="8" t="s">
        <v>153</v>
      </c>
      <c r="N268" s="8" t="str">
        <f>IF(M268="None","No","Yes")</f>
        <v>No</v>
      </c>
      <c r="O268" s="9">
        <v>46280</v>
      </c>
    </row>
    <row r="269" spans="1:15">
      <c r="A269" s="1" t="s">
        <v>456</v>
      </c>
      <c r="B269" s="1" t="s">
        <v>451</v>
      </c>
      <c r="C269" s="1" t="s">
        <v>147</v>
      </c>
      <c r="D269" s="1" t="s">
        <v>162</v>
      </c>
      <c r="E269" s="1" t="s">
        <v>163</v>
      </c>
      <c r="F269" s="6">
        <v>32</v>
      </c>
      <c r="G269" s="6">
        <v>5440</v>
      </c>
      <c r="H269" s="6">
        <v>3424</v>
      </c>
      <c r="I269" s="6">
        <f>G269-H269</f>
        <v>2016</v>
      </c>
      <c r="J269" s="7">
        <f>IF(G269=0,0,H269/G269)</f>
        <v>0.62941176470588234</v>
      </c>
      <c r="K269" s="6">
        <f>ROUNDDOWN(I269/F269,0)</f>
        <v>63</v>
      </c>
      <c r="L269" s="8" t="str">
        <f>IF(J269&gt;0.97,"Sold Out",IF(J269&gt;=0.85,"Critical",IF(J269&gt;=0.7,"Constrained","Healthy")))</f>
        <v>Healthy</v>
      </c>
      <c r="M269" s="8" t="s">
        <v>153</v>
      </c>
      <c r="N269" s="8" t="str">
        <f>IF(M269="None","No","Yes")</f>
        <v>No</v>
      </c>
      <c r="O269" s="9">
        <v>46280</v>
      </c>
    </row>
    <row r="270" spans="1:15">
      <c r="A270" s="1" t="s">
        <v>457</v>
      </c>
      <c r="B270" s="1" t="s">
        <v>451</v>
      </c>
      <c r="C270" s="1" t="s">
        <v>147</v>
      </c>
      <c r="D270" s="1" t="s">
        <v>165</v>
      </c>
      <c r="E270" s="1" t="s">
        <v>163</v>
      </c>
      <c r="F270" s="6">
        <v>64</v>
      </c>
      <c r="G270" s="6">
        <v>3200</v>
      </c>
      <c r="H270" s="6">
        <v>1984</v>
      </c>
      <c r="I270" s="6">
        <f>G270-H270</f>
        <v>1216</v>
      </c>
      <c r="J270" s="7">
        <f>IF(G270=0,0,H270/G270)</f>
        <v>0.62</v>
      </c>
      <c r="K270" s="6">
        <f>ROUNDDOWN(I270/F270,0)</f>
        <v>19</v>
      </c>
      <c r="L270" s="8" t="str">
        <f>IF(J270&gt;0.97,"Sold Out",IF(J270&gt;=0.85,"Critical",IF(J270&gt;=0.7,"Constrained","Healthy")))</f>
        <v>Healthy</v>
      </c>
      <c r="M270" s="8" t="s">
        <v>153</v>
      </c>
      <c r="N270" s="8" t="str">
        <f>IF(M270="None","No","Yes")</f>
        <v>No</v>
      </c>
      <c r="O270" s="9">
        <v>46280</v>
      </c>
    </row>
    <row r="271" spans="1:15">
      <c r="A271" s="1" t="s">
        <v>458</v>
      </c>
      <c r="B271" s="1" t="s">
        <v>451</v>
      </c>
      <c r="C271" s="1" t="s">
        <v>147</v>
      </c>
      <c r="D271" s="1" t="s">
        <v>168</v>
      </c>
      <c r="E271" s="1" t="s">
        <v>169</v>
      </c>
      <c r="F271" s="6">
        <v>32</v>
      </c>
      <c r="G271" s="6">
        <v>3680</v>
      </c>
      <c r="H271" s="6">
        <v>1248</v>
      </c>
      <c r="I271" s="6">
        <f>G271-H271</f>
        <v>2432</v>
      </c>
      <c r="J271" s="7">
        <f>IF(G271=0,0,H271/G271)</f>
        <v>0.33913043478260868</v>
      </c>
      <c r="K271" s="6">
        <f>ROUNDDOWN(I271/F271,0)</f>
        <v>76</v>
      </c>
      <c r="L271" s="8" t="str">
        <f>IF(J271&gt;0.97,"Sold Out",IF(J271&gt;=0.85,"Critical",IF(J271&gt;=0.7,"Constrained","Healthy")))</f>
        <v>Healthy</v>
      </c>
      <c r="M271" s="8" t="s">
        <v>153</v>
      </c>
      <c r="N271" s="8" t="str">
        <f>IF(M271="None","No","Yes")</f>
        <v>No</v>
      </c>
      <c r="O271" s="9">
        <v>46280</v>
      </c>
    </row>
    <row r="272" spans="1:15">
      <c r="A272" s="1" t="s">
        <v>459</v>
      </c>
      <c r="B272" s="1" t="s">
        <v>451</v>
      </c>
      <c r="C272" s="1" t="s">
        <v>147</v>
      </c>
      <c r="D272" s="1" t="s">
        <v>171</v>
      </c>
      <c r="E272" s="1" t="s">
        <v>172</v>
      </c>
      <c r="F272" s="6">
        <v>16</v>
      </c>
      <c r="G272" s="6">
        <v>6320</v>
      </c>
      <c r="H272" s="6">
        <v>2128</v>
      </c>
      <c r="I272" s="6">
        <f>G272-H272</f>
        <v>4192</v>
      </c>
      <c r="J272" s="7">
        <f>IF(G272=0,0,H272/G272)</f>
        <v>0.33670886075949369</v>
      </c>
      <c r="K272" s="6">
        <f>ROUNDDOWN(I272/F272,0)</f>
        <v>262</v>
      </c>
      <c r="L272" s="8" t="str">
        <f>IF(J272&gt;0.97,"Sold Out",IF(J272&gt;=0.85,"Critical",IF(J272&gt;=0.7,"Constrained","Healthy")))</f>
        <v>Healthy</v>
      </c>
      <c r="M272" s="8" t="s">
        <v>153</v>
      </c>
      <c r="N272" s="8" t="str">
        <f>IF(M272="None","No","Yes")</f>
        <v>No</v>
      </c>
      <c r="O272" s="9">
        <v>46280</v>
      </c>
    </row>
    <row r="273" spans="1:15">
      <c r="A273" s="1" t="s">
        <v>460</v>
      </c>
      <c r="B273" s="1" t="s">
        <v>451</v>
      </c>
      <c r="C273" s="1" t="s">
        <v>147</v>
      </c>
      <c r="D273" s="1" t="s">
        <v>177</v>
      </c>
      <c r="E273" s="1" t="s">
        <v>178</v>
      </c>
      <c r="F273" s="6">
        <v>16</v>
      </c>
      <c r="G273" s="6">
        <v>3456</v>
      </c>
      <c r="H273" s="6">
        <v>1232</v>
      </c>
      <c r="I273" s="6">
        <f>G273-H273</f>
        <v>2224</v>
      </c>
      <c r="J273" s="7">
        <f>IF(G273=0,0,H273/G273)</f>
        <v>0.35648148148148145</v>
      </c>
      <c r="K273" s="6">
        <f>ROUNDDOWN(I273/F273,0)</f>
        <v>139</v>
      </c>
      <c r="L273" s="8" t="str">
        <f>IF(J273&gt;0.97,"Sold Out",IF(J273&gt;=0.85,"Critical",IF(J273&gt;=0.7,"Constrained","Healthy")))</f>
        <v>Healthy</v>
      </c>
      <c r="M273" s="8" t="s">
        <v>153</v>
      </c>
      <c r="N273" s="8" t="str">
        <f>IF(M273="None","No","Yes")</f>
        <v>No</v>
      </c>
      <c r="O273" s="9">
        <v>46280</v>
      </c>
    </row>
    <row r="274" spans="1:15">
      <c r="A274" s="1" t="s">
        <v>461</v>
      </c>
      <c r="B274" s="1" t="s">
        <v>451</v>
      </c>
      <c r="C274" s="1" t="s">
        <v>147</v>
      </c>
      <c r="D274" s="1" t="s">
        <v>180</v>
      </c>
      <c r="E274" s="1" t="s">
        <v>181</v>
      </c>
      <c r="F274" s="6">
        <v>32</v>
      </c>
      <c r="G274" s="6">
        <v>12096</v>
      </c>
      <c r="H274" s="6">
        <v>4864</v>
      </c>
      <c r="I274" s="6">
        <f>G274-H274</f>
        <v>7232</v>
      </c>
      <c r="J274" s="7">
        <f>IF(G274=0,0,H274/G274)</f>
        <v>0.40211640211640209</v>
      </c>
      <c r="K274" s="6">
        <f>ROUNDDOWN(I274/F274,0)</f>
        <v>226</v>
      </c>
      <c r="L274" s="8" t="str">
        <f>IF(J274&gt;0.97,"Sold Out",IF(J274&gt;=0.85,"Critical",IF(J274&gt;=0.7,"Constrained","Healthy")))</f>
        <v>Healthy</v>
      </c>
      <c r="M274" s="8" t="s">
        <v>153</v>
      </c>
      <c r="N274" s="8" t="str">
        <f>IF(M274="None","No","Yes")</f>
        <v>No</v>
      </c>
      <c r="O274" s="9">
        <v>46280</v>
      </c>
    </row>
    <row r="275" spans="1:15">
      <c r="A275" s="1" t="s">
        <v>462</v>
      </c>
      <c r="B275" s="1" t="s">
        <v>451</v>
      </c>
      <c r="C275" s="1" t="s">
        <v>196</v>
      </c>
      <c r="D275" s="1" t="s">
        <v>148</v>
      </c>
      <c r="E275" s="1" t="s">
        <v>149</v>
      </c>
      <c r="F275" s="6">
        <v>8</v>
      </c>
      <c r="G275" s="6">
        <v>664</v>
      </c>
      <c r="H275" s="6">
        <v>424</v>
      </c>
      <c r="I275" s="6">
        <f>G275-H275</f>
        <v>240</v>
      </c>
      <c r="J275" s="7">
        <f>IF(G275=0,0,H275/G275)</f>
        <v>0.63855421686746983</v>
      </c>
      <c r="K275" s="6">
        <f>ROUNDDOWN(I275/F275,0)</f>
        <v>30</v>
      </c>
      <c r="L275" s="8" t="str">
        <f>IF(J275&gt;0.97,"Sold Out",IF(J275&gt;=0.85,"Critical",IF(J275&gt;=0.7,"Constrained","Healthy")))</f>
        <v>Healthy</v>
      </c>
      <c r="M275" s="8" t="s">
        <v>153</v>
      </c>
      <c r="N275" s="8" t="str">
        <f>IF(M275="None","No","Yes")</f>
        <v>No</v>
      </c>
      <c r="O275" s="9">
        <v>46280</v>
      </c>
    </row>
    <row r="276" spans="1:15">
      <c r="A276" s="1" t="s">
        <v>463</v>
      </c>
      <c r="B276" s="1" t="s">
        <v>451</v>
      </c>
      <c r="C276" s="1" t="s">
        <v>196</v>
      </c>
      <c r="D276" s="1" t="s">
        <v>152</v>
      </c>
      <c r="E276" s="1" t="s">
        <v>149</v>
      </c>
      <c r="F276" s="6">
        <v>16</v>
      </c>
      <c r="G276" s="6">
        <v>4528</v>
      </c>
      <c r="H276" s="6">
        <v>1904</v>
      </c>
      <c r="I276" s="6">
        <f>G276-H276</f>
        <v>2624</v>
      </c>
      <c r="J276" s="7">
        <f>IF(G276=0,0,H276/G276)</f>
        <v>0.4204946996466431</v>
      </c>
      <c r="K276" s="6">
        <f>ROUNDDOWN(I276/F276,0)</f>
        <v>164</v>
      </c>
      <c r="L276" s="8" t="str">
        <f>IF(J276&gt;0.97,"Sold Out",IF(J276&gt;=0.85,"Critical",IF(J276&gt;=0.7,"Constrained","Healthy")))</f>
        <v>Healthy</v>
      </c>
      <c r="M276" s="8" t="s">
        <v>153</v>
      </c>
      <c r="N276" s="8" t="str">
        <f>IF(M276="None","No","Yes")</f>
        <v>No</v>
      </c>
      <c r="O276" s="9">
        <v>46280</v>
      </c>
    </row>
    <row r="277" spans="1:15">
      <c r="A277" s="1" t="s">
        <v>464</v>
      </c>
      <c r="B277" s="1" t="s">
        <v>451</v>
      </c>
      <c r="C277" s="1" t="s">
        <v>196</v>
      </c>
      <c r="D277" s="1" t="s">
        <v>155</v>
      </c>
      <c r="E277" s="1" t="s">
        <v>149</v>
      </c>
      <c r="F277" s="6">
        <v>32</v>
      </c>
      <c r="G277" s="6">
        <v>3424</v>
      </c>
      <c r="H277" s="6">
        <v>2208</v>
      </c>
      <c r="I277" s="6">
        <f>G277-H277</f>
        <v>1216</v>
      </c>
      <c r="J277" s="7">
        <f>IF(G277=0,0,H277/G277)</f>
        <v>0.64485981308411211</v>
      </c>
      <c r="K277" s="6">
        <f>ROUNDDOWN(I277/F277,0)</f>
        <v>38</v>
      </c>
      <c r="L277" s="8" t="str">
        <f>IF(J277&gt;0.97,"Sold Out",IF(J277&gt;=0.85,"Critical",IF(J277&gt;=0.7,"Constrained","Healthy")))</f>
        <v>Healthy</v>
      </c>
      <c r="M277" s="8" t="s">
        <v>153</v>
      </c>
      <c r="N277" s="8" t="str">
        <f>IF(M277="None","No","Yes")</f>
        <v>No</v>
      </c>
      <c r="O277" s="9">
        <v>46280</v>
      </c>
    </row>
    <row r="278" spans="1:15">
      <c r="A278" s="1" t="s">
        <v>465</v>
      </c>
      <c r="B278" s="1" t="s">
        <v>451</v>
      </c>
      <c r="C278" s="1" t="s">
        <v>196</v>
      </c>
      <c r="D278" s="1" t="s">
        <v>157</v>
      </c>
      <c r="E278" s="1" t="s">
        <v>149</v>
      </c>
      <c r="F278" s="6">
        <v>64</v>
      </c>
      <c r="G278" s="6">
        <v>3328</v>
      </c>
      <c r="H278" s="6">
        <v>1664</v>
      </c>
      <c r="I278" s="6">
        <f>G278-H278</f>
        <v>1664</v>
      </c>
      <c r="J278" s="7">
        <f>IF(G278=0,0,H278/G278)</f>
        <v>0.5</v>
      </c>
      <c r="K278" s="6">
        <f>ROUNDDOWN(I278/F278,0)</f>
        <v>26</v>
      </c>
      <c r="L278" s="8" t="str">
        <f>IF(J278&gt;0.97,"Sold Out",IF(J278&gt;=0.85,"Critical",IF(J278&gt;=0.7,"Constrained","Healthy")))</f>
        <v>Healthy</v>
      </c>
      <c r="M278" s="8" t="s">
        <v>153</v>
      </c>
      <c r="N278" s="8" t="str">
        <f>IF(M278="None","No","Yes")</f>
        <v>No</v>
      </c>
      <c r="O278" s="9">
        <v>46280</v>
      </c>
    </row>
    <row r="279" spans="1:15">
      <c r="A279" s="1" t="s">
        <v>466</v>
      </c>
      <c r="B279" s="1" t="s">
        <v>451</v>
      </c>
      <c r="C279" s="1" t="s">
        <v>196</v>
      </c>
      <c r="D279" s="1" t="s">
        <v>159</v>
      </c>
      <c r="E279" s="1" t="s">
        <v>160</v>
      </c>
      <c r="F279" s="6">
        <v>16</v>
      </c>
      <c r="G279" s="6">
        <v>4336</v>
      </c>
      <c r="H279" s="6">
        <v>2080</v>
      </c>
      <c r="I279" s="6">
        <f>G279-H279</f>
        <v>2256</v>
      </c>
      <c r="J279" s="7">
        <f>IF(G279=0,0,H279/G279)</f>
        <v>0.47970479704797048</v>
      </c>
      <c r="K279" s="6">
        <f>ROUNDDOWN(I279/F279,0)</f>
        <v>141</v>
      </c>
      <c r="L279" s="8" t="str">
        <f>IF(J279&gt;0.97,"Sold Out",IF(J279&gt;=0.85,"Critical",IF(J279&gt;=0.7,"Constrained","Healthy")))</f>
        <v>Healthy</v>
      </c>
      <c r="M279" s="8" t="s">
        <v>153</v>
      </c>
      <c r="N279" s="8" t="str">
        <f>IF(M279="None","No","Yes")</f>
        <v>No</v>
      </c>
      <c r="O279" s="9">
        <v>46280</v>
      </c>
    </row>
    <row r="280" spans="1:15">
      <c r="A280" s="1" t="s">
        <v>467</v>
      </c>
      <c r="B280" s="1" t="s">
        <v>451</v>
      </c>
      <c r="C280" s="1" t="s">
        <v>196</v>
      </c>
      <c r="D280" s="1" t="s">
        <v>162</v>
      </c>
      <c r="E280" s="1" t="s">
        <v>163</v>
      </c>
      <c r="F280" s="6">
        <v>32</v>
      </c>
      <c r="G280" s="6">
        <v>4608</v>
      </c>
      <c r="H280" s="6">
        <v>2560</v>
      </c>
      <c r="I280" s="6">
        <f>G280-H280</f>
        <v>2048</v>
      </c>
      <c r="J280" s="7">
        <f>IF(G280=0,0,H280/G280)</f>
        <v>0.55555555555555558</v>
      </c>
      <c r="K280" s="6">
        <f>ROUNDDOWN(I280/F280,0)</f>
        <v>64</v>
      </c>
      <c r="L280" s="8" t="str">
        <f>IF(J280&gt;0.97,"Sold Out",IF(J280&gt;=0.85,"Critical",IF(J280&gt;=0.7,"Constrained","Healthy")))</f>
        <v>Healthy</v>
      </c>
      <c r="M280" s="8" t="s">
        <v>153</v>
      </c>
      <c r="N280" s="8" t="str">
        <f>IF(M280="None","No","Yes")</f>
        <v>No</v>
      </c>
      <c r="O280" s="9">
        <v>46280</v>
      </c>
    </row>
    <row r="281" spans="1:15">
      <c r="A281" s="1" t="s">
        <v>468</v>
      </c>
      <c r="B281" s="1" t="s">
        <v>451</v>
      </c>
      <c r="C281" s="1" t="s">
        <v>196</v>
      </c>
      <c r="D281" s="1" t="s">
        <v>165</v>
      </c>
      <c r="E281" s="1" t="s">
        <v>163</v>
      </c>
      <c r="F281" s="6">
        <v>64</v>
      </c>
      <c r="G281" s="6">
        <v>3968</v>
      </c>
      <c r="H281" s="6">
        <v>2368</v>
      </c>
      <c r="I281" s="6">
        <f>G281-H281</f>
        <v>1600</v>
      </c>
      <c r="J281" s="7">
        <f>IF(G281=0,0,H281/G281)</f>
        <v>0.59677419354838712</v>
      </c>
      <c r="K281" s="6">
        <f>ROUNDDOWN(I281/F281,0)</f>
        <v>25</v>
      </c>
      <c r="L281" s="8" t="str">
        <f>IF(J281&gt;0.97,"Sold Out",IF(J281&gt;=0.85,"Critical",IF(J281&gt;=0.7,"Constrained","Healthy")))</f>
        <v>Healthy</v>
      </c>
      <c r="M281" s="8" t="s">
        <v>153</v>
      </c>
      <c r="N281" s="8" t="str">
        <f>IF(M281="None","No","Yes")</f>
        <v>No</v>
      </c>
      <c r="O281" s="9">
        <v>46280</v>
      </c>
    </row>
    <row r="282" spans="1:15">
      <c r="A282" s="1" t="s">
        <v>469</v>
      </c>
      <c r="B282" s="1" t="s">
        <v>451</v>
      </c>
      <c r="C282" s="1" t="s">
        <v>196</v>
      </c>
      <c r="D282" s="1" t="s">
        <v>168</v>
      </c>
      <c r="E282" s="1" t="s">
        <v>169</v>
      </c>
      <c r="F282" s="6">
        <v>32</v>
      </c>
      <c r="G282" s="6">
        <v>6016</v>
      </c>
      <c r="H282" s="6">
        <v>2208</v>
      </c>
      <c r="I282" s="6">
        <f>G282-H282</f>
        <v>3808</v>
      </c>
      <c r="J282" s="7">
        <f>IF(G282=0,0,H282/G282)</f>
        <v>0.36702127659574468</v>
      </c>
      <c r="K282" s="6">
        <f>ROUNDDOWN(I282/F282,0)</f>
        <v>119</v>
      </c>
      <c r="L282" s="8" t="str">
        <f>IF(J282&gt;0.97,"Sold Out",IF(J282&gt;=0.85,"Critical",IF(J282&gt;=0.7,"Constrained","Healthy")))</f>
        <v>Healthy</v>
      </c>
      <c r="M282" s="8" t="s">
        <v>153</v>
      </c>
      <c r="N282" s="8" t="str">
        <f>IF(M282="None","No","Yes")</f>
        <v>No</v>
      </c>
      <c r="O282" s="9">
        <v>46280</v>
      </c>
    </row>
    <row r="283" spans="1:15">
      <c r="A283" s="1" t="s">
        <v>470</v>
      </c>
      <c r="B283" s="1" t="s">
        <v>451</v>
      </c>
      <c r="C283" s="1" t="s">
        <v>196</v>
      </c>
      <c r="D283" s="1" t="s">
        <v>177</v>
      </c>
      <c r="E283" s="1" t="s">
        <v>178</v>
      </c>
      <c r="F283" s="6">
        <v>16</v>
      </c>
      <c r="G283" s="6">
        <v>1856</v>
      </c>
      <c r="H283" s="6">
        <v>944</v>
      </c>
      <c r="I283" s="6">
        <f>G283-H283</f>
        <v>912</v>
      </c>
      <c r="J283" s="7">
        <f>IF(G283=0,0,H283/G283)</f>
        <v>0.50862068965517238</v>
      </c>
      <c r="K283" s="6">
        <f>ROUNDDOWN(I283/F283,0)</f>
        <v>57</v>
      </c>
      <c r="L283" s="8" t="str">
        <f>IF(J283&gt;0.97,"Sold Out",IF(J283&gt;=0.85,"Critical",IF(J283&gt;=0.7,"Constrained","Healthy")))</f>
        <v>Healthy</v>
      </c>
      <c r="M283" s="8" t="s">
        <v>153</v>
      </c>
      <c r="N283" s="8" t="str">
        <f>IF(M283="None","No","Yes")</f>
        <v>No</v>
      </c>
      <c r="O283" s="9">
        <v>46280</v>
      </c>
    </row>
    <row r="284" spans="1:15">
      <c r="A284" s="1" t="s">
        <v>471</v>
      </c>
      <c r="B284" s="1" t="s">
        <v>451</v>
      </c>
      <c r="C284" s="1" t="s">
        <v>196</v>
      </c>
      <c r="D284" s="1" t="s">
        <v>180</v>
      </c>
      <c r="E284" s="1" t="s">
        <v>181</v>
      </c>
      <c r="F284" s="6">
        <v>32</v>
      </c>
      <c r="G284" s="6">
        <v>9312</v>
      </c>
      <c r="H284" s="6">
        <v>5056</v>
      </c>
      <c r="I284" s="6">
        <f>G284-H284</f>
        <v>4256</v>
      </c>
      <c r="J284" s="7">
        <f>IF(G284=0,0,H284/G284)</f>
        <v>0.54295532646048106</v>
      </c>
      <c r="K284" s="6">
        <f>ROUNDDOWN(I284/F284,0)</f>
        <v>133</v>
      </c>
      <c r="L284" s="8" t="str">
        <f>IF(J284&gt;0.97,"Sold Out",IF(J284&gt;=0.85,"Critical",IF(J284&gt;=0.7,"Constrained","Healthy")))</f>
        <v>Healthy</v>
      </c>
      <c r="M284" s="8" t="s">
        <v>153</v>
      </c>
      <c r="N284" s="8" t="str">
        <f>IF(M284="None","No","Yes")</f>
        <v>No</v>
      </c>
      <c r="O284" s="9">
        <v>46280</v>
      </c>
    </row>
    <row r="285" spans="1:15">
      <c r="A285" s="1" t="s">
        <v>472</v>
      </c>
      <c r="B285" s="1" t="s">
        <v>451</v>
      </c>
      <c r="C285" s="1" t="s">
        <v>212</v>
      </c>
      <c r="D285" s="1" t="s">
        <v>152</v>
      </c>
      <c r="E285" s="1" t="s">
        <v>149</v>
      </c>
      <c r="F285" s="6">
        <v>16</v>
      </c>
      <c r="G285" s="6">
        <v>1312</v>
      </c>
      <c r="H285" s="6">
        <v>448</v>
      </c>
      <c r="I285" s="6">
        <f>G285-H285</f>
        <v>864</v>
      </c>
      <c r="J285" s="7">
        <f>IF(G285=0,0,H285/G285)</f>
        <v>0.34146341463414637</v>
      </c>
      <c r="K285" s="6">
        <f>ROUNDDOWN(I285/F285,0)</f>
        <v>54</v>
      </c>
      <c r="L285" s="8" t="str">
        <f>IF(J285&gt;0.97,"Sold Out",IF(J285&gt;=0.85,"Critical",IF(J285&gt;=0.7,"Constrained","Healthy")))</f>
        <v>Healthy</v>
      </c>
      <c r="M285" s="8" t="s">
        <v>153</v>
      </c>
      <c r="N285" s="8" t="str">
        <f>IF(M285="None","No","Yes")</f>
        <v>No</v>
      </c>
      <c r="O285" s="9">
        <v>46280</v>
      </c>
    </row>
    <row r="286" spans="1:15">
      <c r="A286" s="1" t="s">
        <v>473</v>
      </c>
      <c r="B286" s="1" t="s">
        <v>451</v>
      </c>
      <c r="C286" s="1" t="s">
        <v>212</v>
      </c>
      <c r="D286" s="1" t="s">
        <v>155</v>
      </c>
      <c r="E286" s="1" t="s">
        <v>149</v>
      </c>
      <c r="F286" s="6">
        <v>32</v>
      </c>
      <c r="G286" s="6">
        <v>3360</v>
      </c>
      <c r="H286" s="6">
        <v>1216</v>
      </c>
      <c r="I286" s="6">
        <f>G286-H286</f>
        <v>2144</v>
      </c>
      <c r="J286" s="7">
        <f>IF(G286=0,0,H286/G286)</f>
        <v>0.3619047619047619</v>
      </c>
      <c r="K286" s="6">
        <f>ROUNDDOWN(I286/F286,0)</f>
        <v>67</v>
      </c>
      <c r="L286" s="8" t="str">
        <f>IF(J286&gt;0.97,"Sold Out",IF(J286&gt;=0.85,"Critical",IF(J286&gt;=0.7,"Constrained","Healthy")))</f>
        <v>Healthy</v>
      </c>
      <c r="M286" s="8" t="s">
        <v>153</v>
      </c>
      <c r="N286" s="8" t="str">
        <f>IF(M286="None","No","Yes")</f>
        <v>No</v>
      </c>
      <c r="O286" s="9">
        <v>46280</v>
      </c>
    </row>
    <row r="287" spans="1:15">
      <c r="A287" s="1" t="s">
        <v>474</v>
      </c>
      <c r="B287" s="1" t="s">
        <v>451</v>
      </c>
      <c r="C287" s="1" t="s">
        <v>212</v>
      </c>
      <c r="D287" s="1" t="s">
        <v>165</v>
      </c>
      <c r="E287" s="1" t="s">
        <v>163</v>
      </c>
      <c r="F287" s="6">
        <v>64</v>
      </c>
      <c r="G287" s="6">
        <v>3648</v>
      </c>
      <c r="H287" s="6">
        <v>2112</v>
      </c>
      <c r="I287" s="6">
        <f>G287-H287</f>
        <v>1536</v>
      </c>
      <c r="J287" s="7">
        <f>IF(G287=0,0,H287/G287)</f>
        <v>0.57894736842105265</v>
      </c>
      <c r="K287" s="6">
        <f>ROUNDDOWN(I287/F287,0)</f>
        <v>24</v>
      </c>
      <c r="L287" s="8" t="str">
        <f>IF(J287&gt;0.97,"Sold Out",IF(J287&gt;=0.85,"Critical",IF(J287&gt;=0.7,"Constrained","Healthy")))</f>
        <v>Healthy</v>
      </c>
      <c r="M287" s="8" t="s">
        <v>153</v>
      </c>
      <c r="N287" s="8" t="str">
        <f>IF(M287="None","No","Yes")</f>
        <v>No</v>
      </c>
      <c r="O287" s="9">
        <v>46280</v>
      </c>
    </row>
    <row r="288" spans="1:15">
      <c r="A288" s="1" t="s">
        <v>475</v>
      </c>
      <c r="B288" s="1" t="s">
        <v>476</v>
      </c>
      <c r="C288" s="1" t="s">
        <v>147</v>
      </c>
      <c r="D288" s="1" t="s">
        <v>148</v>
      </c>
      <c r="E288" s="1" t="s">
        <v>149</v>
      </c>
      <c r="F288" s="6">
        <v>8</v>
      </c>
      <c r="G288" s="6">
        <v>1144</v>
      </c>
      <c r="H288" s="6">
        <v>576</v>
      </c>
      <c r="I288" s="6">
        <f>G288-H288</f>
        <v>568</v>
      </c>
      <c r="J288" s="7">
        <f>IF(G288=0,0,H288/G288)</f>
        <v>0.50349650349650354</v>
      </c>
      <c r="K288" s="6">
        <f>ROUNDDOWN(I288/F288,0)</f>
        <v>71</v>
      </c>
      <c r="L288" s="8" t="str">
        <f>IF(J288&gt;0.97,"Sold Out",IF(J288&gt;=0.85,"Critical",IF(J288&gt;=0.7,"Constrained","Healthy")))</f>
        <v>Healthy</v>
      </c>
      <c r="M288" s="8" t="s">
        <v>153</v>
      </c>
      <c r="N288" s="8" t="str">
        <f>IF(M288="None","No","Yes")</f>
        <v>No</v>
      </c>
      <c r="O288" s="9">
        <v>46280</v>
      </c>
    </row>
    <row r="289" spans="1:15">
      <c r="A289" s="1" t="s">
        <v>477</v>
      </c>
      <c r="B289" s="1" t="s">
        <v>476</v>
      </c>
      <c r="C289" s="1" t="s">
        <v>147</v>
      </c>
      <c r="D289" s="1" t="s">
        <v>152</v>
      </c>
      <c r="E289" s="1" t="s">
        <v>149</v>
      </c>
      <c r="F289" s="6">
        <v>16</v>
      </c>
      <c r="G289" s="6">
        <v>3472</v>
      </c>
      <c r="H289" s="6">
        <v>1968</v>
      </c>
      <c r="I289" s="6">
        <f>G289-H289</f>
        <v>1504</v>
      </c>
      <c r="J289" s="7">
        <f>IF(G289=0,0,H289/G289)</f>
        <v>0.56682027649769584</v>
      </c>
      <c r="K289" s="6">
        <f>ROUNDDOWN(I289/F289,0)</f>
        <v>94</v>
      </c>
      <c r="L289" s="8" t="str">
        <f>IF(J289&gt;0.97,"Sold Out",IF(J289&gt;=0.85,"Critical",IF(J289&gt;=0.7,"Constrained","Healthy")))</f>
        <v>Healthy</v>
      </c>
      <c r="M289" s="8" t="s">
        <v>153</v>
      </c>
      <c r="N289" s="8" t="str">
        <f>IF(M289="None","No","Yes")</f>
        <v>No</v>
      </c>
      <c r="O289" s="9">
        <v>46280</v>
      </c>
    </row>
    <row r="290" spans="1:15">
      <c r="A290" s="1" t="s">
        <v>478</v>
      </c>
      <c r="B290" s="1" t="s">
        <v>476</v>
      </c>
      <c r="C290" s="1" t="s">
        <v>147</v>
      </c>
      <c r="D290" s="1" t="s">
        <v>155</v>
      </c>
      <c r="E290" s="1" t="s">
        <v>149</v>
      </c>
      <c r="F290" s="6">
        <v>32</v>
      </c>
      <c r="G290" s="6">
        <v>10528</v>
      </c>
      <c r="H290" s="6">
        <v>7360</v>
      </c>
      <c r="I290" s="6">
        <f>G290-H290</f>
        <v>3168</v>
      </c>
      <c r="J290" s="7">
        <f>IF(G290=0,0,H290/G290)</f>
        <v>0.69908814589665658</v>
      </c>
      <c r="K290" s="6">
        <f>ROUNDDOWN(I290/F290,0)</f>
        <v>99</v>
      </c>
      <c r="L290" s="8" t="str">
        <f>IF(J290&gt;0.97,"Sold Out",IF(J290&gt;=0.85,"Critical",IF(J290&gt;=0.7,"Constrained","Healthy")))</f>
        <v>Healthy</v>
      </c>
      <c r="M290" s="8" t="s">
        <v>153</v>
      </c>
      <c r="N290" s="8" t="str">
        <f>IF(M290="None","No","Yes")</f>
        <v>No</v>
      </c>
      <c r="O290" s="9">
        <v>46280</v>
      </c>
    </row>
    <row r="291" spans="1:15">
      <c r="A291" s="1" t="s">
        <v>479</v>
      </c>
      <c r="B291" s="1" t="s">
        <v>476</v>
      </c>
      <c r="C291" s="1" t="s">
        <v>147</v>
      </c>
      <c r="D291" s="1" t="s">
        <v>159</v>
      </c>
      <c r="E291" s="1" t="s">
        <v>160</v>
      </c>
      <c r="F291" s="6">
        <v>16</v>
      </c>
      <c r="G291" s="6">
        <v>5728</v>
      </c>
      <c r="H291" s="6">
        <v>3392</v>
      </c>
      <c r="I291" s="6">
        <f>G291-H291</f>
        <v>2336</v>
      </c>
      <c r="J291" s="7">
        <f>IF(G291=0,0,H291/G291)</f>
        <v>0.59217877094972071</v>
      </c>
      <c r="K291" s="6">
        <f>ROUNDDOWN(I291/F291,0)</f>
        <v>146</v>
      </c>
      <c r="L291" s="8" t="str">
        <f>IF(J291&gt;0.97,"Sold Out",IF(J291&gt;=0.85,"Critical",IF(J291&gt;=0.7,"Constrained","Healthy")))</f>
        <v>Healthy</v>
      </c>
      <c r="M291" s="8" t="s">
        <v>153</v>
      </c>
      <c r="N291" s="8" t="str">
        <f>IF(M291="None","No","Yes")</f>
        <v>No</v>
      </c>
      <c r="O291" s="9">
        <v>46280</v>
      </c>
    </row>
    <row r="292" spans="1:15">
      <c r="A292" s="1" t="s">
        <v>480</v>
      </c>
      <c r="B292" s="1" t="s">
        <v>476</v>
      </c>
      <c r="C292" s="1" t="s">
        <v>147</v>
      </c>
      <c r="D292" s="1" t="s">
        <v>162</v>
      </c>
      <c r="E292" s="1" t="s">
        <v>163</v>
      </c>
      <c r="F292" s="6">
        <v>32</v>
      </c>
      <c r="G292" s="6">
        <v>11584</v>
      </c>
      <c r="H292" s="6">
        <v>5856</v>
      </c>
      <c r="I292" s="6">
        <f>G292-H292</f>
        <v>5728</v>
      </c>
      <c r="J292" s="7">
        <f>IF(G292=0,0,H292/G292)</f>
        <v>0.50552486187845302</v>
      </c>
      <c r="K292" s="6">
        <f>ROUNDDOWN(I292/F292,0)</f>
        <v>179</v>
      </c>
      <c r="L292" s="8" t="str">
        <f>IF(J292&gt;0.97,"Sold Out",IF(J292&gt;=0.85,"Critical",IF(J292&gt;=0.7,"Constrained","Healthy")))</f>
        <v>Healthy</v>
      </c>
      <c r="M292" s="8" t="s">
        <v>153</v>
      </c>
      <c r="N292" s="8" t="str">
        <f>IF(M292="None","No","Yes")</f>
        <v>No</v>
      </c>
      <c r="O292" s="9">
        <v>46280</v>
      </c>
    </row>
    <row r="293" spans="1:15">
      <c r="A293" s="1" t="s">
        <v>481</v>
      </c>
      <c r="B293" s="1" t="s">
        <v>476</v>
      </c>
      <c r="C293" s="1" t="s">
        <v>147</v>
      </c>
      <c r="D293" s="1" t="s">
        <v>165</v>
      </c>
      <c r="E293" s="1" t="s">
        <v>163</v>
      </c>
      <c r="F293" s="6">
        <v>64</v>
      </c>
      <c r="G293" s="6">
        <v>2112</v>
      </c>
      <c r="H293" s="6">
        <v>1728</v>
      </c>
      <c r="I293" s="6">
        <f>G293-H293</f>
        <v>384</v>
      </c>
      <c r="J293" s="7">
        <f>IF(G293=0,0,H293/G293)</f>
        <v>0.81818181818181823</v>
      </c>
      <c r="K293" s="6">
        <f>ROUNDDOWN(I293/F293,0)</f>
        <v>6</v>
      </c>
      <c r="L293" s="8" t="str">
        <f>IF(J293&gt;0.97,"Sold Out",IF(J293&gt;=0.85,"Critical",IF(J293&gt;=0.7,"Constrained","Healthy")))</f>
        <v>Constrained</v>
      </c>
      <c r="M293" s="8" t="s">
        <v>150</v>
      </c>
      <c r="N293" s="8" t="str">
        <f>IF(M293="None","No","Yes")</f>
        <v>Yes</v>
      </c>
      <c r="O293" s="9">
        <v>46280</v>
      </c>
    </row>
    <row r="294" spans="1:15">
      <c r="A294" s="1" t="s">
        <v>482</v>
      </c>
      <c r="B294" s="1" t="s">
        <v>476</v>
      </c>
      <c r="C294" s="1" t="s">
        <v>196</v>
      </c>
      <c r="D294" s="1" t="s">
        <v>148</v>
      </c>
      <c r="E294" s="1" t="s">
        <v>149</v>
      </c>
      <c r="F294" s="6">
        <v>8</v>
      </c>
      <c r="G294" s="6">
        <v>1896</v>
      </c>
      <c r="H294" s="6">
        <v>1240</v>
      </c>
      <c r="I294" s="6">
        <f>G294-H294</f>
        <v>656</v>
      </c>
      <c r="J294" s="7">
        <f>IF(G294=0,0,H294/G294)</f>
        <v>0.65400843881856541</v>
      </c>
      <c r="K294" s="6">
        <f>ROUNDDOWN(I294/F294,0)</f>
        <v>82</v>
      </c>
      <c r="L294" s="8" t="str">
        <f>IF(J294&gt;0.97,"Sold Out",IF(J294&gt;=0.85,"Critical",IF(J294&gt;=0.7,"Constrained","Healthy")))</f>
        <v>Healthy</v>
      </c>
      <c r="M294" s="8" t="s">
        <v>153</v>
      </c>
      <c r="N294" s="8" t="str">
        <f>IF(M294="None","No","Yes")</f>
        <v>No</v>
      </c>
      <c r="O294" s="9">
        <v>46280</v>
      </c>
    </row>
    <row r="295" spans="1:15">
      <c r="A295" s="1" t="s">
        <v>483</v>
      </c>
      <c r="B295" s="1" t="s">
        <v>476</v>
      </c>
      <c r="C295" s="1" t="s">
        <v>196</v>
      </c>
      <c r="D295" s="1" t="s">
        <v>152</v>
      </c>
      <c r="E295" s="1" t="s">
        <v>149</v>
      </c>
      <c r="F295" s="6">
        <v>16</v>
      </c>
      <c r="G295" s="6">
        <v>6192</v>
      </c>
      <c r="H295" s="6">
        <v>2784</v>
      </c>
      <c r="I295" s="6">
        <f>G295-H295</f>
        <v>3408</v>
      </c>
      <c r="J295" s="7">
        <f>IF(G295=0,0,H295/G295)</f>
        <v>0.44961240310077522</v>
      </c>
      <c r="K295" s="6">
        <f>ROUNDDOWN(I295/F295,0)</f>
        <v>213</v>
      </c>
      <c r="L295" s="8" t="str">
        <f>IF(J295&gt;0.97,"Sold Out",IF(J295&gt;=0.85,"Critical",IF(J295&gt;=0.7,"Constrained","Healthy")))</f>
        <v>Healthy</v>
      </c>
      <c r="M295" s="8" t="s">
        <v>153</v>
      </c>
      <c r="N295" s="8" t="str">
        <f>IF(M295="None","No","Yes")</f>
        <v>No</v>
      </c>
      <c r="O295" s="9">
        <v>46280</v>
      </c>
    </row>
    <row r="296" spans="1:15">
      <c r="A296" s="1" t="s">
        <v>484</v>
      </c>
      <c r="B296" s="1" t="s">
        <v>476</v>
      </c>
      <c r="C296" s="1" t="s">
        <v>196</v>
      </c>
      <c r="D296" s="1" t="s">
        <v>155</v>
      </c>
      <c r="E296" s="1" t="s">
        <v>149</v>
      </c>
      <c r="F296" s="6">
        <v>32</v>
      </c>
      <c r="G296" s="6">
        <v>9984</v>
      </c>
      <c r="H296" s="6">
        <v>6784</v>
      </c>
      <c r="I296" s="6">
        <f>G296-H296</f>
        <v>3200</v>
      </c>
      <c r="J296" s="7">
        <f>IF(G296=0,0,H296/G296)</f>
        <v>0.67948717948717952</v>
      </c>
      <c r="K296" s="6">
        <f>ROUNDDOWN(I296/F296,0)</f>
        <v>100</v>
      </c>
      <c r="L296" s="8" t="str">
        <f>IF(J296&gt;0.97,"Sold Out",IF(J296&gt;=0.85,"Critical",IF(J296&gt;=0.7,"Constrained","Healthy")))</f>
        <v>Healthy</v>
      </c>
      <c r="M296" s="8" t="s">
        <v>153</v>
      </c>
      <c r="N296" s="8" t="str">
        <f>IF(M296="None","No","Yes")</f>
        <v>No</v>
      </c>
      <c r="O296" s="9">
        <v>46280</v>
      </c>
    </row>
    <row r="297" spans="1:15">
      <c r="A297" s="1" t="s">
        <v>485</v>
      </c>
      <c r="B297" s="1" t="s">
        <v>476</v>
      </c>
      <c r="C297" s="1" t="s">
        <v>196</v>
      </c>
      <c r="D297" s="1" t="s">
        <v>159</v>
      </c>
      <c r="E297" s="1" t="s">
        <v>160</v>
      </c>
      <c r="F297" s="6">
        <v>16</v>
      </c>
      <c r="G297" s="6">
        <v>2816</v>
      </c>
      <c r="H297" s="6">
        <v>1392</v>
      </c>
      <c r="I297" s="6">
        <f>G297-H297</f>
        <v>1424</v>
      </c>
      <c r="J297" s="7">
        <f>IF(G297=0,0,H297/G297)</f>
        <v>0.49431818181818182</v>
      </c>
      <c r="K297" s="6">
        <f>ROUNDDOWN(I297/F297,0)</f>
        <v>89</v>
      </c>
      <c r="L297" s="8" t="str">
        <f>IF(J297&gt;0.97,"Sold Out",IF(J297&gt;=0.85,"Critical",IF(J297&gt;=0.7,"Constrained","Healthy")))</f>
        <v>Healthy</v>
      </c>
      <c r="M297" s="8" t="s">
        <v>153</v>
      </c>
      <c r="N297" s="8" t="str">
        <f>IF(M297="None","No","Yes")</f>
        <v>No</v>
      </c>
      <c r="O297" s="9">
        <v>46280</v>
      </c>
    </row>
    <row r="298" spans="1:15">
      <c r="A298" s="1" t="s">
        <v>486</v>
      </c>
      <c r="B298" s="1" t="s">
        <v>476</v>
      </c>
      <c r="C298" s="1" t="s">
        <v>196</v>
      </c>
      <c r="D298" s="1" t="s">
        <v>162</v>
      </c>
      <c r="E298" s="1" t="s">
        <v>163</v>
      </c>
      <c r="F298" s="6">
        <v>32</v>
      </c>
      <c r="G298" s="6">
        <v>3424</v>
      </c>
      <c r="H298" s="6">
        <v>1856</v>
      </c>
      <c r="I298" s="6">
        <f>G298-H298</f>
        <v>1568</v>
      </c>
      <c r="J298" s="7">
        <f>IF(G298=0,0,H298/G298)</f>
        <v>0.54205607476635509</v>
      </c>
      <c r="K298" s="6">
        <f>ROUNDDOWN(I298/F298,0)</f>
        <v>49</v>
      </c>
      <c r="L298" s="8" t="str">
        <f>IF(J298&gt;0.97,"Sold Out",IF(J298&gt;=0.85,"Critical",IF(J298&gt;=0.7,"Constrained","Healthy")))</f>
        <v>Healthy</v>
      </c>
      <c r="M298" s="8" t="s">
        <v>153</v>
      </c>
      <c r="N298" s="8" t="str">
        <f>IF(M298="None","No","Yes")</f>
        <v>No</v>
      </c>
      <c r="O298" s="9">
        <v>46280</v>
      </c>
    </row>
    <row r="299" spans="1:15">
      <c r="A299" s="1" t="s">
        <v>487</v>
      </c>
      <c r="B299" s="1" t="s">
        <v>476</v>
      </c>
      <c r="C299" s="1" t="s">
        <v>196</v>
      </c>
      <c r="D299" s="1" t="s">
        <v>165</v>
      </c>
      <c r="E299" s="1" t="s">
        <v>163</v>
      </c>
      <c r="F299" s="6">
        <v>64</v>
      </c>
      <c r="G299" s="6">
        <v>5504</v>
      </c>
      <c r="H299" s="6">
        <v>3968</v>
      </c>
      <c r="I299" s="6">
        <f>G299-H299</f>
        <v>1536</v>
      </c>
      <c r="J299" s="7">
        <f>IF(G299=0,0,H299/G299)</f>
        <v>0.72093023255813948</v>
      </c>
      <c r="K299" s="6">
        <f>ROUNDDOWN(I299/F299,0)</f>
        <v>24</v>
      </c>
      <c r="L299" s="8" t="str">
        <f>IF(J299&gt;0.97,"Sold Out",IF(J299&gt;=0.85,"Critical",IF(J299&gt;=0.7,"Constrained","Healthy")))</f>
        <v>Constrained</v>
      </c>
      <c r="M299" s="8" t="s">
        <v>150</v>
      </c>
      <c r="N299" s="8" t="str">
        <f>IF(M299="None","No","Yes")</f>
        <v>Yes</v>
      </c>
      <c r="O299" s="9">
        <v>46280</v>
      </c>
    </row>
  </sheetData>
  <conditionalFormatting sqref="J2:J299">
    <cfRule type="cellIs" dxfId="22" priority="1" operator="greaterThan">
      <formula>0.97</formula>
    </cfRule>
  </conditionalFormatting>
  <conditionalFormatting sqref="J2:J299">
    <cfRule type="cellIs" dxfId="21" priority="2" operator="greaterThan">
      <formula>0.8499</formula>
    </cfRule>
  </conditionalFormatting>
  <conditionalFormatting sqref="J2:J299">
    <cfRule type="cellIs" dxfId="20" priority="3" operator="greaterThan">
      <formula>0.6999</formula>
    </cfRule>
  </conditionalFormatting>
  <conditionalFormatting sqref="J2:J299">
    <cfRule type="cellIs" dxfId="19" priority="4" operator="lessThan">
      <formula>0.7</formula>
    </cfRule>
  </conditionalFormatting>
  <conditionalFormatting sqref="L2:L299">
    <cfRule type="containsText" dxfId="18" priority="5" operator="containsText" text="Sold Out">
      <formula>NOT(ISERROR(SEARCH("Sold Out",L2)))</formula>
    </cfRule>
  </conditionalFormatting>
  <conditionalFormatting sqref="L2:L299">
    <cfRule type="containsText" dxfId="17" priority="6" operator="containsText" text="Critical">
      <formula>NOT(ISERROR(SEARCH("Critical",L2)))</formula>
    </cfRule>
  </conditionalFormatting>
  <conditionalFormatting sqref="L2:L299">
    <cfRule type="containsText" dxfId="16" priority="7" operator="containsText" text="Constrained">
      <formula>NOT(ISERROR(SEARCH("Constrained",L2)))</formula>
    </cfRule>
  </conditionalFormatting>
  <conditionalFormatting sqref="L2:L299">
    <cfRule type="containsText" dxfId="15" priority="8" operator="containsText" text="Healthy">
      <formula>NOT(ISERROR(SEARCH("Healthy",L2)))</formula>
    </cfRule>
  </conditionalFormatting>
  <conditionalFormatting sqref="M2:M299">
    <cfRule type="containsText" dxfId="14" priority="9" operator="containsText" text="Allocation Blocked">
      <formula>NOT(ISERROR(SEARCH("Allocation Blocked",M2)))</formula>
    </cfRule>
  </conditionalFormatting>
  <conditionalFormatting sqref="M2:M299">
    <cfRule type="containsText" dxfId="13" priority="10" operator="containsText" text="New Customers Restricted">
      <formula>NOT(ISERROR(SEARCH("New Customers Restricted",M2)))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901B-C65E-4B4B-AB7B-288E188131F1}">
  <dimension ref="A1:K505"/>
  <sheetViews>
    <sheetView tabSelected="1" workbookViewId="0">
      <pane ySplit="1" topLeftCell="A102" activePane="bottomLeft" state="frozen"/>
      <selection pane="bottomLeft"/>
    </sheetView>
  </sheetViews>
  <sheetFormatPr defaultRowHeight="15"/>
  <cols>
    <col min="1" max="1" width="22.7109375" customWidth="1"/>
    <col min="2" max="2" width="17.7109375" customWidth="1"/>
    <col min="3" max="3" width="27.7109375" customWidth="1"/>
    <col min="4" max="4" width="15.7109375" customWidth="1"/>
    <col min="5" max="5" width="27.7109375" customWidth="1"/>
    <col min="6" max="6" width="23.7109375" customWidth="1"/>
    <col min="7" max="7" width="25.7109375" customWidth="1"/>
    <col min="8" max="8" width="23.7109375" customWidth="1"/>
    <col min="9" max="9" width="15.7109375" customWidth="1"/>
    <col min="10" max="10" width="25.7109375" customWidth="1"/>
    <col min="11" max="11" width="17.7109375" customWidth="1"/>
  </cols>
  <sheetData>
    <row r="1" spans="1:11" ht="30" customHeight="1">
      <c r="A1" s="2" t="s">
        <v>131</v>
      </c>
      <c r="B1" s="2" t="s">
        <v>132</v>
      </c>
      <c r="C1" s="2" t="s">
        <v>133</v>
      </c>
      <c r="D1" s="2" t="s">
        <v>488</v>
      </c>
      <c r="E1" s="2" t="s">
        <v>489</v>
      </c>
      <c r="F1" s="2" t="s">
        <v>490</v>
      </c>
      <c r="G1" s="2" t="s">
        <v>491</v>
      </c>
      <c r="H1" s="2" t="s">
        <v>492</v>
      </c>
      <c r="I1" s="2" t="s">
        <v>493</v>
      </c>
      <c r="J1" s="2" t="s">
        <v>494</v>
      </c>
      <c r="K1" s="2" t="s">
        <v>495</v>
      </c>
    </row>
    <row r="2" spans="1:11">
      <c r="A2" s="1" t="s">
        <v>146</v>
      </c>
      <c r="B2" s="1" t="s">
        <v>147</v>
      </c>
      <c r="C2" s="1" t="s">
        <v>152</v>
      </c>
      <c r="D2" s="9">
        <v>46296</v>
      </c>
      <c r="E2" s="10">
        <v>4080</v>
      </c>
      <c r="F2" s="10">
        <v>3120</v>
      </c>
      <c r="G2" s="10">
        <f>E2-F2</f>
        <v>960</v>
      </c>
      <c r="H2" s="7">
        <f>IF(E2=0,0,F2/E2)</f>
        <v>0.76470588235294112</v>
      </c>
      <c r="I2" s="8" t="str">
        <f>IF(H2&gt;0.97,"Sold Out",IF(H2&gt;=0.85,"Critical",IF(H2&gt;=0.7,"Constrained","Healthy")))</f>
        <v>Constrained</v>
      </c>
      <c r="J2" s="6">
        <v>0</v>
      </c>
      <c r="K2" s="9"/>
    </row>
    <row r="3" spans="1:11">
      <c r="A3" s="1" t="s">
        <v>146</v>
      </c>
      <c r="B3" s="1" t="s">
        <v>147</v>
      </c>
      <c r="C3" s="1" t="s">
        <v>152</v>
      </c>
      <c r="D3" s="9">
        <v>46327</v>
      </c>
      <c r="E3" s="10">
        <v>4080</v>
      </c>
      <c r="F3" s="10">
        <v>3216</v>
      </c>
      <c r="G3" s="10">
        <f>E3-F3</f>
        <v>864</v>
      </c>
      <c r="H3" s="7">
        <f>IF(E3=0,0,F3/E3)</f>
        <v>0.78823529411764703</v>
      </c>
      <c r="I3" s="8" t="str">
        <f>IF(H3&gt;0.97,"Sold Out",IF(H3&gt;=0.85,"Critical",IF(H3&gt;=0.7,"Constrained","Healthy")))</f>
        <v>Constrained</v>
      </c>
      <c r="J3" s="6">
        <v>0</v>
      </c>
      <c r="K3" s="9"/>
    </row>
    <row r="4" spans="1:11">
      <c r="A4" s="1" t="s">
        <v>146</v>
      </c>
      <c r="B4" s="1" t="s">
        <v>147</v>
      </c>
      <c r="C4" s="1" t="s">
        <v>152</v>
      </c>
      <c r="D4" s="9">
        <v>46357</v>
      </c>
      <c r="E4" s="10">
        <v>4080</v>
      </c>
      <c r="F4" s="10">
        <v>3312</v>
      </c>
      <c r="G4" s="10">
        <f>E4-F4</f>
        <v>768</v>
      </c>
      <c r="H4" s="7">
        <f>IF(E4=0,0,F4/E4)</f>
        <v>0.81176470588235294</v>
      </c>
      <c r="I4" s="8" t="str">
        <f>IF(H4&gt;0.97,"Sold Out",IF(H4&gt;=0.85,"Critical",IF(H4&gt;=0.7,"Constrained","Healthy")))</f>
        <v>Constrained</v>
      </c>
      <c r="J4" s="6">
        <v>0</v>
      </c>
      <c r="K4" s="9"/>
    </row>
    <row r="5" spans="1:11">
      <c r="A5" s="1" t="s">
        <v>146</v>
      </c>
      <c r="B5" s="1" t="s">
        <v>147</v>
      </c>
      <c r="C5" s="1" t="s">
        <v>152</v>
      </c>
      <c r="D5" s="9">
        <v>46388</v>
      </c>
      <c r="E5" s="10">
        <v>4080</v>
      </c>
      <c r="F5" s="10">
        <v>3424</v>
      </c>
      <c r="G5" s="10">
        <f>E5-F5</f>
        <v>656</v>
      </c>
      <c r="H5" s="7">
        <f>IF(E5=0,0,F5/E5)</f>
        <v>0.83921568627450982</v>
      </c>
      <c r="I5" s="8" t="str">
        <f>IF(H5&gt;0.97,"Sold Out",IF(H5&gt;=0.85,"Critical",IF(H5&gt;=0.7,"Constrained","Healthy")))</f>
        <v>Constrained</v>
      </c>
      <c r="J5" s="6">
        <v>0</v>
      </c>
      <c r="K5" s="9"/>
    </row>
    <row r="6" spans="1:11">
      <c r="A6" s="1" t="s">
        <v>146</v>
      </c>
      <c r="B6" s="1" t="s">
        <v>147</v>
      </c>
      <c r="C6" s="1" t="s">
        <v>152</v>
      </c>
      <c r="D6" s="9">
        <v>46419</v>
      </c>
      <c r="E6" s="10">
        <v>5664</v>
      </c>
      <c r="F6" s="10">
        <v>3536</v>
      </c>
      <c r="G6" s="10">
        <f>E6-F6</f>
        <v>2128</v>
      </c>
      <c r="H6" s="7">
        <f>IF(E6=0,0,F6/E6)</f>
        <v>0.62429378531073443</v>
      </c>
      <c r="I6" s="8" t="str">
        <f>IF(H6&gt;0.97,"Sold Out",IF(H6&gt;=0.85,"Critical",IF(H6&gt;=0.7,"Constrained","Healthy")))</f>
        <v>Healthy</v>
      </c>
      <c r="J6" s="6">
        <v>1584</v>
      </c>
      <c r="K6" s="9">
        <v>46419</v>
      </c>
    </row>
    <row r="7" spans="1:11">
      <c r="A7" s="1" t="s">
        <v>146</v>
      </c>
      <c r="B7" s="1" t="s">
        <v>147</v>
      </c>
      <c r="C7" s="1" t="s">
        <v>152</v>
      </c>
      <c r="D7" s="9">
        <v>46447</v>
      </c>
      <c r="E7" s="10">
        <v>5664</v>
      </c>
      <c r="F7" s="10">
        <v>3648</v>
      </c>
      <c r="G7" s="10">
        <f>E7-F7</f>
        <v>2016</v>
      </c>
      <c r="H7" s="7">
        <f>IF(E7=0,0,F7/E7)</f>
        <v>0.64406779661016944</v>
      </c>
      <c r="I7" s="8" t="str">
        <f>IF(H7&gt;0.97,"Sold Out",IF(H7&gt;=0.85,"Critical",IF(H7&gt;=0.7,"Constrained","Healthy")))</f>
        <v>Healthy</v>
      </c>
      <c r="J7" s="6">
        <v>0</v>
      </c>
      <c r="K7" s="9"/>
    </row>
    <row r="8" spans="1:11">
      <c r="A8" s="1" t="s">
        <v>146</v>
      </c>
      <c r="B8" s="1" t="s">
        <v>147</v>
      </c>
      <c r="C8" s="1" t="s">
        <v>152</v>
      </c>
      <c r="D8" s="9">
        <v>46478</v>
      </c>
      <c r="E8" s="10">
        <v>5664</v>
      </c>
      <c r="F8" s="10">
        <v>3760</v>
      </c>
      <c r="G8" s="10">
        <f>E8-F8</f>
        <v>1904</v>
      </c>
      <c r="H8" s="7">
        <f>IF(E8=0,0,F8/E8)</f>
        <v>0.66384180790960456</v>
      </c>
      <c r="I8" s="8" t="str">
        <f>IF(H8&gt;0.97,"Sold Out",IF(H8&gt;=0.85,"Critical",IF(H8&gt;=0.7,"Constrained","Healthy")))</f>
        <v>Healthy</v>
      </c>
      <c r="J8" s="6">
        <v>0</v>
      </c>
      <c r="K8" s="9"/>
    </row>
    <row r="9" spans="1:11">
      <c r="A9" s="1" t="s">
        <v>146</v>
      </c>
      <c r="B9" s="1" t="s">
        <v>147</v>
      </c>
      <c r="C9" s="1" t="s">
        <v>152</v>
      </c>
      <c r="D9" s="9">
        <v>46508</v>
      </c>
      <c r="E9" s="10">
        <v>5664</v>
      </c>
      <c r="F9" s="10">
        <v>3888</v>
      </c>
      <c r="G9" s="10">
        <f>E9-F9</f>
        <v>1776</v>
      </c>
      <c r="H9" s="7">
        <f>IF(E9=0,0,F9/E9)</f>
        <v>0.68644067796610164</v>
      </c>
      <c r="I9" s="8" t="str">
        <f>IF(H9&gt;0.97,"Sold Out",IF(H9&gt;=0.85,"Critical",IF(H9&gt;=0.7,"Constrained","Healthy")))</f>
        <v>Healthy</v>
      </c>
      <c r="J9" s="6">
        <v>0</v>
      </c>
      <c r="K9" s="9"/>
    </row>
    <row r="10" spans="1:11">
      <c r="A10" s="1" t="s">
        <v>146</v>
      </c>
      <c r="B10" s="1" t="s">
        <v>147</v>
      </c>
      <c r="C10" s="1" t="s">
        <v>152</v>
      </c>
      <c r="D10" s="9">
        <v>46539</v>
      </c>
      <c r="E10" s="10">
        <v>5664</v>
      </c>
      <c r="F10" s="10">
        <v>4016</v>
      </c>
      <c r="G10" s="10">
        <f>E10-F10</f>
        <v>1648</v>
      </c>
      <c r="H10" s="7">
        <f>IF(E10=0,0,F10/E10)</f>
        <v>0.70903954802259883</v>
      </c>
      <c r="I10" s="8" t="str">
        <f>IF(H10&gt;0.97,"Sold Out",IF(H10&gt;=0.85,"Critical",IF(H10&gt;=0.7,"Constrained","Healthy")))</f>
        <v>Constrained</v>
      </c>
      <c r="J10" s="6">
        <v>0</v>
      </c>
      <c r="K10" s="9"/>
    </row>
    <row r="11" spans="1:11">
      <c r="A11" s="1" t="s">
        <v>146</v>
      </c>
      <c r="B11" s="1" t="s">
        <v>147</v>
      </c>
      <c r="C11" s="1" t="s">
        <v>152</v>
      </c>
      <c r="D11" s="9">
        <v>46569</v>
      </c>
      <c r="E11" s="10">
        <v>5664</v>
      </c>
      <c r="F11" s="10">
        <v>4144</v>
      </c>
      <c r="G11" s="10">
        <f>E11-F11</f>
        <v>1520</v>
      </c>
      <c r="H11" s="7">
        <f>IF(E11=0,0,F11/E11)</f>
        <v>0.73163841807909602</v>
      </c>
      <c r="I11" s="8" t="str">
        <f>IF(H11&gt;0.97,"Sold Out",IF(H11&gt;=0.85,"Critical",IF(H11&gt;=0.7,"Constrained","Healthy")))</f>
        <v>Constrained</v>
      </c>
      <c r="J11" s="6">
        <v>0</v>
      </c>
      <c r="K11" s="9"/>
    </row>
    <row r="12" spans="1:11">
      <c r="A12" s="1" t="s">
        <v>146</v>
      </c>
      <c r="B12" s="1" t="s">
        <v>147</v>
      </c>
      <c r="C12" s="1" t="s">
        <v>152</v>
      </c>
      <c r="D12" s="9">
        <v>46600</v>
      </c>
      <c r="E12" s="10">
        <v>5664</v>
      </c>
      <c r="F12" s="10">
        <v>4272</v>
      </c>
      <c r="G12" s="10">
        <f>E12-F12</f>
        <v>1392</v>
      </c>
      <c r="H12" s="7">
        <f>IF(E12=0,0,F12/E12)</f>
        <v>0.75423728813559321</v>
      </c>
      <c r="I12" s="8" t="str">
        <f>IF(H12&gt;0.97,"Sold Out",IF(H12&gt;=0.85,"Critical",IF(H12&gt;=0.7,"Constrained","Healthy")))</f>
        <v>Constrained</v>
      </c>
      <c r="J12" s="6">
        <v>0</v>
      </c>
      <c r="K12" s="9"/>
    </row>
    <row r="13" spans="1:11">
      <c r="A13" s="1" t="s">
        <v>146</v>
      </c>
      <c r="B13" s="1" t="s">
        <v>147</v>
      </c>
      <c r="C13" s="1" t="s">
        <v>152</v>
      </c>
      <c r="D13" s="9">
        <v>46631</v>
      </c>
      <c r="E13" s="10">
        <v>5664</v>
      </c>
      <c r="F13" s="10">
        <v>4416</v>
      </c>
      <c r="G13" s="10">
        <f>E13-F13</f>
        <v>1248</v>
      </c>
      <c r="H13" s="7">
        <f>IF(E13=0,0,F13/E13)</f>
        <v>0.77966101694915257</v>
      </c>
      <c r="I13" s="8" t="str">
        <f>IF(H13&gt;0.97,"Sold Out",IF(H13&gt;=0.85,"Critical",IF(H13&gt;=0.7,"Constrained","Healthy")))</f>
        <v>Constrained</v>
      </c>
      <c r="J13" s="6">
        <v>0</v>
      </c>
      <c r="K13" s="9"/>
    </row>
    <row r="14" spans="1:11">
      <c r="A14" s="1" t="s">
        <v>146</v>
      </c>
      <c r="B14" s="1" t="s">
        <v>147</v>
      </c>
      <c r="C14" s="1" t="s">
        <v>155</v>
      </c>
      <c r="D14" s="9">
        <v>46296</v>
      </c>
      <c r="E14" s="10">
        <v>18016</v>
      </c>
      <c r="F14" s="10">
        <v>13696</v>
      </c>
      <c r="G14" s="10">
        <f>E14-F14</f>
        <v>4320</v>
      </c>
      <c r="H14" s="7">
        <f>IF(E14=0,0,F14/E14)</f>
        <v>0.76021314387211369</v>
      </c>
      <c r="I14" s="8" t="str">
        <f>IF(H14&gt;0.97,"Sold Out",IF(H14&gt;=0.85,"Critical",IF(H14&gt;=0.7,"Constrained","Healthy")))</f>
        <v>Constrained</v>
      </c>
      <c r="J14" s="6">
        <v>0</v>
      </c>
      <c r="K14" s="9"/>
    </row>
    <row r="15" spans="1:11">
      <c r="A15" s="1" t="s">
        <v>146</v>
      </c>
      <c r="B15" s="1" t="s">
        <v>147</v>
      </c>
      <c r="C15" s="1" t="s">
        <v>155</v>
      </c>
      <c r="D15" s="9">
        <v>46327</v>
      </c>
      <c r="E15" s="10">
        <v>18016</v>
      </c>
      <c r="F15" s="10">
        <v>14144</v>
      </c>
      <c r="G15" s="10">
        <f>E15-F15</f>
        <v>3872</v>
      </c>
      <c r="H15" s="7">
        <f>IF(E15=0,0,F15/E15)</f>
        <v>0.78507992895204259</v>
      </c>
      <c r="I15" s="8" t="str">
        <f>IF(H15&gt;0.97,"Sold Out",IF(H15&gt;=0.85,"Critical",IF(H15&gt;=0.7,"Constrained","Healthy")))</f>
        <v>Constrained</v>
      </c>
      <c r="J15" s="6">
        <v>0</v>
      </c>
      <c r="K15" s="9"/>
    </row>
    <row r="16" spans="1:11">
      <c r="A16" s="1" t="s">
        <v>146</v>
      </c>
      <c r="B16" s="1" t="s">
        <v>147</v>
      </c>
      <c r="C16" s="1" t="s">
        <v>155</v>
      </c>
      <c r="D16" s="9">
        <v>46357</v>
      </c>
      <c r="E16" s="10">
        <v>18016</v>
      </c>
      <c r="F16" s="10">
        <v>14592</v>
      </c>
      <c r="G16" s="10">
        <f>E16-F16</f>
        <v>3424</v>
      </c>
      <c r="H16" s="7">
        <f>IF(E16=0,0,F16/E16)</f>
        <v>0.8099467140319716</v>
      </c>
      <c r="I16" s="8" t="str">
        <f>IF(H16&gt;0.97,"Sold Out",IF(H16&gt;=0.85,"Critical",IF(H16&gt;=0.7,"Constrained","Healthy")))</f>
        <v>Constrained</v>
      </c>
      <c r="J16" s="6">
        <v>0</v>
      </c>
      <c r="K16" s="9"/>
    </row>
    <row r="17" spans="1:11">
      <c r="A17" s="1" t="s">
        <v>146</v>
      </c>
      <c r="B17" s="1" t="s">
        <v>147</v>
      </c>
      <c r="C17" s="1" t="s">
        <v>155</v>
      </c>
      <c r="D17" s="9">
        <v>46388</v>
      </c>
      <c r="E17" s="10">
        <v>22912</v>
      </c>
      <c r="F17" s="10">
        <v>15072</v>
      </c>
      <c r="G17" s="10">
        <f>E17-F17</f>
        <v>7840</v>
      </c>
      <c r="H17" s="7">
        <f>IF(E17=0,0,F17/E17)</f>
        <v>0.65782122905027929</v>
      </c>
      <c r="I17" s="8" t="str">
        <f>IF(H17&gt;0.97,"Sold Out",IF(H17&gt;=0.85,"Critical",IF(H17&gt;=0.7,"Constrained","Healthy")))</f>
        <v>Healthy</v>
      </c>
      <c r="J17" s="6">
        <v>4896</v>
      </c>
      <c r="K17" s="9">
        <v>46388</v>
      </c>
    </row>
    <row r="18" spans="1:11">
      <c r="A18" s="1" t="s">
        <v>146</v>
      </c>
      <c r="B18" s="1" t="s">
        <v>147</v>
      </c>
      <c r="C18" s="1" t="s">
        <v>155</v>
      </c>
      <c r="D18" s="9">
        <v>46419</v>
      </c>
      <c r="E18" s="10">
        <v>22912</v>
      </c>
      <c r="F18" s="10">
        <v>15552</v>
      </c>
      <c r="G18" s="10">
        <f>E18-F18</f>
        <v>7360</v>
      </c>
      <c r="H18" s="7">
        <f>IF(E18=0,0,F18/E18)</f>
        <v>0.67877094972067042</v>
      </c>
      <c r="I18" s="8" t="str">
        <f>IF(H18&gt;0.97,"Sold Out",IF(H18&gt;=0.85,"Critical",IF(H18&gt;=0.7,"Constrained","Healthy")))</f>
        <v>Healthy</v>
      </c>
      <c r="J18" s="6">
        <v>0</v>
      </c>
      <c r="K18" s="9"/>
    </row>
    <row r="19" spans="1:11">
      <c r="A19" s="1" t="s">
        <v>146</v>
      </c>
      <c r="B19" s="1" t="s">
        <v>147</v>
      </c>
      <c r="C19" s="1" t="s">
        <v>155</v>
      </c>
      <c r="D19" s="9">
        <v>46447</v>
      </c>
      <c r="E19" s="10">
        <v>22912</v>
      </c>
      <c r="F19" s="10">
        <v>16064</v>
      </c>
      <c r="G19" s="10">
        <f>E19-F19</f>
        <v>6848</v>
      </c>
      <c r="H19" s="7">
        <f>IF(E19=0,0,F19/E19)</f>
        <v>0.7011173184357542</v>
      </c>
      <c r="I19" s="8" t="str">
        <f>IF(H19&gt;0.97,"Sold Out",IF(H19&gt;=0.85,"Critical",IF(H19&gt;=0.7,"Constrained","Healthy")))</f>
        <v>Constrained</v>
      </c>
      <c r="J19" s="6">
        <v>0</v>
      </c>
      <c r="K19" s="9"/>
    </row>
    <row r="20" spans="1:11">
      <c r="A20" s="1" t="s">
        <v>146</v>
      </c>
      <c r="B20" s="1" t="s">
        <v>147</v>
      </c>
      <c r="C20" s="1" t="s">
        <v>155</v>
      </c>
      <c r="D20" s="9">
        <v>46478</v>
      </c>
      <c r="E20" s="10">
        <v>22912</v>
      </c>
      <c r="F20" s="10">
        <v>16576</v>
      </c>
      <c r="G20" s="10">
        <f>E20-F20</f>
        <v>6336</v>
      </c>
      <c r="H20" s="7">
        <f>IF(E20=0,0,F20/E20)</f>
        <v>0.72346368715083798</v>
      </c>
      <c r="I20" s="8" t="str">
        <f>IF(H20&gt;0.97,"Sold Out",IF(H20&gt;=0.85,"Critical",IF(H20&gt;=0.7,"Constrained","Healthy")))</f>
        <v>Constrained</v>
      </c>
      <c r="J20" s="6">
        <v>0</v>
      </c>
      <c r="K20" s="9"/>
    </row>
    <row r="21" spans="1:11">
      <c r="A21" s="1" t="s">
        <v>146</v>
      </c>
      <c r="B21" s="1" t="s">
        <v>147</v>
      </c>
      <c r="C21" s="1" t="s">
        <v>155</v>
      </c>
      <c r="D21" s="9">
        <v>46508</v>
      </c>
      <c r="E21" s="10">
        <v>22912</v>
      </c>
      <c r="F21" s="10">
        <v>17120</v>
      </c>
      <c r="G21" s="10">
        <f>E21-F21</f>
        <v>5792</v>
      </c>
      <c r="H21" s="7">
        <f>IF(E21=0,0,F21/E21)</f>
        <v>0.7472067039106145</v>
      </c>
      <c r="I21" s="8" t="str">
        <f>IF(H21&gt;0.97,"Sold Out",IF(H21&gt;=0.85,"Critical",IF(H21&gt;=0.7,"Constrained","Healthy")))</f>
        <v>Constrained</v>
      </c>
      <c r="J21" s="6">
        <v>0</v>
      </c>
      <c r="K21" s="9"/>
    </row>
    <row r="22" spans="1:11">
      <c r="A22" s="1" t="s">
        <v>146</v>
      </c>
      <c r="B22" s="1" t="s">
        <v>147</v>
      </c>
      <c r="C22" s="1" t="s">
        <v>155</v>
      </c>
      <c r="D22" s="9">
        <v>46539</v>
      </c>
      <c r="E22" s="10">
        <v>22912</v>
      </c>
      <c r="F22" s="10">
        <v>17664</v>
      </c>
      <c r="G22" s="10">
        <f>E22-F22</f>
        <v>5248</v>
      </c>
      <c r="H22" s="7">
        <f>IF(E22=0,0,F22/E22)</f>
        <v>0.77094972067039103</v>
      </c>
      <c r="I22" s="8" t="str">
        <f>IF(H22&gt;0.97,"Sold Out",IF(H22&gt;=0.85,"Critical",IF(H22&gt;=0.7,"Constrained","Healthy")))</f>
        <v>Constrained</v>
      </c>
      <c r="J22" s="6">
        <v>0</v>
      </c>
      <c r="K22" s="9"/>
    </row>
    <row r="23" spans="1:11">
      <c r="A23" s="1" t="s">
        <v>146</v>
      </c>
      <c r="B23" s="1" t="s">
        <v>147</v>
      </c>
      <c r="C23" s="1" t="s">
        <v>155</v>
      </c>
      <c r="D23" s="9">
        <v>46569</v>
      </c>
      <c r="E23" s="10">
        <v>22912</v>
      </c>
      <c r="F23" s="10">
        <v>18240</v>
      </c>
      <c r="G23" s="10">
        <f>E23-F23</f>
        <v>4672</v>
      </c>
      <c r="H23" s="7">
        <f>IF(E23=0,0,F23/E23)</f>
        <v>0.7960893854748603</v>
      </c>
      <c r="I23" s="8" t="str">
        <f>IF(H23&gt;0.97,"Sold Out",IF(H23&gt;=0.85,"Critical",IF(H23&gt;=0.7,"Constrained","Healthy")))</f>
        <v>Constrained</v>
      </c>
      <c r="J23" s="6">
        <v>0</v>
      </c>
      <c r="K23" s="9"/>
    </row>
    <row r="24" spans="1:11">
      <c r="A24" s="1" t="s">
        <v>146</v>
      </c>
      <c r="B24" s="1" t="s">
        <v>147</v>
      </c>
      <c r="C24" s="1" t="s">
        <v>155</v>
      </c>
      <c r="D24" s="9">
        <v>46600</v>
      </c>
      <c r="E24" s="10">
        <v>22912</v>
      </c>
      <c r="F24" s="10">
        <v>18816</v>
      </c>
      <c r="G24" s="10">
        <f>E24-F24</f>
        <v>4096</v>
      </c>
      <c r="H24" s="7">
        <f>IF(E24=0,0,F24/E24)</f>
        <v>0.82122905027932958</v>
      </c>
      <c r="I24" s="8" t="str">
        <f>IF(H24&gt;0.97,"Sold Out",IF(H24&gt;=0.85,"Critical",IF(H24&gt;=0.7,"Constrained","Healthy")))</f>
        <v>Constrained</v>
      </c>
      <c r="J24" s="6">
        <v>0</v>
      </c>
      <c r="K24" s="9"/>
    </row>
    <row r="25" spans="1:11">
      <c r="A25" s="1" t="s">
        <v>146</v>
      </c>
      <c r="B25" s="1" t="s">
        <v>147</v>
      </c>
      <c r="C25" s="1" t="s">
        <v>155</v>
      </c>
      <c r="D25" s="9">
        <v>46631</v>
      </c>
      <c r="E25" s="10">
        <v>22912</v>
      </c>
      <c r="F25" s="10">
        <v>19424</v>
      </c>
      <c r="G25" s="10">
        <f>E25-F25</f>
        <v>3488</v>
      </c>
      <c r="H25" s="7">
        <f>IF(E25=0,0,F25/E25)</f>
        <v>0.8477653631284916</v>
      </c>
      <c r="I25" s="8" t="str">
        <f>IF(H25&gt;0.97,"Sold Out",IF(H25&gt;=0.85,"Critical",IF(H25&gt;=0.7,"Constrained","Healthy")))</f>
        <v>Constrained</v>
      </c>
      <c r="J25" s="6">
        <v>0</v>
      </c>
      <c r="K25" s="9"/>
    </row>
    <row r="26" spans="1:11">
      <c r="A26" s="1" t="s">
        <v>220</v>
      </c>
      <c r="B26" s="1" t="s">
        <v>147</v>
      </c>
      <c r="C26" s="1" t="s">
        <v>152</v>
      </c>
      <c r="D26" s="9">
        <v>46296</v>
      </c>
      <c r="E26" s="10">
        <v>11056</v>
      </c>
      <c r="F26" s="10">
        <v>5280</v>
      </c>
      <c r="G26" s="10">
        <f>E26-F26</f>
        <v>5776</v>
      </c>
      <c r="H26" s="7">
        <f>IF(E26=0,0,F26/E26)</f>
        <v>0.47756874095513746</v>
      </c>
      <c r="I26" s="8" t="str">
        <f>IF(H26&gt;0.97,"Sold Out",IF(H26&gt;=0.85,"Critical",IF(H26&gt;=0.7,"Constrained","Healthy")))</f>
        <v>Healthy</v>
      </c>
      <c r="J26" s="6">
        <v>0</v>
      </c>
      <c r="K26" s="9"/>
    </row>
    <row r="27" spans="1:11">
      <c r="A27" s="1" t="s">
        <v>220</v>
      </c>
      <c r="B27" s="1" t="s">
        <v>147</v>
      </c>
      <c r="C27" s="1" t="s">
        <v>152</v>
      </c>
      <c r="D27" s="9">
        <v>46327</v>
      </c>
      <c r="E27" s="10">
        <v>11056</v>
      </c>
      <c r="F27" s="10">
        <v>5456</v>
      </c>
      <c r="G27" s="10">
        <f>E27-F27</f>
        <v>5600</v>
      </c>
      <c r="H27" s="7">
        <f>IF(E27=0,0,F27/E27)</f>
        <v>0.49348769898697542</v>
      </c>
      <c r="I27" s="8" t="str">
        <f>IF(H27&gt;0.97,"Sold Out",IF(H27&gt;=0.85,"Critical",IF(H27&gt;=0.7,"Constrained","Healthy")))</f>
        <v>Healthy</v>
      </c>
      <c r="J27" s="6">
        <v>0</v>
      </c>
      <c r="K27" s="9"/>
    </row>
    <row r="28" spans="1:11">
      <c r="A28" s="1" t="s">
        <v>220</v>
      </c>
      <c r="B28" s="1" t="s">
        <v>147</v>
      </c>
      <c r="C28" s="1" t="s">
        <v>152</v>
      </c>
      <c r="D28" s="9">
        <v>46357</v>
      </c>
      <c r="E28" s="10">
        <v>11056</v>
      </c>
      <c r="F28" s="10">
        <v>5632</v>
      </c>
      <c r="G28" s="10">
        <f>E28-F28</f>
        <v>5424</v>
      </c>
      <c r="H28" s="7">
        <f>IF(E28=0,0,F28/E28)</f>
        <v>0.50940665701881327</v>
      </c>
      <c r="I28" s="8" t="str">
        <f>IF(H28&gt;0.97,"Sold Out",IF(H28&gt;=0.85,"Critical",IF(H28&gt;=0.7,"Constrained","Healthy")))</f>
        <v>Healthy</v>
      </c>
      <c r="J28" s="6">
        <v>0</v>
      </c>
      <c r="K28" s="9"/>
    </row>
    <row r="29" spans="1:11">
      <c r="A29" s="1" t="s">
        <v>220</v>
      </c>
      <c r="B29" s="1" t="s">
        <v>147</v>
      </c>
      <c r="C29" s="1" t="s">
        <v>152</v>
      </c>
      <c r="D29" s="9">
        <v>46388</v>
      </c>
      <c r="E29" s="10">
        <v>15136</v>
      </c>
      <c r="F29" s="10">
        <v>5808</v>
      </c>
      <c r="G29" s="10">
        <f>E29-F29</f>
        <v>9328</v>
      </c>
      <c r="H29" s="7">
        <f>IF(E29=0,0,F29/E29)</f>
        <v>0.38372093023255816</v>
      </c>
      <c r="I29" s="8" t="str">
        <f>IF(H29&gt;0.97,"Sold Out",IF(H29&gt;=0.85,"Critical",IF(H29&gt;=0.7,"Constrained","Healthy")))</f>
        <v>Healthy</v>
      </c>
      <c r="J29" s="6">
        <v>4080</v>
      </c>
      <c r="K29" s="9">
        <v>46388</v>
      </c>
    </row>
    <row r="30" spans="1:11">
      <c r="A30" s="1" t="s">
        <v>220</v>
      </c>
      <c r="B30" s="1" t="s">
        <v>147</v>
      </c>
      <c r="C30" s="1" t="s">
        <v>152</v>
      </c>
      <c r="D30" s="9">
        <v>46419</v>
      </c>
      <c r="E30" s="10">
        <v>15136</v>
      </c>
      <c r="F30" s="10">
        <v>6000</v>
      </c>
      <c r="G30" s="10">
        <f>E30-F30</f>
        <v>9136</v>
      </c>
      <c r="H30" s="7">
        <f>IF(E30=0,0,F30/E30)</f>
        <v>0.39640591966173361</v>
      </c>
      <c r="I30" s="8" t="str">
        <f>IF(H30&gt;0.97,"Sold Out",IF(H30&gt;=0.85,"Critical",IF(H30&gt;=0.7,"Constrained","Healthy")))</f>
        <v>Healthy</v>
      </c>
      <c r="J30" s="6">
        <v>0</v>
      </c>
      <c r="K30" s="9"/>
    </row>
    <row r="31" spans="1:11">
      <c r="A31" s="1" t="s">
        <v>220</v>
      </c>
      <c r="B31" s="1" t="s">
        <v>147</v>
      </c>
      <c r="C31" s="1" t="s">
        <v>152</v>
      </c>
      <c r="D31" s="9">
        <v>46447</v>
      </c>
      <c r="E31" s="10">
        <v>15136</v>
      </c>
      <c r="F31" s="10">
        <v>6192</v>
      </c>
      <c r="G31" s="10">
        <f>E31-F31</f>
        <v>8944</v>
      </c>
      <c r="H31" s="7">
        <f>IF(E31=0,0,F31/E31)</f>
        <v>0.40909090909090912</v>
      </c>
      <c r="I31" s="8" t="str">
        <f>IF(H31&gt;0.97,"Sold Out",IF(H31&gt;=0.85,"Critical",IF(H31&gt;=0.7,"Constrained","Healthy")))</f>
        <v>Healthy</v>
      </c>
      <c r="J31" s="6">
        <v>0</v>
      </c>
      <c r="K31" s="9"/>
    </row>
    <row r="32" spans="1:11">
      <c r="A32" s="1" t="s">
        <v>220</v>
      </c>
      <c r="B32" s="1" t="s">
        <v>147</v>
      </c>
      <c r="C32" s="1" t="s">
        <v>152</v>
      </c>
      <c r="D32" s="9">
        <v>46478</v>
      </c>
      <c r="E32" s="10">
        <v>15136</v>
      </c>
      <c r="F32" s="10">
        <v>6384</v>
      </c>
      <c r="G32" s="10">
        <f>E32-F32</f>
        <v>8752</v>
      </c>
      <c r="H32" s="7">
        <f>IF(E32=0,0,F32/E32)</f>
        <v>0.42177589852008457</v>
      </c>
      <c r="I32" s="8" t="str">
        <f>IF(H32&gt;0.97,"Sold Out",IF(H32&gt;=0.85,"Critical",IF(H32&gt;=0.7,"Constrained","Healthy")))</f>
        <v>Healthy</v>
      </c>
      <c r="J32" s="6">
        <v>0</v>
      </c>
      <c r="K32" s="9"/>
    </row>
    <row r="33" spans="1:11">
      <c r="A33" s="1" t="s">
        <v>220</v>
      </c>
      <c r="B33" s="1" t="s">
        <v>147</v>
      </c>
      <c r="C33" s="1" t="s">
        <v>152</v>
      </c>
      <c r="D33" s="9">
        <v>46508</v>
      </c>
      <c r="E33" s="10">
        <v>15136</v>
      </c>
      <c r="F33" s="10">
        <v>6592</v>
      </c>
      <c r="G33" s="10">
        <f>E33-F33</f>
        <v>8544</v>
      </c>
      <c r="H33" s="7">
        <f>IF(E33=0,0,F33/E33)</f>
        <v>0.43551797040169132</v>
      </c>
      <c r="I33" s="8" t="str">
        <f>IF(H33&gt;0.97,"Sold Out",IF(H33&gt;=0.85,"Critical",IF(H33&gt;=0.7,"Constrained","Healthy")))</f>
        <v>Healthy</v>
      </c>
      <c r="J33" s="6">
        <v>0</v>
      </c>
      <c r="K33" s="9"/>
    </row>
    <row r="34" spans="1:11">
      <c r="A34" s="1" t="s">
        <v>220</v>
      </c>
      <c r="B34" s="1" t="s">
        <v>147</v>
      </c>
      <c r="C34" s="1" t="s">
        <v>152</v>
      </c>
      <c r="D34" s="9">
        <v>46539</v>
      </c>
      <c r="E34" s="10">
        <v>15136</v>
      </c>
      <c r="F34" s="10">
        <v>6800</v>
      </c>
      <c r="G34" s="10">
        <f>E34-F34</f>
        <v>8336</v>
      </c>
      <c r="H34" s="7">
        <f>IF(E34=0,0,F34/E34)</f>
        <v>0.44926004228329808</v>
      </c>
      <c r="I34" s="8" t="str">
        <f>IF(H34&gt;0.97,"Sold Out",IF(H34&gt;=0.85,"Critical",IF(H34&gt;=0.7,"Constrained","Healthy")))</f>
        <v>Healthy</v>
      </c>
      <c r="J34" s="6">
        <v>0</v>
      </c>
      <c r="K34" s="9"/>
    </row>
    <row r="35" spans="1:11">
      <c r="A35" s="1" t="s">
        <v>220</v>
      </c>
      <c r="B35" s="1" t="s">
        <v>147</v>
      </c>
      <c r="C35" s="1" t="s">
        <v>152</v>
      </c>
      <c r="D35" s="9">
        <v>46569</v>
      </c>
      <c r="E35" s="10">
        <v>15136</v>
      </c>
      <c r="F35" s="10">
        <v>7024</v>
      </c>
      <c r="G35" s="10">
        <f>E35-F35</f>
        <v>8112</v>
      </c>
      <c r="H35" s="7">
        <f>IF(E35=0,0,F35/E35)</f>
        <v>0.46405919661733613</v>
      </c>
      <c r="I35" s="8" t="str">
        <f>IF(H35&gt;0.97,"Sold Out",IF(H35&gt;=0.85,"Critical",IF(H35&gt;=0.7,"Constrained","Healthy")))</f>
        <v>Healthy</v>
      </c>
      <c r="J35" s="6">
        <v>0</v>
      </c>
      <c r="K35" s="9"/>
    </row>
    <row r="36" spans="1:11">
      <c r="A36" s="1" t="s">
        <v>220</v>
      </c>
      <c r="B36" s="1" t="s">
        <v>147</v>
      </c>
      <c r="C36" s="1" t="s">
        <v>152</v>
      </c>
      <c r="D36" s="9">
        <v>46600</v>
      </c>
      <c r="E36" s="10">
        <v>15136</v>
      </c>
      <c r="F36" s="10">
        <v>7248</v>
      </c>
      <c r="G36" s="10">
        <f>E36-F36</f>
        <v>7888</v>
      </c>
      <c r="H36" s="7">
        <f>IF(E36=0,0,F36/E36)</f>
        <v>0.47885835095137419</v>
      </c>
      <c r="I36" s="8" t="str">
        <f>IF(H36&gt;0.97,"Sold Out",IF(H36&gt;=0.85,"Critical",IF(H36&gt;=0.7,"Constrained","Healthy")))</f>
        <v>Healthy</v>
      </c>
      <c r="J36" s="6">
        <v>0</v>
      </c>
      <c r="K36" s="9"/>
    </row>
    <row r="37" spans="1:11">
      <c r="A37" s="1" t="s">
        <v>220</v>
      </c>
      <c r="B37" s="1" t="s">
        <v>147</v>
      </c>
      <c r="C37" s="1" t="s">
        <v>152</v>
      </c>
      <c r="D37" s="9">
        <v>46631</v>
      </c>
      <c r="E37" s="10">
        <v>15136</v>
      </c>
      <c r="F37" s="10">
        <v>7472</v>
      </c>
      <c r="G37" s="10">
        <f>E37-F37</f>
        <v>7664</v>
      </c>
      <c r="H37" s="7">
        <f>IF(E37=0,0,F37/E37)</f>
        <v>0.49365750528541225</v>
      </c>
      <c r="I37" s="8" t="str">
        <f>IF(H37&gt;0.97,"Sold Out",IF(H37&gt;=0.85,"Critical",IF(H37&gt;=0.7,"Constrained","Healthy")))</f>
        <v>Healthy</v>
      </c>
      <c r="J37" s="6">
        <v>0</v>
      </c>
      <c r="K37" s="9"/>
    </row>
    <row r="38" spans="1:11">
      <c r="A38" s="1" t="s">
        <v>220</v>
      </c>
      <c r="B38" s="1" t="s">
        <v>147</v>
      </c>
      <c r="C38" s="1" t="s">
        <v>155</v>
      </c>
      <c r="D38" s="9">
        <v>46296</v>
      </c>
      <c r="E38" s="10">
        <v>24864</v>
      </c>
      <c r="F38" s="10">
        <v>13280</v>
      </c>
      <c r="G38" s="10">
        <f>E38-F38</f>
        <v>11584</v>
      </c>
      <c r="H38" s="7">
        <f>IF(E38=0,0,F38/E38)</f>
        <v>0.53410553410553407</v>
      </c>
      <c r="I38" s="8" t="str">
        <f>IF(H38&gt;0.97,"Sold Out",IF(H38&gt;=0.85,"Critical",IF(H38&gt;=0.7,"Constrained","Healthy")))</f>
        <v>Healthy</v>
      </c>
      <c r="J38" s="6">
        <v>0</v>
      </c>
      <c r="K38" s="9"/>
    </row>
    <row r="39" spans="1:11">
      <c r="A39" s="1" t="s">
        <v>220</v>
      </c>
      <c r="B39" s="1" t="s">
        <v>147</v>
      </c>
      <c r="C39" s="1" t="s">
        <v>155</v>
      </c>
      <c r="D39" s="9">
        <v>46327</v>
      </c>
      <c r="E39" s="10">
        <v>24864</v>
      </c>
      <c r="F39" s="10">
        <v>13696</v>
      </c>
      <c r="G39" s="10">
        <f>E39-F39</f>
        <v>11168</v>
      </c>
      <c r="H39" s="7">
        <f>IF(E39=0,0,F39/E39)</f>
        <v>0.55083655083655081</v>
      </c>
      <c r="I39" s="8" t="str">
        <f>IF(H39&gt;0.97,"Sold Out",IF(H39&gt;=0.85,"Critical",IF(H39&gt;=0.7,"Constrained","Healthy")))</f>
        <v>Healthy</v>
      </c>
      <c r="J39" s="6">
        <v>0</v>
      </c>
      <c r="K39" s="9"/>
    </row>
    <row r="40" spans="1:11">
      <c r="A40" s="1" t="s">
        <v>220</v>
      </c>
      <c r="B40" s="1" t="s">
        <v>147</v>
      </c>
      <c r="C40" s="1" t="s">
        <v>155</v>
      </c>
      <c r="D40" s="9">
        <v>46357</v>
      </c>
      <c r="E40" s="10">
        <v>24864</v>
      </c>
      <c r="F40" s="10">
        <v>14144</v>
      </c>
      <c r="G40" s="10">
        <f>E40-F40</f>
        <v>10720</v>
      </c>
      <c r="H40" s="7">
        <f>IF(E40=0,0,F40/E40)</f>
        <v>0.56885456885456886</v>
      </c>
      <c r="I40" s="8" t="str">
        <f>IF(H40&gt;0.97,"Sold Out",IF(H40&gt;=0.85,"Critical",IF(H40&gt;=0.7,"Constrained","Healthy")))</f>
        <v>Healthy</v>
      </c>
      <c r="J40" s="6">
        <v>0</v>
      </c>
      <c r="K40" s="9"/>
    </row>
    <row r="41" spans="1:11">
      <c r="A41" s="1" t="s">
        <v>220</v>
      </c>
      <c r="B41" s="1" t="s">
        <v>147</v>
      </c>
      <c r="C41" s="1" t="s">
        <v>155</v>
      </c>
      <c r="D41" s="9">
        <v>46388</v>
      </c>
      <c r="E41" s="10">
        <v>24864</v>
      </c>
      <c r="F41" s="10">
        <v>14592</v>
      </c>
      <c r="G41" s="10">
        <f>E41-F41</f>
        <v>10272</v>
      </c>
      <c r="H41" s="7">
        <f>IF(E41=0,0,F41/E41)</f>
        <v>0.58687258687258692</v>
      </c>
      <c r="I41" s="8" t="str">
        <f>IF(H41&gt;0.97,"Sold Out",IF(H41&gt;=0.85,"Critical",IF(H41&gt;=0.7,"Constrained","Healthy")))</f>
        <v>Healthy</v>
      </c>
      <c r="J41" s="6">
        <v>0</v>
      </c>
      <c r="K41" s="9"/>
    </row>
    <row r="42" spans="1:11">
      <c r="A42" s="1" t="s">
        <v>220</v>
      </c>
      <c r="B42" s="1" t="s">
        <v>147</v>
      </c>
      <c r="C42" s="1" t="s">
        <v>155</v>
      </c>
      <c r="D42" s="9">
        <v>46419</v>
      </c>
      <c r="E42" s="10">
        <v>24864</v>
      </c>
      <c r="F42" s="10">
        <v>15072</v>
      </c>
      <c r="G42" s="10">
        <f>E42-F42</f>
        <v>9792</v>
      </c>
      <c r="H42" s="7">
        <f>IF(E42=0,0,F42/E42)</f>
        <v>0.60617760617760619</v>
      </c>
      <c r="I42" s="8" t="str">
        <f>IF(H42&gt;0.97,"Sold Out",IF(H42&gt;=0.85,"Critical",IF(H42&gt;=0.7,"Constrained","Healthy")))</f>
        <v>Healthy</v>
      </c>
      <c r="J42" s="6">
        <v>0</v>
      </c>
      <c r="K42" s="9"/>
    </row>
    <row r="43" spans="1:11">
      <c r="A43" s="1" t="s">
        <v>220</v>
      </c>
      <c r="B43" s="1" t="s">
        <v>147</v>
      </c>
      <c r="C43" s="1" t="s">
        <v>155</v>
      </c>
      <c r="D43" s="9">
        <v>46447</v>
      </c>
      <c r="E43" s="10">
        <v>24864</v>
      </c>
      <c r="F43" s="10">
        <v>15552</v>
      </c>
      <c r="G43" s="10">
        <f>E43-F43</f>
        <v>9312</v>
      </c>
      <c r="H43" s="7">
        <f>IF(E43=0,0,F43/E43)</f>
        <v>0.62548262548262545</v>
      </c>
      <c r="I43" s="8" t="str">
        <f>IF(H43&gt;0.97,"Sold Out",IF(H43&gt;=0.85,"Critical",IF(H43&gt;=0.7,"Constrained","Healthy")))</f>
        <v>Healthy</v>
      </c>
      <c r="J43" s="6">
        <v>0</v>
      </c>
      <c r="K43" s="9"/>
    </row>
    <row r="44" spans="1:11">
      <c r="A44" s="1" t="s">
        <v>220</v>
      </c>
      <c r="B44" s="1" t="s">
        <v>147</v>
      </c>
      <c r="C44" s="1" t="s">
        <v>155</v>
      </c>
      <c r="D44" s="9">
        <v>46478</v>
      </c>
      <c r="E44" s="10">
        <v>34816</v>
      </c>
      <c r="F44" s="10">
        <v>16064</v>
      </c>
      <c r="G44" s="10">
        <f>E44-F44</f>
        <v>18752</v>
      </c>
      <c r="H44" s="7">
        <f>IF(E44=0,0,F44/E44)</f>
        <v>0.46139705882352944</v>
      </c>
      <c r="I44" s="8" t="str">
        <f>IF(H44&gt;0.97,"Sold Out",IF(H44&gt;=0.85,"Critical",IF(H44&gt;=0.7,"Constrained","Healthy")))</f>
        <v>Healthy</v>
      </c>
      <c r="J44" s="6">
        <v>9952</v>
      </c>
      <c r="K44" s="9">
        <v>46478</v>
      </c>
    </row>
    <row r="45" spans="1:11">
      <c r="A45" s="1" t="s">
        <v>220</v>
      </c>
      <c r="B45" s="1" t="s">
        <v>147</v>
      </c>
      <c r="C45" s="1" t="s">
        <v>155</v>
      </c>
      <c r="D45" s="9">
        <v>46508</v>
      </c>
      <c r="E45" s="10">
        <v>34816</v>
      </c>
      <c r="F45" s="10">
        <v>16576</v>
      </c>
      <c r="G45" s="10">
        <f>E45-F45</f>
        <v>18240</v>
      </c>
      <c r="H45" s="7">
        <f>IF(E45=0,0,F45/E45)</f>
        <v>0.47610294117647056</v>
      </c>
      <c r="I45" s="8" t="str">
        <f>IF(H45&gt;0.97,"Sold Out",IF(H45&gt;=0.85,"Critical",IF(H45&gt;=0.7,"Constrained","Healthy")))</f>
        <v>Healthy</v>
      </c>
      <c r="J45" s="6">
        <v>0</v>
      </c>
      <c r="K45" s="9"/>
    </row>
    <row r="46" spans="1:11">
      <c r="A46" s="1" t="s">
        <v>220</v>
      </c>
      <c r="B46" s="1" t="s">
        <v>147</v>
      </c>
      <c r="C46" s="1" t="s">
        <v>155</v>
      </c>
      <c r="D46" s="9">
        <v>46539</v>
      </c>
      <c r="E46" s="10">
        <v>34816</v>
      </c>
      <c r="F46" s="10">
        <v>17120</v>
      </c>
      <c r="G46" s="10">
        <f>E46-F46</f>
        <v>17696</v>
      </c>
      <c r="H46" s="7">
        <f>IF(E46=0,0,F46/E46)</f>
        <v>0.49172794117647056</v>
      </c>
      <c r="I46" s="8" t="str">
        <f>IF(H46&gt;0.97,"Sold Out",IF(H46&gt;=0.85,"Critical",IF(H46&gt;=0.7,"Constrained","Healthy")))</f>
        <v>Healthy</v>
      </c>
      <c r="J46" s="6">
        <v>0</v>
      </c>
      <c r="K46" s="9"/>
    </row>
    <row r="47" spans="1:11">
      <c r="A47" s="1" t="s">
        <v>220</v>
      </c>
      <c r="B47" s="1" t="s">
        <v>147</v>
      </c>
      <c r="C47" s="1" t="s">
        <v>155</v>
      </c>
      <c r="D47" s="9">
        <v>46569</v>
      </c>
      <c r="E47" s="10">
        <v>34816</v>
      </c>
      <c r="F47" s="10">
        <v>17664</v>
      </c>
      <c r="G47" s="10">
        <f>E47-F47</f>
        <v>17152</v>
      </c>
      <c r="H47" s="7">
        <f>IF(E47=0,0,F47/E47)</f>
        <v>0.50735294117647056</v>
      </c>
      <c r="I47" s="8" t="str">
        <f>IF(H47&gt;0.97,"Sold Out",IF(H47&gt;=0.85,"Critical",IF(H47&gt;=0.7,"Constrained","Healthy")))</f>
        <v>Healthy</v>
      </c>
      <c r="J47" s="6">
        <v>0</v>
      </c>
      <c r="K47" s="9"/>
    </row>
    <row r="48" spans="1:11">
      <c r="A48" s="1" t="s">
        <v>220</v>
      </c>
      <c r="B48" s="1" t="s">
        <v>147</v>
      </c>
      <c r="C48" s="1" t="s">
        <v>155</v>
      </c>
      <c r="D48" s="9">
        <v>46600</v>
      </c>
      <c r="E48" s="10">
        <v>34816</v>
      </c>
      <c r="F48" s="10">
        <v>18240</v>
      </c>
      <c r="G48" s="10">
        <f>E48-F48</f>
        <v>16576</v>
      </c>
      <c r="H48" s="7">
        <f>IF(E48=0,0,F48/E48)</f>
        <v>0.52389705882352944</v>
      </c>
      <c r="I48" s="8" t="str">
        <f>IF(H48&gt;0.97,"Sold Out",IF(H48&gt;=0.85,"Critical",IF(H48&gt;=0.7,"Constrained","Healthy")))</f>
        <v>Healthy</v>
      </c>
      <c r="J48" s="6">
        <v>0</v>
      </c>
      <c r="K48" s="9"/>
    </row>
    <row r="49" spans="1:11">
      <c r="A49" s="1" t="s">
        <v>220</v>
      </c>
      <c r="B49" s="1" t="s">
        <v>147</v>
      </c>
      <c r="C49" s="1" t="s">
        <v>155</v>
      </c>
      <c r="D49" s="9">
        <v>46631</v>
      </c>
      <c r="E49" s="10">
        <v>34816</v>
      </c>
      <c r="F49" s="10">
        <v>18816</v>
      </c>
      <c r="G49" s="10">
        <f>E49-F49</f>
        <v>16000</v>
      </c>
      <c r="H49" s="7">
        <f>IF(E49=0,0,F49/E49)</f>
        <v>0.5404411764705882</v>
      </c>
      <c r="I49" s="8" t="str">
        <f>IF(H49&gt;0.97,"Sold Out",IF(H49&gt;=0.85,"Critical",IF(H49&gt;=0.7,"Constrained","Healthy")))</f>
        <v>Healthy</v>
      </c>
      <c r="J49" s="6">
        <v>0</v>
      </c>
      <c r="K49" s="9"/>
    </row>
    <row r="50" spans="1:11">
      <c r="A50" s="1" t="s">
        <v>259</v>
      </c>
      <c r="B50" s="1" t="s">
        <v>147</v>
      </c>
      <c r="C50" s="1" t="s">
        <v>152</v>
      </c>
      <c r="D50" s="9">
        <v>46296</v>
      </c>
      <c r="E50" s="10">
        <v>3328</v>
      </c>
      <c r="F50" s="10">
        <v>1488</v>
      </c>
      <c r="G50" s="10">
        <f>E50-F50</f>
        <v>1840</v>
      </c>
      <c r="H50" s="7">
        <f>IF(E50=0,0,F50/E50)</f>
        <v>0.44711538461538464</v>
      </c>
      <c r="I50" s="8" t="str">
        <f>IF(H50&gt;0.97,"Sold Out",IF(H50&gt;=0.85,"Critical",IF(H50&gt;=0.7,"Constrained","Healthy")))</f>
        <v>Healthy</v>
      </c>
      <c r="J50" s="6">
        <v>0</v>
      </c>
      <c r="K50" s="9"/>
    </row>
    <row r="51" spans="1:11">
      <c r="A51" s="1" t="s">
        <v>259</v>
      </c>
      <c r="B51" s="1" t="s">
        <v>147</v>
      </c>
      <c r="C51" s="1" t="s">
        <v>152</v>
      </c>
      <c r="D51" s="9">
        <v>46327</v>
      </c>
      <c r="E51" s="10">
        <v>3328</v>
      </c>
      <c r="F51" s="10">
        <v>1536</v>
      </c>
      <c r="G51" s="10">
        <f>E51-F51</f>
        <v>1792</v>
      </c>
      <c r="H51" s="7">
        <f>IF(E51=0,0,F51/E51)</f>
        <v>0.46153846153846156</v>
      </c>
      <c r="I51" s="8" t="str">
        <f>IF(H51&gt;0.97,"Sold Out",IF(H51&gt;=0.85,"Critical",IF(H51&gt;=0.7,"Constrained","Healthy")))</f>
        <v>Healthy</v>
      </c>
      <c r="J51" s="6">
        <v>0</v>
      </c>
      <c r="K51" s="9"/>
    </row>
    <row r="52" spans="1:11">
      <c r="A52" s="1" t="s">
        <v>259</v>
      </c>
      <c r="B52" s="1" t="s">
        <v>147</v>
      </c>
      <c r="C52" s="1" t="s">
        <v>152</v>
      </c>
      <c r="D52" s="9">
        <v>46357</v>
      </c>
      <c r="E52" s="10">
        <v>3328</v>
      </c>
      <c r="F52" s="10">
        <v>1584</v>
      </c>
      <c r="G52" s="10">
        <f>E52-F52</f>
        <v>1744</v>
      </c>
      <c r="H52" s="7">
        <f>IF(E52=0,0,F52/E52)</f>
        <v>0.47596153846153844</v>
      </c>
      <c r="I52" s="8" t="str">
        <f>IF(H52&gt;0.97,"Sold Out",IF(H52&gt;=0.85,"Critical",IF(H52&gt;=0.7,"Constrained","Healthy")))</f>
        <v>Healthy</v>
      </c>
      <c r="J52" s="6">
        <v>0</v>
      </c>
      <c r="K52" s="9"/>
    </row>
    <row r="53" spans="1:11">
      <c r="A53" s="1" t="s">
        <v>259</v>
      </c>
      <c r="B53" s="1" t="s">
        <v>147</v>
      </c>
      <c r="C53" s="1" t="s">
        <v>152</v>
      </c>
      <c r="D53" s="9">
        <v>46388</v>
      </c>
      <c r="E53" s="10">
        <v>3328</v>
      </c>
      <c r="F53" s="10">
        <v>1632</v>
      </c>
      <c r="G53" s="10">
        <f>E53-F53</f>
        <v>1696</v>
      </c>
      <c r="H53" s="7">
        <f>IF(E53=0,0,F53/E53)</f>
        <v>0.49038461538461536</v>
      </c>
      <c r="I53" s="8" t="str">
        <f>IF(H53&gt;0.97,"Sold Out",IF(H53&gt;=0.85,"Critical",IF(H53&gt;=0.7,"Constrained","Healthy")))</f>
        <v>Healthy</v>
      </c>
      <c r="J53" s="6">
        <v>0</v>
      </c>
      <c r="K53" s="9"/>
    </row>
    <row r="54" spans="1:11">
      <c r="A54" s="1" t="s">
        <v>259</v>
      </c>
      <c r="B54" s="1" t="s">
        <v>147</v>
      </c>
      <c r="C54" s="1" t="s">
        <v>152</v>
      </c>
      <c r="D54" s="9">
        <v>46419</v>
      </c>
      <c r="E54" s="10">
        <v>3328</v>
      </c>
      <c r="F54" s="10">
        <v>1680</v>
      </c>
      <c r="G54" s="10">
        <f>E54-F54</f>
        <v>1648</v>
      </c>
      <c r="H54" s="7">
        <f>IF(E54=0,0,F54/E54)</f>
        <v>0.50480769230769229</v>
      </c>
      <c r="I54" s="8" t="str">
        <f>IF(H54&gt;0.97,"Sold Out",IF(H54&gt;=0.85,"Critical",IF(H54&gt;=0.7,"Constrained","Healthy")))</f>
        <v>Healthy</v>
      </c>
      <c r="J54" s="6">
        <v>0</v>
      </c>
      <c r="K54" s="9"/>
    </row>
    <row r="55" spans="1:11">
      <c r="A55" s="1" t="s">
        <v>259</v>
      </c>
      <c r="B55" s="1" t="s">
        <v>147</v>
      </c>
      <c r="C55" s="1" t="s">
        <v>152</v>
      </c>
      <c r="D55" s="9">
        <v>46447</v>
      </c>
      <c r="E55" s="10">
        <v>3328</v>
      </c>
      <c r="F55" s="10">
        <v>1728</v>
      </c>
      <c r="G55" s="10">
        <f>E55-F55</f>
        <v>1600</v>
      </c>
      <c r="H55" s="7">
        <f>IF(E55=0,0,F55/E55)</f>
        <v>0.51923076923076927</v>
      </c>
      <c r="I55" s="8" t="str">
        <f>IF(H55&gt;0.97,"Sold Out",IF(H55&gt;=0.85,"Critical",IF(H55&gt;=0.7,"Constrained","Healthy")))</f>
        <v>Healthy</v>
      </c>
      <c r="J55" s="6">
        <v>0</v>
      </c>
      <c r="K55" s="9"/>
    </row>
    <row r="56" spans="1:11">
      <c r="A56" s="1" t="s">
        <v>259</v>
      </c>
      <c r="B56" s="1" t="s">
        <v>147</v>
      </c>
      <c r="C56" s="1" t="s">
        <v>152</v>
      </c>
      <c r="D56" s="9">
        <v>46478</v>
      </c>
      <c r="E56" s="10">
        <v>3328</v>
      </c>
      <c r="F56" s="10">
        <v>1776</v>
      </c>
      <c r="G56" s="10">
        <f>E56-F56</f>
        <v>1552</v>
      </c>
      <c r="H56" s="7">
        <f>IF(E56=0,0,F56/E56)</f>
        <v>0.53365384615384615</v>
      </c>
      <c r="I56" s="8" t="str">
        <f>IF(H56&gt;0.97,"Sold Out",IF(H56&gt;=0.85,"Critical",IF(H56&gt;=0.7,"Constrained","Healthy")))</f>
        <v>Healthy</v>
      </c>
      <c r="J56" s="6">
        <v>0</v>
      </c>
      <c r="K56" s="9"/>
    </row>
    <row r="57" spans="1:11">
      <c r="A57" s="1" t="s">
        <v>259</v>
      </c>
      <c r="B57" s="1" t="s">
        <v>147</v>
      </c>
      <c r="C57" s="1" t="s">
        <v>152</v>
      </c>
      <c r="D57" s="9">
        <v>46508</v>
      </c>
      <c r="E57" s="10">
        <v>3328</v>
      </c>
      <c r="F57" s="10">
        <v>1840</v>
      </c>
      <c r="G57" s="10">
        <f>E57-F57</f>
        <v>1488</v>
      </c>
      <c r="H57" s="7">
        <f>IF(E57=0,0,F57/E57)</f>
        <v>0.55288461538461542</v>
      </c>
      <c r="I57" s="8" t="str">
        <f>IF(H57&gt;0.97,"Sold Out",IF(H57&gt;=0.85,"Critical",IF(H57&gt;=0.7,"Constrained","Healthy")))</f>
        <v>Healthy</v>
      </c>
      <c r="J57" s="6">
        <v>0</v>
      </c>
      <c r="K57" s="9"/>
    </row>
    <row r="58" spans="1:11">
      <c r="A58" s="1" t="s">
        <v>259</v>
      </c>
      <c r="B58" s="1" t="s">
        <v>147</v>
      </c>
      <c r="C58" s="1" t="s">
        <v>152</v>
      </c>
      <c r="D58" s="9">
        <v>46539</v>
      </c>
      <c r="E58" s="10">
        <v>4080</v>
      </c>
      <c r="F58" s="10">
        <v>1904</v>
      </c>
      <c r="G58" s="10">
        <f>E58-F58</f>
        <v>2176</v>
      </c>
      <c r="H58" s="7">
        <f>IF(E58=0,0,F58/E58)</f>
        <v>0.46666666666666667</v>
      </c>
      <c r="I58" s="8" t="str">
        <f>IF(H58&gt;0.97,"Sold Out",IF(H58&gt;=0.85,"Critical",IF(H58&gt;=0.7,"Constrained","Healthy")))</f>
        <v>Healthy</v>
      </c>
      <c r="J58" s="6">
        <v>752</v>
      </c>
      <c r="K58" s="9">
        <v>46539</v>
      </c>
    </row>
    <row r="59" spans="1:11">
      <c r="A59" s="1" t="s">
        <v>259</v>
      </c>
      <c r="B59" s="1" t="s">
        <v>147</v>
      </c>
      <c r="C59" s="1" t="s">
        <v>152</v>
      </c>
      <c r="D59" s="9">
        <v>46569</v>
      </c>
      <c r="E59" s="10">
        <v>4080</v>
      </c>
      <c r="F59" s="10">
        <v>1968</v>
      </c>
      <c r="G59" s="10">
        <f>E59-F59</f>
        <v>2112</v>
      </c>
      <c r="H59" s="7">
        <f>IF(E59=0,0,F59/E59)</f>
        <v>0.4823529411764706</v>
      </c>
      <c r="I59" s="8" t="str">
        <f>IF(H59&gt;0.97,"Sold Out",IF(H59&gt;=0.85,"Critical",IF(H59&gt;=0.7,"Constrained","Healthy")))</f>
        <v>Healthy</v>
      </c>
      <c r="J59" s="6">
        <v>0</v>
      </c>
      <c r="K59" s="9"/>
    </row>
    <row r="60" spans="1:11">
      <c r="A60" s="1" t="s">
        <v>259</v>
      </c>
      <c r="B60" s="1" t="s">
        <v>147</v>
      </c>
      <c r="C60" s="1" t="s">
        <v>152</v>
      </c>
      <c r="D60" s="9">
        <v>46600</v>
      </c>
      <c r="E60" s="10">
        <v>4080</v>
      </c>
      <c r="F60" s="10">
        <v>2032</v>
      </c>
      <c r="G60" s="10">
        <f>E60-F60</f>
        <v>2048</v>
      </c>
      <c r="H60" s="7">
        <f>IF(E60=0,0,F60/E60)</f>
        <v>0.49803921568627452</v>
      </c>
      <c r="I60" s="8" t="str">
        <f>IF(H60&gt;0.97,"Sold Out",IF(H60&gt;=0.85,"Critical",IF(H60&gt;=0.7,"Constrained","Healthy")))</f>
        <v>Healthy</v>
      </c>
      <c r="J60" s="6">
        <v>0</v>
      </c>
      <c r="K60" s="9"/>
    </row>
    <row r="61" spans="1:11">
      <c r="A61" s="1" t="s">
        <v>259</v>
      </c>
      <c r="B61" s="1" t="s">
        <v>147</v>
      </c>
      <c r="C61" s="1" t="s">
        <v>152</v>
      </c>
      <c r="D61" s="9">
        <v>46631</v>
      </c>
      <c r="E61" s="10">
        <v>4080</v>
      </c>
      <c r="F61" s="10">
        <v>2096</v>
      </c>
      <c r="G61" s="10">
        <f>E61-F61</f>
        <v>1984</v>
      </c>
      <c r="H61" s="7">
        <f>IF(E61=0,0,F61/E61)</f>
        <v>0.51372549019607838</v>
      </c>
      <c r="I61" s="8" t="str">
        <f>IF(H61&gt;0.97,"Sold Out",IF(H61&gt;=0.85,"Critical",IF(H61&gt;=0.7,"Constrained","Healthy")))</f>
        <v>Healthy</v>
      </c>
      <c r="J61" s="6">
        <v>0</v>
      </c>
      <c r="K61" s="9"/>
    </row>
    <row r="62" spans="1:11">
      <c r="A62" s="1" t="s">
        <v>259</v>
      </c>
      <c r="B62" s="1" t="s">
        <v>147</v>
      </c>
      <c r="C62" s="1" t="s">
        <v>155</v>
      </c>
      <c r="D62" s="9">
        <v>46296</v>
      </c>
      <c r="E62" s="10">
        <v>18496</v>
      </c>
      <c r="F62" s="10">
        <v>10208</v>
      </c>
      <c r="G62" s="10">
        <f>E62-F62</f>
        <v>8288</v>
      </c>
      <c r="H62" s="7">
        <f>IF(E62=0,0,F62/E62)</f>
        <v>0.55190311418685123</v>
      </c>
      <c r="I62" s="8" t="str">
        <f>IF(H62&gt;0.97,"Sold Out",IF(H62&gt;=0.85,"Critical",IF(H62&gt;=0.7,"Constrained","Healthy")))</f>
        <v>Healthy</v>
      </c>
      <c r="J62" s="6">
        <v>0</v>
      </c>
      <c r="K62" s="9"/>
    </row>
    <row r="63" spans="1:11">
      <c r="A63" s="1" t="s">
        <v>259</v>
      </c>
      <c r="B63" s="1" t="s">
        <v>147</v>
      </c>
      <c r="C63" s="1" t="s">
        <v>155</v>
      </c>
      <c r="D63" s="9">
        <v>46327</v>
      </c>
      <c r="E63" s="10">
        <v>18496</v>
      </c>
      <c r="F63" s="10">
        <v>10528</v>
      </c>
      <c r="G63" s="10">
        <f>E63-F63</f>
        <v>7968</v>
      </c>
      <c r="H63" s="7">
        <f>IF(E63=0,0,F63/E63)</f>
        <v>0.5692041522491349</v>
      </c>
      <c r="I63" s="8" t="str">
        <f>IF(H63&gt;0.97,"Sold Out",IF(H63&gt;=0.85,"Critical",IF(H63&gt;=0.7,"Constrained","Healthy")))</f>
        <v>Healthy</v>
      </c>
      <c r="J63" s="6">
        <v>0</v>
      </c>
      <c r="K63" s="9"/>
    </row>
    <row r="64" spans="1:11">
      <c r="A64" s="1" t="s">
        <v>259</v>
      </c>
      <c r="B64" s="1" t="s">
        <v>147</v>
      </c>
      <c r="C64" s="1" t="s">
        <v>155</v>
      </c>
      <c r="D64" s="9">
        <v>46357</v>
      </c>
      <c r="E64" s="10">
        <v>18496</v>
      </c>
      <c r="F64" s="10">
        <v>10880</v>
      </c>
      <c r="G64" s="10">
        <f>E64-F64</f>
        <v>7616</v>
      </c>
      <c r="H64" s="7">
        <f>IF(E64=0,0,F64/E64)</f>
        <v>0.58823529411764708</v>
      </c>
      <c r="I64" s="8" t="str">
        <f>IF(H64&gt;0.97,"Sold Out",IF(H64&gt;=0.85,"Critical",IF(H64&gt;=0.7,"Constrained","Healthy")))</f>
        <v>Healthy</v>
      </c>
      <c r="J64" s="6">
        <v>0</v>
      </c>
      <c r="K64" s="9"/>
    </row>
    <row r="65" spans="1:11">
      <c r="A65" s="1" t="s">
        <v>259</v>
      </c>
      <c r="B65" s="1" t="s">
        <v>147</v>
      </c>
      <c r="C65" s="1" t="s">
        <v>155</v>
      </c>
      <c r="D65" s="9">
        <v>46388</v>
      </c>
      <c r="E65" s="10">
        <v>18496</v>
      </c>
      <c r="F65" s="10">
        <v>11232</v>
      </c>
      <c r="G65" s="10">
        <f>E65-F65</f>
        <v>7264</v>
      </c>
      <c r="H65" s="7">
        <f>IF(E65=0,0,F65/E65)</f>
        <v>0.60726643598615915</v>
      </c>
      <c r="I65" s="8" t="str">
        <f>IF(H65&gt;0.97,"Sold Out",IF(H65&gt;=0.85,"Critical",IF(H65&gt;=0.7,"Constrained","Healthy")))</f>
        <v>Healthy</v>
      </c>
      <c r="J65" s="6">
        <v>0</v>
      </c>
      <c r="K65" s="9"/>
    </row>
    <row r="66" spans="1:11">
      <c r="A66" s="1" t="s">
        <v>259</v>
      </c>
      <c r="B66" s="1" t="s">
        <v>147</v>
      </c>
      <c r="C66" s="1" t="s">
        <v>155</v>
      </c>
      <c r="D66" s="9">
        <v>46419</v>
      </c>
      <c r="E66" s="10">
        <v>18496</v>
      </c>
      <c r="F66" s="10">
        <v>11584</v>
      </c>
      <c r="G66" s="10">
        <f>E66-F66</f>
        <v>6912</v>
      </c>
      <c r="H66" s="7">
        <f>IF(E66=0,0,F66/E66)</f>
        <v>0.62629757785467133</v>
      </c>
      <c r="I66" s="8" t="str">
        <f>IF(H66&gt;0.97,"Sold Out",IF(H66&gt;=0.85,"Critical",IF(H66&gt;=0.7,"Constrained","Healthy")))</f>
        <v>Healthy</v>
      </c>
      <c r="J66" s="6">
        <v>0</v>
      </c>
      <c r="K66" s="9"/>
    </row>
    <row r="67" spans="1:11">
      <c r="A67" s="1" t="s">
        <v>259</v>
      </c>
      <c r="B67" s="1" t="s">
        <v>147</v>
      </c>
      <c r="C67" s="1" t="s">
        <v>155</v>
      </c>
      <c r="D67" s="9">
        <v>46447</v>
      </c>
      <c r="E67" s="10">
        <v>18496</v>
      </c>
      <c r="F67" s="10">
        <v>11968</v>
      </c>
      <c r="G67" s="10">
        <f>E67-F67</f>
        <v>6528</v>
      </c>
      <c r="H67" s="7">
        <f>IF(E67=0,0,F67/E67)</f>
        <v>0.6470588235294118</v>
      </c>
      <c r="I67" s="8" t="str">
        <f>IF(H67&gt;0.97,"Sold Out",IF(H67&gt;=0.85,"Critical",IF(H67&gt;=0.7,"Constrained","Healthy")))</f>
        <v>Healthy</v>
      </c>
      <c r="J67" s="6">
        <v>0</v>
      </c>
      <c r="K67" s="9"/>
    </row>
    <row r="68" spans="1:11">
      <c r="A68" s="1" t="s">
        <v>259</v>
      </c>
      <c r="B68" s="1" t="s">
        <v>147</v>
      </c>
      <c r="C68" s="1" t="s">
        <v>155</v>
      </c>
      <c r="D68" s="9">
        <v>46478</v>
      </c>
      <c r="E68" s="10">
        <v>21824</v>
      </c>
      <c r="F68" s="10">
        <v>12352</v>
      </c>
      <c r="G68" s="10">
        <f>E68-F68</f>
        <v>9472</v>
      </c>
      <c r="H68" s="7">
        <f>IF(E68=0,0,F68/E68)</f>
        <v>0.56598240469208216</v>
      </c>
      <c r="I68" s="8" t="str">
        <f>IF(H68&gt;0.97,"Sold Out",IF(H68&gt;=0.85,"Critical",IF(H68&gt;=0.7,"Constrained","Healthy")))</f>
        <v>Healthy</v>
      </c>
      <c r="J68" s="6">
        <v>3328</v>
      </c>
      <c r="K68" s="9">
        <v>46478</v>
      </c>
    </row>
    <row r="69" spans="1:11">
      <c r="A69" s="1" t="s">
        <v>259</v>
      </c>
      <c r="B69" s="1" t="s">
        <v>147</v>
      </c>
      <c r="C69" s="1" t="s">
        <v>155</v>
      </c>
      <c r="D69" s="9">
        <v>46508</v>
      </c>
      <c r="E69" s="10">
        <v>21824</v>
      </c>
      <c r="F69" s="10">
        <v>12736</v>
      </c>
      <c r="G69" s="10">
        <f>E69-F69</f>
        <v>9088</v>
      </c>
      <c r="H69" s="7">
        <f>IF(E69=0,0,F69/E69)</f>
        <v>0.58357771260997071</v>
      </c>
      <c r="I69" s="8" t="str">
        <f>IF(H69&gt;0.97,"Sold Out",IF(H69&gt;=0.85,"Critical",IF(H69&gt;=0.7,"Constrained","Healthy")))</f>
        <v>Healthy</v>
      </c>
      <c r="J69" s="6">
        <v>0</v>
      </c>
      <c r="K69" s="9"/>
    </row>
    <row r="70" spans="1:11">
      <c r="A70" s="1" t="s">
        <v>259</v>
      </c>
      <c r="B70" s="1" t="s">
        <v>147</v>
      </c>
      <c r="C70" s="1" t="s">
        <v>155</v>
      </c>
      <c r="D70" s="9">
        <v>46539</v>
      </c>
      <c r="E70" s="10">
        <v>21824</v>
      </c>
      <c r="F70" s="10">
        <v>13152</v>
      </c>
      <c r="G70" s="10">
        <f>E70-F70</f>
        <v>8672</v>
      </c>
      <c r="H70" s="7">
        <f>IF(E70=0,0,F70/E70)</f>
        <v>0.6026392961876833</v>
      </c>
      <c r="I70" s="8" t="str">
        <f>IF(H70&gt;0.97,"Sold Out",IF(H70&gt;=0.85,"Critical",IF(H70&gt;=0.7,"Constrained","Healthy")))</f>
        <v>Healthy</v>
      </c>
      <c r="J70" s="6">
        <v>0</v>
      </c>
      <c r="K70" s="9"/>
    </row>
    <row r="71" spans="1:11">
      <c r="A71" s="1" t="s">
        <v>259</v>
      </c>
      <c r="B71" s="1" t="s">
        <v>147</v>
      </c>
      <c r="C71" s="1" t="s">
        <v>155</v>
      </c>
      <c r="D71" s="9">
        <v>46569</v>
      </c>
      <c r="E71" s="10">
        <v>21824</v>
      </c>
      <c r="F71" s="10">
        <v>13568</v>
      </c>
      <c r="G71" s="10">
        <f>E71-F71</f>
        <v>8256</v>
      </c>
      <c r="H71" s="7">
        <f>IF(E71=0,0,F71/E71)</f>
        <v>0.6217008797653959</v>
      </c>
      <c r="I71" s="8" t="str">
        <f>IF(H71&gt;0.97,"Sold Out",IF(H71&gt;=0.85,"Critical",IF(H71&gt;=0.7,"Constrained","Healthy")))</f>
        <v>Healthy</v>
      </c>
      <c r="J71" s="6">
        <v>0</v>
      </c>
      <c r="K71" s="9"/>
    </row>
    <row r="72" spans="1:11">
      <c r="A72" s="1" t="s">
        <v>259</v>
      </c>
      <c r="B72" s="1" t="s">
        <v>147</v>
      </c>
      <c r="C72" s="1" t="s">
        <v>155</v>
      </c>
      <c r="D72" s="9">
        <v>46600</v>
      </c>
      <c r="E72" s="10">
        <v>21824</v>
      </c>
      <c r="F72" s="10">
        <v>14016</v>
      </c>
      <c r="G72" s="10">
        <f>E72-F72</f>
        <v>7808</v>
      </c>
      <c r="H72" s="7">
        <f>IF(E72=0,0,F72/E72)</f>
        <v>0.64222873900293254</v>
      </c>
      <c r="I72" s="8" t="str">
        <f>IF(H72&gt;0.97,"Sold Out",IF(H72&gt;=0.85,"Critical",IF(H72&gt;=0.7,"Constrained","Healthy")))</f>
        <v>Healthy</v>
      </c>
      <c r="J72" s="6">
        <v>0</v>
      </c>
      <c r="K72" s="9"/>
    </row>
    <row r="73" spans="1:11">
      <c r="A73" s="1" t="s">
        <v>259</v>
      </c>
      <c r="B73" s="1" t="s">
        <v>147</v>
      </c>
      <c r="C73" s="1" t="s">
        <v>155</v>
      </c>
      <c r="D73" s="9">
        <v>46631</v>
      </c>
      <c r="E73" s="10">
        <v>21824</v>
      </c>
      <c r="F73" s="10">
        <v>14464</v>
      </c>
      <c r="G73" s="10">
        <f>E73-F73</f>
        <v>7360</v>
      </c>
      <c r="H73" s="7">
        <f>IF(E73=0,0,F73/E73)</f>
        <v>0.66275659824046917</v>
      </c>
      <c r="I73" s="8" t="str">
        <f>IF(H73&gt;0.97,"Sold Out",IF(H73&gt;=0.85,"Critical",IF(H73&gt;=0.7,"Constrained","Healthy")))</f>
        <v>Healthy</v>
      </c>
      <c r="J73" s="6">
        <v>0</v>
      </c>
      <c r="K73" s="9"/>
    </row>
    <row r="74" spans="1:11">
      <c r="A74" s="1" t="s">
        <v>296</v>
      </c>
      <c r="B74" s="1" t="s">
        <v>147</v>
      </c>
      <c r="C74" s="1" t="s">
        <v>152</v>
      </c>
      <c r="D74" s="9">
        <v>46296</v>
      </c>
      <c r="E74" s="10">
        <v>6320</v>
      </c>
      <c r="F74" s="10">
        <v>4336</v>
      </c>
      <c r="G74" s="10">
        <f>E74-F74</f>
        <v>1984</v>
      </c>
      <c r="H74" s="7">
        <f>IF(E74=0,0,F74/E74)</f>
        <v>0.6860759493670886</v>
      </c>
      <c r="I74" s="8" t="str">
        <f>IF(H74&gt;0.97,"Sold Out",IF(H74&gt;=0.85,"Critical",IF(H74&gt;=0.7,"Constrained","Healthy")))</f>
        <v>Healthy</v>
      </c>
      <c r="J74" s="6">
        <v>0</v>
      </c>
      <c r="K74" s="9"/>
    </row>
    <row r="75" spans="1:11">
      <c r="A75" s="1" t="s">
        <v>296</v>
      </c>
      <c r="B75" s="1" t="s">
        <v>147</v>
      </c>
      <c r="C75" s="1" t="s">
        <v>152</v>
      </c>
      <c r="D75" s="9">
        <v>46327</v>
      </c>
      <c r="E75" s="10">
        <v>6320</v>
      </c>
      <c r="F75" s="10">
        <v>4480</v>
      </c>
      <c r="G75" s="10">
        <f>E75-F75</f>
        <v>1840</v>
      </c>
      <c r="H75" s="7">
        <f>IF(E75=0,0,F75/E75)</f>
        <v>0.70886075949367089</v>
      </c>
      <c r="I75" s="8" t="str">
        <f>IF(H75&gt;0.97,"Sold Out",IF(H75&gt;=0.85,"Critical",IF(H75&gt;=0.7,"Constrained","Healthy")))</f>
        <v>Constrained</v>
      </c>
      <c r="J75" s="6">
        <v>0</v>
      </c>
      <c r="K75" s="9"/>
    </row>
    <row r="76" spans="1:11">
      <c r="A76" s="1" t="s">
        <v>296</v>
      </c>
      <c r="B76" s="1" t="s">
        <v>147</v>
      </c>
      <c r="C76" s="1" t="s">
        <v>152</v>
      </c>
      <c r="D76" s="9">
        <v>46357</v>
      </c>
      <c r="E76" s="10">
        <v>6320</v>
      </c>
      <c r="F76" s="10">
        <v>4624</v>
      </c>
      <c r="G76" s="10">
        <f>E76-F76</f>
        <v>1696</v>
      </c>
      <c r="H76" s="7">
        <f>IF(E76=0,0,F76/E76)</f>
        <v>0.73164556962025318</v>
      </c>
      <c r="I76" s="8" t="str">
        <f>IF(H76&gt;0.97,"Sold Out",IF(H76&gt;=0.85,"Critical",IF(H76&gt;=0.7,"Constrained","Healthy")))</f>
        <v>Constrained</v>
      </c>
      <c r="J76" s="6">
        <v>0</v>
      </c>
      <c r="K76" s="9"/>
    </row>
    <row r="77" spans="1:11">
      <c r="A77" s="1" t="s">
        <v>296</v>
      </c>
      <c r="B77" s="1" t="s">
        <v>147</v>
      </c>
      <c r="C77" s="1" t="s">
        <v>152</v>
      </c>
      <c r="D77" s="9">
        <v>46388</v>
      </c>
      <c r="E77" s="10">
        <v>6320</v>
      </c>
      <c r="F77" s="10">
        <v>4768</v>
      </c>
      <c r="G77" s="10">
        <f>E77-F77</f>
        <v>1552</v>
      </c>
      <c r="H77" s="7">
        <f>IF(E77=0,0,F77/E77)</f>
        <v>0.75443037974683547</v>
      </c>
      <c r="I77" s="8" t="str">
        <f>IF(H77&gt;0.97,"Sold Out",IF(H77&gt;=0.85,"Critical",IF(H77&gt;=0.7,"Constrained","Healthy")))</f>
        <v>Constrained</v>
      </c>
      <c r="J77" s="6">
        <v>0</v>
      </c>
      <c r="K77" s="9"/>
    </row>
    <row r="78" spans="1:11">
      <c r="A78" s="1" t="s">
        <v>296</v>
      </c>
      <c r="B78" s="1" t="s">
        <v>147</v>
      </c>
      <c r="C78" s="1" t="s">
        <v>152</v>
      </c>
      <c r="D78" s="9">
        <v>46419</v>
      </c>
      <c r="E78" s="10">
        <v>7696</v>
      </c>
      <c r="F78" s="10">
        <v>4928</v>
      </c>
      <c r="G78" s="10">
        <f>E78-F78</f>
        <v>2768</v>
      </c>
      <c r="H78" s="7">
        <f>IF(E78=0,0,F78/E78)</f>
        <v>0.64033264033264037</v>
      </c>
      <c r="I78" s="8" t="str">
        <f>IF(H78&gt;0.97,"Sold Out",IF(H78&gt;=0.85,"Critical",IF(H78&gt;=0.7,"Constrained","Healthy")))</f>
        <v>Healthy</v>
      </c>
      <c r="J78" s="6">
        <v>1376</v>
      </c>
      <c r="K78" s="9">
        <v>46419</v>
      </c>
    </row>
    <row r="79" spans="1:11">
      <c r="A79" s="1" t="s">
        <v>296</v>
      </c>
      <c r="B79" s="1" t="s">
        <v>147</v>
      </c>
      <c r="C79" s="1" t="s">
        <v>152</v>
      </c>
      <c r="D79" s="9">
        <v>46447</v>
      </c>
      <c r="E79" s="10">
        <v>7696</v>
      </c>
      <c r="F79" s="10">
        <v>5088</v>
      </c>
      <c r="G79" s="10">
        <f>E79-F79</f>
        <v>2608</v>
      </c>
      <c r="H79" s="7">
        <f>IF(E79=0,0,F79/E79)</f>
        <v>0.66112266112266116</v>
      </c>
      <c r="I79" s="8" t="str">
        <f>IF(H79&gt;0.97,"Sold Out",IF(H79&gt;=0.85,"Critical",IF(H79&gt;=0.7,"Constrained","Healthy")))</f>
        <v>Healthy</v>
      </c>
      <c r="J79" s="6">
        <v>0</v>
      </c>
      <c r="K79" s="9"/>
    </row>
    <row r="80" spans="1:11">
      <c r="A80" s="1" t="s">
        <v>296</v>
      </c>
      <c r="B80" s="1" t="s">
        <v>147</v>
      </c>
      <c r="C80" s="1" t="s">
        <v>152</v>
      </c>
      <c r="D80" s="9">
        <v>46478</v>
      </c>
      <c r="E80" s="10">
        <v>7696</v>
      </c>
      <c r="F80" s="10">
        <v>5248</v>
      </c>
      <c r="G80" s="10">
        <f>E80-F80</f>
        <v>2448</v>
      </c>
      <c r="H80" s="7">
        <f>IF(E80=0,0,F80/E80)</f>
        <v>0.68191268191268195</v>
      </c>
      <c r="I80" s="8" t="str">
        <f>IF(H80&gt;0.97,"Sold Out",IF(H80&gt;=0.85,"Critical",IF(H80&gt;=0.7,"Constrained","Healthy")))</f>
        <v>Healthy</v>
      </c>
      <c r="J80" s="6">
        <v>0</v>
      </c>
      <c r="K80" s="9"/>
    </row>
    <row r="81" spans="1:11">
      <c r="A81" s="1" t="s">
        <v>296</v>
      </c>
      <c r="B81" s="1" t="s">
        <v>147</v>
      </c>
      <c r="C81" s="1" t="s">
        <v>152</v>
      </c>
      <c r="D81" s="9">
        <v>46508</v>
      </c>
      <c r="E81" s="10">
        <v>7696</v>
      </c>
      <c r="F81" s="10">
        <v>5408</v>
      </c>
      <c r="G81" s="10">
        <f>E81-F81</f>
        <v>2288</v>
      </c>
      <c r="H81" s="7">
        <f>IF(E81=0,0,F81/E81)</f>
        <v>0.70270270270270274</v>
      </c>
      <c r="I81" s="8" t="str">
        <f>IF(H81&gt;0.97,"Sold Out",IF(H81&gt;=0.85,"Critical",IF(H81&gt;=0.7,"Constrained","Healthy")))</f>
        <v>Constrained</v>
      </c>
      <c r="J81" s="6">
        <v>0</v>
      </c>
      <c r="K81" s="9"/>
    </row>
    <row r="82" spans="1:11">
      <c r="A82" s="1" t="s">
        <v>296</v>
      </c>
      <c r="B82" s="1" t="s">
        <v>147</v>
      </c>
      <c r="C82" s="1" t="s">
        <v>152</v>
      </c>
      <c r="D82" s="9">
        <v>46539</v>
      </c>
      <c r="E82" s="10">
        <v>7696</v>
      </c>
      <c r="F82" s="10">
        <v>5584</v>
      </c>
      <c r="G82" s="10">
        <f>E82-F82</f>
        <v>2112</v>
      </c>
      <c r="H82" s="7">
        <f>IF(E82=0,0,F82/E82)</f>
        <v>0.72557172557172556</v>
      </c>
      <c r="I82" s="8" t="str">
        <f>IF(H82&gt;0.97,"Sold Out",IF(H82&gt;=0.85,"Critical",IF(H82&gt;=0.7,"Constrained","Healthy")))</f>
        <v>Constrained</v>
      </c>
      <c r="J82" s="6">
        <v>0</v>
      </c>
      <c r="K82" s="9"/>
    </row>
    <row r="83" spans="1:11">
      <c r="A83" s="1" t="s">
        <v>296</v>
      </c>
      <c r="B83" s="1" t="s">
        <v>147</v>
      </c>
      <c r="C83" s="1" t="s">
        <v>152</v>
      </c>
      <c r="D83" s="9">
        <v>46569</v>
      </c>
      <c r="E83" s="10">
        <v>7696</v>
      </c>
      <c r="F83" s="10">
        <v>5760</v>
      </c>
      <c r="G83" s="10">
        <f>E83-F83</f>
        <v>1936</v>
      </c>
      <c r="H83" s="7">
        <f>IF(E83=0,0,F83/E83)</f>
        <v>0.74844074844074848</v>
      </c>
      <c r="I83" s="8" t="str">
        <f>IF(H83&gt;0.97,"Sold Out",IF(H83&gt;=0.85,"Critical",IF(H83&gt;=0.7,"Constrained","Healthy")))</f>
        <v>Constrained</v>
      </c>
      <c r="J83" s="6">
        <v>0</v>
      </c>
      <c r="K83" s="9"/>
    </row>
    <row r="84" spans="1:11">
      <c r="A84" s="1" t="s">
        <v>296</v>
      </c>
      <c r="B84" s="1" t="s">
        <v>147</v>
      </c>
      <c r="C84" s="1" t="s">
        <v>152</v>
      </c>
      <c r="D84" s="9">
        <v>46600</v>
      </c>
      <c r="E84" s="10">
        <v>7696</v>
      </c>
      <c r="F84" s="10">
        <v>5952</v>
      </c>
      <c r="G84" s="10">
        <f>E84-F84</f>
        <v>1744</v>
      </c>
      <c r="H84" s="7">
        <f>IF(E84=0,0,F84/E84)</f>
        <v>0.77338877338877343</v>
      </c>
      <c r="I84" s="8" t="str">
        <f>IF(H84&gt;0.97,"Sold Out",IF(H84&gt;=0.85,"Critical",IF(H84&gt;=0.7,"Constrained","Healthy")))</f>
        <v>Constrained</v>
      </c>
      <c r="J84" s="6">
        <v>0</v>
      </c>
      <c r="K84" s="9"/>
    </row>
    <row r="85" spans="1:11">
      <c r="A85" s="1" t="s">
        <v>296</v>
      </c>
      <c r="B85" s="1" t="s">
        <v>147</v>
      </c>
      <c r="C85" s="1" t="s">
        <v>152</v>
      </c>
      <c r="D85" s="9">
        <v>46631</v>
      </c>
      <c r="E85" s="10">
        <v>7696</v>
      </c>
      <c r="F85" s="10">
        <v>6144</v>
      </c>
      <c r="G85" s="10">
        <f>E85-F85</f>
        <v>1552</v>
      </c>
      <c r="H85" s="7">
        <f>IF(E85=0,0,F85/E85)</f>
        <v>0.79833679833679838</v>
      </c>
      <c r="I85" s="8" t="str">
        <f>IF(H85&gt;0.97,"Sold Out",IF(H85&gt;=0.85,"Critical",IF(H85&gt;=0.7,"Constrained","Healthy")))</f>
        <v>Constrained</v>
      </c>
      <c r="J85" s="6">
        <v>0</v>
      </c>
      <c r="K85" s="9"/>
    </row>
    <row r="86" spans="1:11">
      <c r="A86" s="1" t="s">
        <v>296</v>
      </c>
      <c r="B86" s="1" t="s">
        <v>147</v>
      </c>
      <c r="C86" s="1" t="s">
        <v>155</v>
      </c>
      <c r="D86" s="9">
        <v>46296</v>
      </c>
      <c r="E86" s="10">
        <v>19488</v>
      </c>
      <c r="F86" s="10">
        <v>13888</v>
      </c>
      <c r="G86" s="10">
        <f>E86-F86</f>
        <v>5600</v>
      </c>
      <c r="H86" s="7">
        <f>IF(E86=0,0,F86/E86)</f>
        <v>0.71264367816091956</v>
      </c>
      <c r="I86" s="8" t="str">
        <f>IF(H86&gt;0.97,"Sold Out",IF(H86&gt;=0.85,"Critical",IF(H86&gt;=0.7,"Constrained","Healthy")))</f>
        <v>Constrained</v>
      </c>
      <c r="J86" s="6">
        <v>0</v>
      </c>
      <c r="K86" s="9"/>
    </row>
    <row r="87" spans="1:11">
      <c r="A87" s="1" t="s">
        <v>296</v>
      </c>
      <c r="B87" s="1" t="s">
        <v>147</v>
      </c>
      <c r="C87" s="1" t="s">
        <v>155</v>
      </c>
      <c r="D87" s="9">
        <v>46327</v>
      </c>
      <c r="E87" s="10">
        <v>19488</v>
      </c>
      <c r="F87" s="10">
        <v>14336</v>
      </c>
      <c r="G87" s="10">
        <f>E87-F87</f>
        <v>5152</v>
      </c>
      <c r="H87" s="7">
        <f>IF(E87=0,0,F87/E87)</f>
        <v>0.73563218390804597</v>
      </c>
      <c r="I87" s="8" t="str">
        <f>IF(H87&gt;0.97,"Sold Out",IF(H87&gt;=0.85,"Critical",IF(H87&gt;=0.7,"Constrained","Healthy")))</f>
        <v>Constrained</v>
      </c>
      <c r="J87" s="6">
        <v>0</v>
      </c>
      <c r="K87" s="9"/>
    </row>
    <row r="88" spans="1:11">
      <c r="A88" s="1" t="s">
        <v>296</v>
      </c>
      <c r="B88" s="1" t="s">
        <v>147</v>
      </c>
      <c r="C88" s="1" t="s">
        <v>155</v>
      </c>
      <c r="D88" s="9">
        <v>46357</v>
      </c>
      <c r="E88" s="10">
        <v>19488</v>
      </c>
      <c r="F88" s="10">
        <v>14784</v>
      </c>
      <c r="G88" s="10">
        <f>E88-F88</f>
        <v>4704</v>
      </c>
      <c r="H88" s="7">
        <f>IF(E88=0,0,F88/E88)</f>
        <v>0.75862068965517238</v>
      </c>
      <c r="I88" s="8" t="str">
        <f>IF(H88&gt;0.97,"Sold Out",IF(H88&gt;=0.85,"Critical",IF(H88&gt;=0.7,"Constrained","Healthy")))</f>
        <v>Constrained</v>
      </c>
      <c r="J88" s="6">
        <v>0</v>
      </c>
      <c r="K88" s="9"/>
    </row>
    <row r="89" spans="1:11">
      <c r="A89" s="1" t="s">
        <v>296</v>
      </c>
      <c r="B89" s="1" t="s">
        <v>147</v>
      </c>
      <c r="C89" s="1" t="s">
        <v>155</v>
      </c>
      <c r="D89" s="9">
        <v>46388</v>
      </c>
      <c r="E89" s="10">
        <v>19488</v>
      </c>
      <c r="F89" s="10">
        <v>15264</v>
      </c>
      <c r="G89" s="10">
        <f>E89-F89</f>
        <v>4224</v>
      </c>
      <c r="H89" s="7">
        <f>IF(E89=0,0,F89/E89)</f>
        <v>0.78325123152709364</v>
      </c>
      <c r="I89" s="8" t="str">
        <f>IF(H89&gt;0.97,"Sold Out",IF(H89&gt;=0.85,"Critical",IF(H89&gt;=0.7,"Constrained","Healthy")))</f>
        <v>Constrained</v>
      </c>
      <c r="J89" s="6">
        <v>0</v>
      </c>
      <c r="K89" s="9"/>
    </row>
    <row r="90" spans="1:11">
      <c r="A90" s="1" t="s">
        <v>296</v>
      </c>
      <c r="B90" s="1" t="s">
        <v>147</v>
      </c>
      <c r="C90" s="1" t="s">
        <v>155</v>
      </c>
      <c r="D90" s="9">
        <v>46419</v>
      </c>
      <c r="E90" s="10">
        <v>19488</v>
      </c>
      <c r="F90" s="10">
        <v>15744</v>
      </c>
      <c r="G90" s="10">
        <f>E90-F90</f>
        <v>3744</v>
      </c>
      <c r="H90" s="7">
        <f>IF(E90=0,0,F90/E90)</f>
        <v>0.80788177339901479</v>
      </c>
      <c r="I90" s="8" t="str">
        <f>IF(H90&gt;0.97,"Sold Out",IF(H90&gt;=0.85,"Critical",IF(H90&gt;=0.7,"Constrained","Healthy")))</f>
        <v>Constrained</v>
      </c>
      <c r="J90" s="6">
        <v>0</v>
      </c>
      <c r="K90" s="9"/>
    </row>
    <row r="91" spans="1:11">
      <c r="A91" s="1" t="s">
        <v>296</v>
      </c>
      <c r="B91" s="1" t="s">
        <v>147</v>
      </c>
      <c r="C91" s="1" t="s">
        <v>155</v>
      </c>
      <c r="D91" s="9">
        <v>46447</v>
      </c>
      <c r="E91" s="10">
        <v>19488</v>
      </c>
      <c r="F91" s="10">
        <v>16256</v>
      </c>
      <c r="G91" s="10">
        <f>E91-F91</f>
        <v>3232</v>
      </c>
      <c r="H91" s="7">
        <f>IF(E91=0,0,F91/E91)</f>
        <v>0.83415435139573069</v>
      </c>
      <c r="I91" s="8" t="str">
        <f>IF(H91&gt;0.97,"Sold Out",IF(H91&gt;=0.85,"Critical",IF(H91&gt;=0.7,"Constrained","Healthy")))</f>
        <v>Constrained</v>
      </c>
      <c r="J91" s="6">
        <v>0</v>
      </c>
      <c r="K91" s="9"/>
    </row>
    <row r="92" spans="1:11">
      <c r="A92" s="1" t="s">
        <v>296</v>
      </c>
      <c r="B92" s="1" t="s">
        <v>147</v>
      </c>
      <c r="C92" s="1" t="s">
        <v>155</v>
      </c>
      <c r="D92" s="9">
        <v>46478</v>
      </c>
      <c r="E92" s="10">
        <v>24416</v>
      </c>
      <c r="F92" s="10">
        <v>16768</v>
      </c>
      <c r="G92" s="10">
        <f>E92-F92</f>
        <v>7648</v>
      </c>
      <c r="H92" s="7">
        <f>IF(E92=0,0,F92/E92)</f>
        <v>0.68676277850589773</v>
      </c>
      <c r="I92" s="8" t="str">
        <f>IF(H92&gt;0.97,"Sold Out",IF(H92&gt;=0.85,"Critical",IF(H92&gt;=0.7,"Constrained","Healthy")))</f>
        <v>Healthy</v>
      </c>
      <c r="J92" s="6">
        <v>4928</v>
      </c>
      <c r="K92" s="9">
        <v>46478</v>
      </c>
    </row>
    <row r="93" spans="1:11">
      <c r="A93" s="1" t="s">
        <v>296</v>
      </c>
      <c r="B93" s="1" t="s">
        <v>147</v>
      </c>
      <c r="C93" s="1" t="s">
        <v>155</v>
      </c>
      <c r="D93" s="9">
        <v>46508</v>
      </c>
      <c r="E93" s="10">
        <v>24416</v>
      </c>
      <c r="F93" s="10">
        <v>17312</v>
      </c>
      <c r="G93" s="10">
        <f>E93-F93</f>
        <v>7104</v>
      </c>
      <c r="H93" s="7">
        <f>IF(E93=0,0,F93/E93)</f>
        <v>0.70904325032765403</v>
      </c>
      <c r="I93" s="8" t="str">
        <f>IF(H93&gt;0.97,"Sold Out",IF(H93&gt;=0.85,"Critical",IF(H93&gt;=0.7,"Constrained","Healthy")))</f>
        <v>Constrained</v>
      </c>
      <c r="J93" s="6">
        <v>0</v>
      </c>
      <c r="K93" s="9"/>
    </row>
    <row r="94" spans="1:11">
      <c r="A94" s="1" t="s">
        <v>296</v>
      </c>
      <c r="B94" s="1" t="s">
        <v>147</v>
      </c>
      <c r="C94" s="1" t="s">
        <v>155</v>
      </c>
      <c r="D94" s="9">
        <v>46539</v>
      </c>
      <c r="E94" s="10">
        <v>24416</v>
      </c>
      <c r="F94" s="10">
        <v>17856</v>
      </c>
      <c r="G94" s="10">
        <f>E94-F94</f>
        <v>6560</v>
      </c>
      <c r="H94" s="7">
        <f>IF(E94=0,0,F94/E94)</f>
        <v>0.73132372214941022</v>
      </c>
      <c r="I94" s="8" t="str">
        <f>IF(H94&gt;0.97,"Sold Out",IF(H94&gt;=0.85,"Critical",IF(H94&gt;=0.7,"Constrained","Healthy")))</f>
        <v>Constrained</v>
      </c>
      <c r="J94" s="6">
        <v>0</v>
      </c>
      <c r="K94" s="9"/>
    </row>
    <row r="95" spans="1:11">
      <c r="A95" s="1" t="s">
        <v>296</v>
      </c>
      <c r="B95" s="1" t="s">
        <v>147</v>
      </c>
      <c r="C95" s="1" t="s">
        <v>155</v>
      </c>
      <c r="D95" s="9">
        <v>46569</v>
      </c>
      <c r="E95" s="10">
        <v>24416</v>
      </c>
      <c r="F95" s="10">
        <v>18432</v>
      </c>
      <c r="G95" s="10">
        <f>E95-F95</f>
        <v>5984</v>
      </c>
      <c r="H95" s="7">
        <f>IF(E95=0,0,F95/E95)</f>
        <v>0.7549148099606815</v>
      </c>
      <c r="I95" s="8" t="str">
        <f>IF(H95&gt;0.97,"Sold Out",IF(H95&gt;=0.85,"Critical",IF(H95&gt;=0.7,"Constrained","Healthy")))</f>
        <v>Constrained</v>
      </c>
      <c r="J95" s="6">
        <v>0</v>
      </c>
      <c r="K95" s="9"/>
    </row>
    <row r="96" spans="1:11">
      <c r="A96" s="1" t="s">
        <v>296</v>
      </c>
      <c r="B96" s="1" t="s">
        <v>147</v>
      </c>
      <c r="C96" s="1" t="s">
        <v>155</v>
      </c>
      <c r="D96" s="9">
        <v>46600</v>
      </c>
      <c r="E96" s="10">
        <v>24416</v>
      </c>
      <c r="F96" s="10">
        <v>19008</v>
      </c>
      <c r="G96" s="10">
        <f>E96-F96</f>
        <v>5408</v>
      </c>
      <c r="H96" s="7">
        <f>IF(E96=0,0,F96/E96)</f>
        <v>0.77850589777195278</v>
      </c>
      <c r="I96" s="8" t="str">
        <f>IF(H96&gt;0.97,"Sold Out",IF(H96&gt;=0.85,"Critical",IF(H96&gt;=0.7,"Constrained","Healthy")))</f>
        <v>Constrained</v>
      </c>
      <c r="J96" s="6">
        <v>0</v>
      </c>
      <c r="K96" s="9"/>
    </row>
    <row r="97" spans="1:11">
      <c r="A97" s="1" t="s">
        <v>296</v>
      </c>
      <c r="B97" s="1" t="s">
        <v>147</v>
      </c>
      <c r="C97" s="1" t="s">
        <v>155</v>
      </c>
      <c r="D97" s="9">
        <v>46631</v>
      </c>
      <c r="E97" s="10">
        <v>24416</v>
      </c>
      <c r="F97" s="10">
        <v>19616</v>
      </c>
      <c r="G97" s="10">
        <f>E97-F97</f>
        <v>4800</v>
      </c>
      <c r="H97" s="7">
        <f>IF(E97=0,0,F97/E97)</f>
        <v>0.80340760157273916</v>
      </c>
      <c r="I97" s="8" t="str">
        <f>IF(H97&gt;0.97,"Sold Out",IF(H97&gt;=0.85,"Critical",IF(H97&gt;=0.7,"Constrained","Healthy")))</f>
        <v>Constrained</v>
      </c>
      <c r="J97" s="6">
        <v>0</v>
      </c>
      <c r="K97" s="9"/>
    </row>
    <row r="98" spans="1:11">
      <c r="A98" s="1" t="s">
        <v>330</v>
      </c>
      <c r="B98" s="1" t="s">
        <v>147</v>
      </c>
      <c r="C98" s="1" t="s">
        <v>152</v>
      </c>
      <c r="D98" s="9">
        <v>46296</v>
      </c>
      <c r="E98" s="10">
        <v>5520</v>
      </c>
      <c r="F98" s="10">
        <v>2048</v>
      </c>
      <c r="G98" s="10">
        <f>E98-F98</f>
        <v>3472</v>
      </c>
      <c r="H98" s="7">
        <f>IF(E98=0,0,F98/E98)</f>
        <v>0.37101449275362319</v>
      </c>
      <c r="I98" s="8" t="str">
        <f>IF(H98&gt;0.97,"Sold Out",IF(H98&gt;=0.85,"Critical",IF(H98&gt;=0.7,"Constrained","Healthy")))</f>
        <v>Healthy</v>
      </c>
      <c r="J98" s="6">
        <v>0</v>
      </c>
      <c r="K98" s="9"/>
    </row>
    <row r="99" spans="1:11">
      <c r="A99" s="1" t="s">
        <v>330</v>
      </c>
      <c r="B99" s="1" t="s">
        <v>147</v>
      </c>
      <c r="C99" s="1" t="s">
        <v>152</v>
      </c>
      <c r="D99" s="9">
        <v>46327</v>
      </c>
      <c r="E99" s="10">
        <v>5520</v>
      </c>
      <c r="F99" s="10">
        <v>2096</v>
      </c>
      <c r="G99" s="10">
        <f>E99-F99</f>
        <v>3424</v>
      </c>
      <c r="H99" s="7">
        <f>IF(E99=0,0,F99/E99)</f>
        <v>0.37971014492753624</v>
      </c>
      <c r="I99" s="8" t="str">
        <f>IF(H99&gt;0.97,"Sold Out",IF(H99&gt;=0.85,"Critical",IF(H99&gt;=0.7,"Constrained","Healthy")))</f>
        <v>Healthy</v>
      </c>
      <c r="J99" s="6">
        <v>0</v>
      </c>
      <c r="K99" s="9"/>
    </row>
    <row r="100" spans="1:11">
      <c r="A100" s="1" t="s">
        <v>330</v>
      </c>
      <c r="B100" s="1" t="s">
        <v>147</v>
      </c>
      <c r="C100" s="1" t="s">
        <v>152</v>
      </c>
      <c r="D100" s="9">
        <v>46357</v>
      </c>
      <c r="E100" s="10">
        <v>5520</v>
      </c>
      <c r="F100" s="10">
        <v>2144</v>
      </c>
      <c r="G100" s="10">
        <f>E100-F100</f>
        <v>3376</v>
      </c>
      <c r="H100" s="7">
        <f>IF(E100=0,0,F100/E100)</f>
        <v>0.38840579710144929</v>
      </c>
      <c r="I100" s="8" t="str">
        <f>IF(H100&gt;0.97,"Sold Out",IF(H100&gt;=0.85,"Critical",IF(H100&gt;=0.7,"Constrained","Healthy")))</f>
        <v>Healthy</v>
      </c>
      <c r="J100" s="6">
        <v>0</v>
      </c>
      <c r="K100" s="9"/>
    </row>
    <row r="101" spans="1:11">
      <c r="A101" s="1" t="s">
        <v>330</v>
      </c>
      <c r="B101" s="1" t="s">
        <v>147</v>
      </c>
      <c r="C101" s="1" t="s">
        <v>152</v>
      </c>
      <c r="D101" s="9">
        <v>46388</v>
      </c>
      <c r="E101" s="10">
        <v>5520</v>
      </c>
      <c r="F101" s="10">
        <v>2192</v>
      </c>
      <c r="G101" s="10">
        <f>E101-F101</f>
        <v>3328</v>
      </c>
      <c r="H101" s="7">
        <f>IF(E101=0,0,F101/E101)</f>
        <v>0.39710144927536234</v>
      </c>
      <c r="I101" s="8" t="str">
        <f>IF(H101&gt;0.97,"Sold Out",IF(H101&gt;=0.85,"Critical",IF(H101&gt;=0.7,"Constrained","Healthy")))</f>
        <v>Healthy</v>
      </c>
      <c r="J101" s="6">
        <v>0</v>
      </c>
      <c r="K101" s="9"/>
    </row>
    <row r="102" spans="1:11">
      <c r="A102" s="1" t="s">
        <v>330</v>
      </c>
      <c r="B102" s="1" t="s">
        <v>147</v>
      </c>
      <c r="C102" s="1" t="s">
        <v>152</v>
      </c>
      <c r="D102" s="9">
        <v>46419</v>
      </c>
      <c r="E102" s="10">
        <v>5520</v>
      </c>
      <c r="F102" s="10">
        <v>2240</v>
      </c>
      <c r="G102" s="10">
        <f>E102-F102</f>
        <v>3280</v>
      </c>
      <c r="H102" s="7">
        <f>IF(E102=0,0,F102/E102)</f>
        <v>0.40579710144927539</v>
      </c>
      <c r="I102" s="8" t="str">
        <f>IF(H102&gt;0.97,"Sold Out",IF(H102&gt;=0.85,"Critical",IF(H102&gt;=0.7,"Constrained","Healthy")))</f>
        <v>Healthy</v>
      </c>
      <c r="J102" s="6">
        <v>0</v>
      </c>
      <c r="K102" s="9"/>
    </row>
    <row r="103" spans="1:11">
      <c r="A103" s="1" t="s">
        <v>330</v>
      </c>
      <c r="B103" s="1" t="s">
        <v>147</v>
      </c>
      <c r="C103" s="1" t="s">
        <v>152</v>
      </c>
      <c r="D103" s="9">
        <v>46447</v>
      </c>
      <c r="E103" s="10">
        <v>5520</v>
      </c>
      <c r="F103" s="10">
        <v>2288</v>
      </c>
      <c r="G103" s="10">
        <f>E103-F103</f>
        <v>3232</v>
      </c>
      <c r="H103" s="7">
        <f>IF(E103=0,0,F103/E103)</f>
        <v>0.41449275362318838</v>
      </c>
      <c r="I103" s="8" t="str">
        <f>IF(H103&gt;0.97,"Sold Out",IF(H103&gt;=0.85,"Critical",IF(H103&gt;=0.7,"Constrained","Healthy")))</f>
        <v>Healthy</v>
      </c>
      <c r="J103" s="6">
        <v>0</v>
      </c>
      <c r="K103" s="9"/>
    </row>
    <row r="104" spans="1:11">
      <c r="A104" s="1" t="s">
        <v>330</v>
      </c>
      <c r="B104" s="1" t="s">
        <v>147</v>
      </c>
      <c r="C104" s="1" t="s">
        <v>152</v>
      </c>
      <c r="D104" s="9">
        <v>46478</v>
      </c>
      <c r="E104" s="10">
        <v>7808</v>
      </c>
      <c r="F104" s="10">
        <v>2336</v>
      </c>
      <c r="G104" s="10">
        <f>E104-F104</f>
        <v>5472</v>
      </c>
      <c r="H104" s="7">
        <f>IF(E104=0,0,F104/E104)</f>
        <v>0.29918032786885246</v>
      </c>
      <c r="I104" s="8" t="str">
        <f>IF(H104&gt;0.97,"Sold Out",IF(H104&gt;=0.85,"Critical",IF(H104&gt;=0.7,"Constrained","Healthy")))</f>
        <v>Healthy</v>
      </c>
      <c r="J104" s="6">
        <v>2288</v>
      </c>
      <c r="K104" s="9">
        <v>46478</v>
      </c>
    </row>
    <row r="105" spans="1:11">
      <c r="A105" s="1" t="s">
        <v>330</v>
      </c>
      <c r="B105" s="1" t="s">
        <v>147</v>
      </c>
      <c r="C105" s="1" t="s">
        <v>152</v>
      </c>
      <c r="D105" s="9">
        <v>46508</v>
      </c>
      <c r="E105" s="10">
        <v>7808</v>
      </c>
      <c r="F105" s="10">
        <v>2384</v>
      </c>
      <c r="G105" s="10">
        <f>E105-F105</f>
        <v>5424</v>
      </c>
      <c r="H105" s="7">
        <f>IF(E105=0,0,F105/E105)</f>
        <v>0.30532786885245899</v>
      </c>
      <c r="I105" s="8" t="str">
        <f>IF(H105&gt;0.97,"Sold Out",IF(H105&gt;=0.85,"Critical",IF(H105&gt;=0.7,"Constrained","Healthy")))</f>
        <v>Healthy</v>
      </c>
      <c r="J105" s="6">
        <v>0</v>
      </c>
      <c r="K105" s="9"/>
    </row>
    <row r="106" spans="1:11">
      <c r="A106" s="1" t="s">
        <v>330</v>
      </c>
      <c r="B106" s="1" t="s">
        <v>147</v>
      </c>
      <c r="C106" s="1" t="s">
        <v>152</v>
      </c>
      <c r="D106" s="9">
        <v>46539</v>
      </c>
      <c r="E106" s="10">
        <v>7808</v>
      </c>
      <c r="F106" s="10">
        <v>2432</v>
      </c>
      <c r="G106" s="10">
        <f>E106-F106</f>
        <v>5376</v>
      </c>
      <c r="H106" s="7">
        <f>IF(E106=0,0,F106/E106)</f>
        <v>0.31147540983606559</v>
      </c>
      <c r="I106" s="8" t="str">
        <f>IF(H106&gt;0.97,"Sold Out",IF(H106&gt;=0.85,"Critical",IF(H106&gt;=0.7,"Constrained","Healthy")))</f>
        <v>Healthy</v>
      </c>
      <c r="J106" s="6">
        <v>0</v>
      </c>
      <c r="K106" s="9"/>
    </row>
    <row r="107" spans="1:11">
      <c r="A107" s="1" t="s">
        <v>330</v>
      </c>
      <c r="B107" s="1" t="s">
        <v>147</v>
      </c>
      <c r="C107" s="1" t="s">
        <v>152</v>
      </c>
      <c r="D107" s="9">
        <v>46569</v>
      </c>
      <c r="E107" s="10">
        <v>7808</v>
      </c>
      <c r="F107" s="10">
        <v>2480</v>
      </c>
      <c r="G107" s="10">
        <f>E107-F107</f>
        <v>5328</v>
      </c>
      <c r="H107" s="7">
        <f>IF(E107=0,0,F107/E107)</f>
        <v>0.31762295081967212</v>
      </c>
      <c r="I107" s="8" t="str">
        <f>IF(H107&gt;0.97,"Sold Out",IF(H107&gt;=0.85,"Critical",IF(H107&gt;=0.7,"Constrained","Healthy")))</f>
        <v>Healthy</v>
      </c>
      <c r="J107" s="6">
        <v>0</v>
      </c>
      <c r="K107" s="9"/>
    </row>
    <row r="108" spans="1:11">
      <c r="A108" s="1" t="s">
        <v>330</v>
      </c>
      <c r="B108" s="1" t="s">
        <v>147</v>
      </c>
      <c r="C108" s="1" t="s">
        <v>152</v>
      </c>
      <c r="D108" s="9">
        <v>46600</v>
      </c>
      <c r="E108" s="10">
        <v>7808</v>
      </c>
      <c r="F108" s="10">
        <v>2528</v>
      </c>
      <c r="G108" s="10">
        <f>E108-F108</f>
        <v>5280</v>
      </c>
      <c r="H108" s="7">
        <f>IF(E108=0,0,F108/E108)</f>
        <v>0.32377049180327871</v>
      </c>
      <c r="I108" s="8" t="str">
        <f>IF(H108&gt;0.97,"Sold Out",IF(H108&gt;=0.85,"Critical",IF(H108&gt;=0.7,"Constrained","Healthy")))</f>
        <v>Healthy</v>
      </c>
      <c r="J108" s="6">
        <v>0</v>
      </c>
      <c r="K108" s="9"/>
    </row>
    <row r="109" spans="1:11">
      <c r="A109" s="1" t="s">
        <v>330</v>
      </c>
      <c r="B109" s="1" t="s">
        <v>147</v>
      </c>
      <c r="C109" s="1" t="s">
        <v>152</v>
      </c>
      <c r="D109" s="9">
        <v>46631</v>
      </c>
      <c r="E109" s="10">
        <v>7808</v>
      </c>
      <c r="F109" s="10">
        <v>2576</v>
      </c>
      <c r="G109" s="10">
        <f>E109-F109</f>
        <v>5232</v>
      </c>
      <c r="H109" s="7">
        <f>IF(E109=0,0,F109/E109)</f>
        <v>0.32991803278688525</v>
      </c>
      <c r="I109" s="8" t="str">
        <f>IF(H109&gt;0.97,"Sold Out",IF(H109&gt;=0.85,"Critical",IF(H109&gt;=0.7,"Constrained","Healthy")))</f>
        <v>Healthy</v>
      </c>
      <c r="J109" s="6">
        <v>0</v>
      </c>
      <c r="K109" s="9"/>
    </row>
    <row r="110" spans="1:11">
      <c r="A110" s="1" t="s">
        <v>330</v>
      </c>
      <c r="B110" s="1" t="s">
        <v>147</v>
      </c>
      <c r="C110" s="1" t="s">
        <v>155</v>
      </c>
      <c r="D110" s="9">
        <v>46296</v>
      </c>
      <c r="E110" s="10">
        <v>10240</v>
      </c>
      <c r="F110" s="10">
        <v>6400</v>
      </c>
      <c r="G110" s="10">
        <f>E110-F110</f>
        <v>3840</v>
      </c>
      <c r="H110" s="7">
        <f>IF(E110=0,0,F110/E110)</f>
        <v>0.625</v>
      </c>
      <c r="I110" s="8" t="str">
        <f>IF(H110&gt;0.97,"Sold Out",IF(H110&gt;=0.85,"Critical",IF(H110&gt;=0.7,"Constrained","Healthy")))</f>
        <v>Healthy</v>
      </c>
      <c r="J110" s="6">
        <v>0</v>
      </c>
      <c r="K110" s="9"/>
    </row>
    <row r="111" spans="1:11">
      <c r="A111" s="1" t="s">
        <v>330</v>
      </c>
      <c r="B111" s="1" t="s">
        <v>147</v>
      </c>
      <c r="C111" s="1" t="s">
        <v>155</v>
      </c>
      <c r="D111" s="9">
        <v>46327</v>
      </c>
      <c r="E111" s="10">
        <v>10240</v>
      </c>
      <c r="F111" s="10">
        <v>6528</v>
      </c>
      <c r="G111" s="10">
        <f>E111-F111</f>
        <v>3712</v>
      </c>
      <c r="H111" s="7">
        <f>IF(E111=0,0,F111/E111)</f>
        <v>0.63749999999999996</v>
      </c>
      <c r="I111" s="8" t="str">
        <f>IF(H111&gt;0.97,"Sold Out",IF(H111&gt;=0.85,"Critical",IF(H111&gt;=0.7,"Constrained","Healthy")))</f>
        <v>Healthy</v>
      </c>
      <c r="J111" s="6">
        <v>0</v>
      </c>
      <c r="K111" s="9"/>
    </row>
    <row r="112" spans="1:11">
      <c r="A112" s="1" t="s">
        <v>330</v>
      </c>
      <c r="B112" s="1" t="s">
        <v>147</v>
      </c>
      <c r="C112" s="1" t="s">
        <v>155</v>
      </c>
      <c r="D112" s="9">
        <v>46357</v>
      </c>
      <c r="E112" s="10">
        <v>10240</v>
      </c>
      <c r="F112" s="10">
        <v>6656</v>
      </c>
      <c r="G112" s="10">
        <f>E112-F112</f>
        <v>3584</v>
      </c>
      <c r="H112" s="7">
        <f>IF(E112=0,0,F112/E112)</f>
        <v>0.65</v>
      </c>
      <c r="I112" s="8" t="str">
        <f>IF(H112&gt;0.97,"Sold Out",IF(H112&gt;=0.85,"Critical",IF(H112&gt;=0.7,"Constrained","Healthy")))</f>
        <v>Healthy</v>
      </c>
      <c r="J112" s="6">
        <v>0</v>
      </c>
      <c r="K112" s="9"/>
    </row>
    <row r="113" spans="1:11">
      <c r="A113" s="1" t="s">
        <v>330</v>
      </c>
      <c r="B113" s="1" t="s">
        <v>147</v>
      </c>
      <c r="C113" s="1" t="s">
        <v>155</v>
      </c>
      <c r="D113" s="9">
        <v>46388</v>
      </c>
      <c r="E113" s="10">
        <v>10240</v>
      </c>
      <c r="F113" s="10">
        <v>6784</v>
      </c>
      <c r="G113" s="10">
        <f>E113-F113</f>
        <v>3456</v>
      </c>
      <c r="H113" s="7">
        <f>IF(E113=0,0,F113/E113)</f>
        <v>0.66249999999999998</v>
      </c>
      <c r="I113" s="8" t="str">
        <f>IF(H113&gt;0.97,"Sold Out",IF(H113&gt;=0.85,"Critical",IF(H113&gt;=0.7,"Constrained","Healthy")))</f>
        <v>Healthy</v>
      </c>
      <c r="J113" s="6">
        <v>0</v>
      </c>
      <c r="K113" s="9"/>
    </row>
    <row r="114" spans="1:11">
      <c r="A114" s="1" t="s">
        <v>330</v>
      </c>
      <c r="B114" s="1" t="s">
        <v>147</v>
      </c>
      <c r="C114" s="1" t="s">
        <v>155</v>
      </c>
      <c r="D114" s="9">
        <v>46419</v>
      </c>
      <c r="E114" s="10">
        <v>12544</v>
      </c>
      <c r="F114" s="10">
        <v>6912</v>
      </c>
      <c r="G114" s="10">
        <f>E114-F114</f>
        <v>5632</v>
      </c>
      <c r="H114" s="7">
        <f>IF(E114=0,0,F114/E114)</f>
        <v>0.55102040816326525</v>
      </c>
      <c r="I114" s="8" t="str">
        <f>IF(H114&gt;0.97,"Sold Out",IF(H114&gt;=0.85,"Critical",IF(H114&gt;=0.7,"Constrained","Healthy")))</f>
        <v>Healthy</v>
      </c>
      <c r="J114" s="6">
        <v>2304</v>
      </c>
      <c r="K114" s="9">
        <v>46419</v>
      </c>
    </row>
    <row r="115" spans="1:11">
      <c r="A115" s="1" t="s">
        <v>330</v>
      </c>
      <c r="B115" s="1" t="s">
        <v>147</v>
      </c>
      <c r="C115" s="1" t="s">
        <v>155</v>
      </c>
      <c r="D115" s="9">
        <v>46447</v>
      </c>
      <c r="E115" s="10">
        <v>12544</v>
      </c>
      <c r="F115" s="10">
        <v>7040</v>
      </c>
      <c r="G115" s="10">
        <f>E115-F115</f>
        <v>5504</v>
      </c>
      <c r="H115" s="7">
        <f>IF(E115=0,0,F115/E115)</f>
        <v>0.56122448979591832</v>
      </c>
      <c r="I115" s="8" t="str">
        <f>IF(H115&gt;0.97,"Sold Out",IF(H115&gt;=0.85,"Critical",IF(H115&gt;=0.7,"Constrained","Healthy")))</f>
        <v>Healthy</v>
      </c>
      <c r="J115" s="6">
        <v>0</v>
      </c>
      <c r="K115" s="9"/>
    </row>
    <row r="116" spans="1:11">
      <c r="A116" s="1" t="s">
        <v>330</v>
      </c>
      <c r="B116" s="1" t="s">
        <v>147</v>
      </c>
      <c r="C116" s="1" t="s">
        <v>155</v>
      </c>
      <c r="D116" s="9">
        <v>46478</v>
      </c>
      <c r="E116" s="10">
        <v>12544</v>
      </c>
      <c r="F116" s="10">
        <v>7168</v>
      </c>
      <c r="G116" s="10">
        <f>E116-F116</f>
        <v>5376</v>
      </c>
      <c r="H116" s="7">
        <f>IF(E116=0,0,F116/E116)</f>
        <v>0.5714285714285714</v>
      </c>
      <c r="I116" s="8" t="str">
        <f>IF(H116&gt;0.97,"Sold Out",IF(H116&gt;=0.85,"Critical",IF(H116&gt;=0.7,"Constrained","Healthy")))</f>
        <v>Healthy</v>
      </c>
      <c r="J116" s="6">
        <v>0</v>
      </c>
      <c r="K116" s="9"/>
    </row>
    <row r="117" spans="1:11">
      <c r="A117" s="1" t="s">
        <v>330</v>
      </c>
      <c r="B117" s="1" t="s">
        <v>147</v>
      </c>
      <c r="C117" s="1" t="s">
        <v>155</v>
      </c>
      <c r="D117" s="9">
        <v>46508</v>
      </c>
      <c r="E117" s="10">
        <v>12544</v>
      </c>
      <c r="F117" s="10">
        <v>7296</v>
      </c>
      <c r="G117" s="10">
        <f>E117-F117</f>
        <v>5248</v>
      </c>
      <c r="H117" s="7">
        <f>IF(E117=0,0,F117/E117)</f>
        <v>0.58163265306122447</v>
      </c>
      <c r="I117" s="8" t="str">
        <f>IF(H117&gt;0.97,"Sold Out",IF(H117&gt;=0.85,"Critical",IF(H117&gt;=0.7,"Constrained","Healthy")))</f>
        <v>Healthy</v>
      </c>
      <c r="J117" s="6">
        <v>0</v>
      </c>
      <c r="K117" s="9"/>
    </row>
    <row r="118" spans="1:11">
      <c r="A118" s="1" t="s">
        <v>330</v>
      </c>
      <c r="B118" s="1" t="s">
        <v>147</v>
      </c>
      <c r="C118" s="1" t="s">
        <v>155</v>
      </c>
      <c r="D118" s="9">
        <v>46539</v>
      </c>
      <c r="E118" s="10">
        <v>12544</v>
      </c>
      <c r="F118" s="10">
        <v>7456</v>
      </c>
      <c r="G118" s="10">
        <f>E118-F118</f>
        <v>5088</v>
      </c>
      <c r="H118" s="7">
        <f>IF(E118=0,0,F118/E118)</f>
        <v>0.59438775510204078</v>
      </c>
      <c r="I118" s="8" t="str">
        <f>IF(H118&gt;0.97,"Sold Out",IF(H118&gt;=0.85,"Critical",IF(H118&gt;=0.7,"Constrained","Healthy")))</f>
        <v>Healthy</v>
      </c>
      <c r="J118" s="6">
        <v>0</v>
      </c>
      <c r="K118" s="9"/>
    </row>
    <row r="119" spans="1:11">
      <c r="A119" s="1" t="s">
        <v>330</v>
      </c>
      <c r="B119" s="1" t="s">
        <v>147</v>
      </c>
      <c r="C119" s="1" t="s">
        <v>155</v>
      </c>
      <c r="D119" s="9">
        <v>46569</v>
      </c>
      <c r="E119" s="10">
        <v>12544</v>
      </c>
      <c r="F119" s="10">
        <v>7616</v>
      </c>
      <c r="G119" s="10">
        <f>E119-F119</f>
        <v>4928</v>
      </c>
      <c r="H119" s="7">
        <f>IF(E119=0,0,F119/E119)</f>
        <v>0.6071428571428571</v>
      </c>
      <c r="I119" s="8" t="str">
        <f>IF(H119&gt;0.97,"Sold Out",IF(H119&gt;=0.85,"Critical",IF(H119&gt;=0.7,"Constrained","Healthy")))</f>
        <v>Healthy</v>
      </c>
      <c r="J119" s="6">
        <v>0</v>
      </c>
      <c r="K119" s="9"/>
    </row>
    <row r="120" spans="1:11">
      <c r="A120" s="1" t="s">
        <v>330</v>
      </c>
      <c r="B120" s="1" t="s">
        <v>147</v>
      </c>
      <c r="C120" s="1" t="s">
        <v>155</v>
      </c>
      <c r="D120" s="9">
        <v>46600</v>
      </c>
      <c r="E120" s="10">
        <v>12544</v>
      </c>
      <c r="F120" s="10">
        <v>7776</v>
      </c>
      <c r="G120" s="10">
        <f>E120-F120</f>
        <v>4768</v>
      </c>
      <c r="H120" s="7">
        <f>IF(E120=0,0,F120/E120)</f>
        <v>0.61989795918367352</v>
      </c>
      <c r="I120" s="8" t="str">
        <f>IF(H120&gt;0.97,"Sold Out",IF(H120&gt;=0.85,"Critical",IF(H120&gt;=0.7,"Constrained","Healthy")))</f>
        <v>Healthy</v>
      </c>
      <c r="J120" s="6">
        <v>0</v>
      </c>
      <c r="K120" s="9"/>
    </row>
    <row r="121" spans="1:11">
      <c r="A121" s="1" t="s">
        <v>330</v>
      </c>
      <c r="B121" s="1" t="s">
        <v>147</v>
      </c>
      <c r="C121" s="1" t="s">
        <v>155</v>
      </c>
      <c r="D121" s="9">
        <v>46631</v>
      </c>
      <c r="E121" s="10">
        <v>12544</v>
      </c>
      <c r="F121" s="10">
        <v>7936</v>
      </c>
      <c r="G121" s="10">
        <f>E121-F121</f>
        <v>4608</v>
      </c>
      <c r="H121" s="7">
        <f>IF(E121=0,0,F121/E121)</f>
        <v>0.63265306122448983</v>
      </c>
      <c r="I121" s="8" t="str">
        <f>IF(H121&gt;0.97,"Sold Out",IF(H121&gt;=0.85,"Critical",IF(H121&gt;=0.7,"Constrained","Healthy")))</f>
        <v>Healthy</v>
      </c>
      <c r="J121" s="6">
        <v>0</v>
      </c>
      <c r="K121" s="9"/>
    </row>
    <row r="122" spans="1:11">
      <c r="A122" s="1" t="s">
        <v>359</v>
      </c>
      <c r="B122" s="1" t="s">
        <v>147</v>
      </c>
      <c r="C122" s="1" t="s">
        <v>152</v>
      </c>
      <c r="D122" s="9">
        <v>46296</v>
      </c>
      <c r="E122" s="10">
        <v>6032</v>
      </c>
      <c r="F122" s="10">
        <v>4448</v>
      </c>
      <c r="G122" s="10">
        <f>E122-F122</f>
        <v>1584</v>
      </c>
      <c r="H122" s="7">
        <f>IF(E122=0,0,F122/E122)</f>
        <v>0.7374005305039788</v>
      </c>
      <c r="I122" s="8" t="str">
        <f>IF(H122&gt;0.97,"Sold Out",IF(H122&gt;=0.85,"Critical",IF(H122&gt;=0.7,"Constrained","Healthy")))</f>
        <v>Constrained</v>
      </c>
      <c r="J122" s="6">
        <v>0</v>
      </c>
      <c r="K122" s="9"/>
    </row>
    <row r="123" spans="1:11">
      <c r="A123" s="1" t="s">
        <v>359</v>
      </c>
      <c r="B123" s="1" t="s">
        <v>147</v>
      </c>
      <c r="C123" s="1" t="s">
        <v>152</v>
      </c>
      <c r="D123" s="9">
        <v>46327</v>
      </c>
      <c r="E123" s="10">
        <v>6032</v>
      </c>
      <c r="F123" s="10">
        <v>4592</v>
      </c>
      <c r="G123" s="10">
        <f>E123-F123</f>
        <v>1440</v>
      </c>
      <c r="H123" s="7">
        <f>IF(E123=0,0,F123/E123)</f>
        <v>0.76127320954907163</v>
      </c>
      <c r="I123" s="8" t="str">
        <f>IF(H123&gt;0.97,"Sold Out",IF(H123&gt;=0.85,"Critical",IF(H123&gt;=0.7,"Constrained","Healthy")))</f>
        <v>Constrained</v>
      </c>
      <c r="J123" s="6">
        <v>0</v>
      </c>
      <c r="K123" s="9"/>
    </row>
    <row r="124" spans="1:11">
      <c r="A124" s="1" t="s">
        <v>359</v>
      </c>
      <c r="B124" s="1" t="s">
        <v>147</v>
      </c>
      <c r="C124" s="1" t="s">
        <v>152</v>
      </c>
      <c r="D124" s="9">
        <v>46357</v>
      </c>
      <c r="E124" s="10">
        <v>6032</v>
      </c>
      <c r="F124" s="10">
        <v>4736</v>
      </c>
      <c r="G124" s="10">
        <f>E124-F124</f>
        <v>1296</v>
      </c>
      <c r="H124" s="7">
        <f>IF(E124=0,0,F124/E124)</f>
        <v>0.78514588859416445</v>
      </c>
      <c r="I124" s="8" t="str">
        <f>IF(H124&gt;0.97,"Sold Out",IF(H124&gt;=0.85,"Critical",IF(H124&gt;=0.7,"Constrained","Healthy")))</f>
        <v>Constrained</v>
      </c>
      <c r="J124" s="6">
        <v>0</v>
      </c>
      <c r="K124" s="9"/>
    </row>
    <row r="125" spans="1:11">
      <c r="A125" s="1" t="s">
        <v>359</v>
      </c>
      <c r="B125" s="1" t="s">
        <v>147</v>
      </c>
      <c r="C125" s="1" t="s">
        <v>152</v>
      </c>
      <c r="D125" s="9">
        <v>46388</v>
      </c>
      <c r="E125" s="10">
        <v>6032</v>
      </c>
      <c r="F125" s="10">
        <v>4880</v>
      </c>
      <c r="G125" s="10">
        <f>E125-F125</f>
        <v>1152</v>
      </c>
      <c r="H125" s="7">
        <f>IF(E125=0,0,F125/E125)</f>
        <v>0.80901856763925728</v>
      </c>
      <c r="I125" s="8" t="str">
        <f>IF(H125&gt;0.97,"Sold Out",IF(H125&gt;=0.85,"Critical",IF(H125&gt;=0.7,"Constrained","Healthy")))</f>
        <v>Constrained</v>
      </c>
      <c r="J125" s="6">
        <v>0</v>
      </c>
      <c r="K125" s="9"/>
    </row>
    <row r="126" spans="1:11">
      <c r="A126" s="1" t="s">
        <v>359</v>
      </c>
      <c r="B126" s="1" t="s">
        <v>147</v>
      </c>
      <c r="C126" s="1" t="s">
        <v>152</v>
      </c>
      <c r="D126" s="9">
        <v>46419</v>
      </c>
      <c r="E126" s="10">
        <v>7792</v>
      </c>
      <c r="F126" s="10">
        <v>5040</v>
      </c>
      <c r="G126" s="10">
        <f>E126-F126</f>
        <v>2752</v>
      </c>
      <c r="H126" s="7">
        <f>IF(E126=0,0,F126/E126)</f>
        <v>0.64681724845995892</v>
      </c>
      <c r="I126" s="8" t="str">
        <f>IF(H126&gt;0.97,"Sold Out",IF(H126&gt;=0.85,"Critical",IF(H126&gt;=0.7,"Constrained","Healthy")))</f>
        <v>Healthy</v>
      </c>
      <c r="J126" s="6">
        <v>1760</v>
      </c>
      <c r="K126" s="9">
        <v>46419</v>
      </c>
    </row>
    <row r="127" spans="1:11">
      <c r="A127" s="1" t="s">
        <v>359</v>
      </c>
      <c r="B127" s="1" t="s">
        <v>147</v>
      </c>
      <c r="C127" s="1" t="s">
        <v>152</v>
      </c>
      <c r="D127" s="9">
        <v>46447</v>
      </c>
      <c r="E127" s="10">
        <v>7792</v>
      </c>
      <c r="F127" s="10">
        <v>5200</v>
      </c>
      <c r="G127" s="10">
        <f>E127-F127</f>
        <v>2592</v>
      </c>
      <c r="H127" s="7">
        <f>IF(E127=0,0,F127/E127)</f>
        <v>0.66735112936344965</v>
      </c>
      <c r="I127" s="8" t="str">
        <f>IF(H127&gt;0.97,"Sold Out",IF(H127&gt;=0.85,"Critical",IF(H127&gt;=0.7,"Constrained","Healthy")))</f>
        <v>Healthy</v>
      </c>
      <c r="J127" s="6">
        <v>0</v>
      </c>
      <c r="K127" s="9"/>
    </row>
    <row r="128" spans="1:11">
      <c r="A128" s="1" t="s">
        <v>359</v>
      </c>
      <c r="B128" s="1" t="s">
        <v>147</v>
      </c>
      <c r="C128" s="1" t="s">
        <v>152</v>
      </c>
      <c r="D128" s="9">
        <v>46478</v>
      </c>
      <c r="E128" s="10">
        <v>7792</v>
      </c>
      <c r="F128" s="10">
        <v>5360</v>
      </c>
      <c r="G128" s="10">
        <f>E128-F128</f>
        <v>2432</v>
      </c>
      <c r="H128" s="7">
        <f>IF(E128=0,0,F128/E128)</f>
        <v>0.68788501026694049</v>
      </c>
      <c r="I128" s="8" t="str">
        <f>IF(H128&gt;0.97,"Sold Out",IF(H128&gt;=0.85,"Critical",IF(H128&gt;=0.7,"Constrained","Healthy")))</f>
        <v>Healthy</v>
      </c>
      <c r="J128" s="6">
        <v>0</v>
      </c>
      <c r="K128" s="9"/>
    </row>
    <row r="129" spans="1:11">
      <c r="A129" s="1" t="s">
        <v>359</v>
      </c>
      <c r="B129" s="1" t="s">
        <v>147</v>
      </c>
      <c r="C129" s="1" t="s">
        <v>152</v>
      </c>
      <c r="D129" s="9">
        <v>46508</v>
      </c>
      <c r="E129" s="10">
        <v>7792</v>
      </c>
      <c r="F129" s="10">
        <v>5536</v>
      </c>
      <c r="G129" s="10">
        <f>E129-F129</f>
        <v>2256</v>
      </c>
      <c r="H129" s="7">
        <f>IF(E129=0,0,F129/E129)</f>
        <v>0.71047227926078027</v>
      </c>
      <c r="I129" s="8" t="str">
        <f>IF(H129&gt;0.97,"Sold Out",IF(H129&gt;=0.85,"Critical",IF(H129&gt;=0.7,"Constrained","Healthy")))</f>
        <v>Constrained</v>
      </c>
      <c r="J129" s="6">
        <v>0</v>
      </c>
      <c r="K129" s="9"/>
    </row>
    <row r="130" spans="1:11">
      <c r="A130" s="1" t="s">
        <v>359</v>
      </c>
      <c r="B130" s="1" t="s">
        <v>147</v>
      </c>
      <c r="C130" s="1" t="s">
        <v>152</v>
      </c>
      <c r="D130" s="9">
        <v>46539</v>
      </c>
      <c r="E130" s="10">
        <v>7792</v>
      </c>
      <c r="F130" s="10">
        <v>5712</v>
      </c>
      <c r="G130" s="10">
        <f>E130-F130</f>
        <v>2080</v>
      </c>
      <c r="H130" s="7">
        <f>IF(E130=0,0,F130/E130)</f>
        <v>0.73305954825462016</v>
      </c>
      <c r="I130" s="8" t="str">
        <f>IF(H130&gt;0.97,"Sold Out",IF(H130&gt;=0.85,"Critical",IF(H130&gt;=0.7,"Constrained","Healthy")))</f>
        <v>Constrained</v>
      </c>
      <c r="J130" s="6">
        <v>0</v>
      </c>
      <c r="K130" s="9"/>
    </row>
    <row r="131" spans="1:11">
      <c r="A131" s="1" t="s">
        <v>359</v>
      </c>
      <c r="B131" s="1" t="s">
        <v>147</v>
      </c>
      <c r="C131" s="1" t="s">
        <v>152</v>
      </c>
      <c r="D131" s="9">
        <v>46569</v>
      </c>
      <c r="E131" s="10">
        <v>7792</v>
      </c>
      <c r="F131" s="10">
        <v>5888</v>
      </c>
      <c r="G131" s="10">
        <f>E131-F131</f>
        <v>1904</v>
      </c>
      <c r="H131" s="7">
        <f>IF(E131=0,0,F131/E131)</f>
        <v>0.75564681724845995</v>
      </c>
      <c r="I131" s="8" t="str">
        <f>IF(H131&gt;0.97,"Sold Out",IF(H131&gt;=0.85,"Critical",IF(H131&gt;=0.7,"Constrained","Healthy")))</f>
        <v>Constrained</v>
      </c>
      <c r="J131" s="6">
        <v>0</v>
      </c>
      <c r="K131" s="9"/>
    </row>
    <row r="132" spans="1:11">
      <c r="A132" s="1" t="s">
        <v>359</v>
      </c>
      <c r="B132" s="1" t="s">
        <v>147</v>
      </c>
      <c r="C132" s="1" t="s">
        <v>152</v>
      </c>
      <c r="D132" s="9">
        <v>46600</v>
      </c>
      <c r="E132" s="10">
        <v>7792</v>
      </c>
      <c r="F132" s="10">
        <v>6080</v>
      </c>
      <c r="G132" s="10">
        <f>E132-F132</f>
        <v>1712</v>
      </c>
      <c r="H132" s="7">
        <f>IF(E132=0,0,F132/E132)</f>
        <v>0.78028747433264889</v>
      </c>
      <c r="I132" s="8" t="str">
        <f>IF(H132&gt;0.97,"Sold Out",IF(H132&gt;=0.85,"Critical",IF(H132&gt;=0.7,"Constrained","Healthy")))</f>
        <v>Constrained</v>
      </c>
      <c r="J132" s="6">
        <v>0</v>
      </c>
      <c r="K132" s="9"/>
    </row>
    <row r="133" spans="1:11">
      <c r="A133" s="1" t="s">
        <v>359</v>
      </c>
      <c r="B133" s="1" t="s">
        <v>147</v>
      </c>
      <c r="C133" s="1" t="s">
        <v>152</v>
      </c>
      <c r="D133" s="9">
        <v>46631</v>
      </c>
      <c r="E133" s="10">
        <v>7792</v>
      </c>
      <c r="F133" s="10">
        <v>6272</v>
      </c>
      <c r="G133" s="10">
        <f>E133-F133</f>
        <v>1520</v>
      </c>
      <c r="H133" s="7">
        <f>IF(E133=0,0,F133/E133)</f>
        <v>0.80492813141683783</v>
      </c>
      <c r="I133" s="8" t="str">
        <f>IF(H133&gt;0.97,"Sold Out",IF(H133&gt;=0.85,"Critical",IF(H133&gt;=0.7,"Constrained","Healthy")))</f>
        <v>Constrained</v>
      </c>
      <c r="J133" s="6">
        <v>0</v>
      </c>
      <c r="K133" s="9"/>
    </row>
    <row r="134" spans="1:11">
      <c r="A134" s="1" t="s">
        <v>359</v>
      </c>
      <c r="B134" s="1" t="s">
        <v>147</v>
      </c>
      <c r="C134" s="1" t="s">
        <v>155</v>
      </c>
      <c r="D134" s="9">
        <v>46296</v>
      </c>
      <c r="E134" s="10">
        <v>14976</v>
      </c>
      <c r="F134" s="10">
        <v>13120</v>
      </c>
      <c r="G134" s="10">
        <f>E134-F134</f>
        <v>1856</v>
      </c>
      <c r="H134" s="7">
        <f>IF(E134=0,0,F134/E134)</f>
        <v>0.87606837606837606</v>
      </c>
      <c r="I134" s="8" t="str">
        <f>IF(H134&gt;0.97,"Sold Out",IF(H134&gt;=0.85,"Critical",IF(H134&gt;=0.7,"Constrained","Healthy")))</f>
        <v>Critical</v>
      </c>
      <c r="J134" s="6">
        <v>0</v>
      </c>
      <c r="K134" s="9"/>
    </row>
    <row r="135" spans="1:11">
      <c r="A135" s="1" t="s">
        <v>359</v>
      </c>
      <c r="B135" s="1" t="s">
        <v>147</v>
      </c>
      <c r="C135" s="1" t="s">
        <v>155</v>
      </c>
      <c r="D135" s="9">
        <v>46327</v>
      </c>
      <c r="E135" s="10">
        <v>14976</v>
      </c>
      <c r="F135" s="10">
        <v>13536</v>
      </c>
      <c r="G135" s="10">
        <f>E135-F135</f>
        <v>1440</v>
      </c>
      <c r="H135" s="7">
        <f>IF(E135=0,0,F135/E135)</f>
        <v>0.90384615384615385</v>
      </c>
      <c r="I135" s="8" t="str">
        <f>IF(H135&gt;0.97,"Sold Out",IF(H135&gt;=0.85,"Critical",IF(H135&gt;=0.7,"Constrained","Healthy")))</f>
        <v>Critical</v>
      </c>
      <c r="J135" s="6">
        <v>0</v>
      </c>
      <c r="K135" s="9"/>
    </row>
    <row r="136" spans="1:11">
      <c r="A136" s="1" t="s">
        <v>359</v>
      </c>
      <c r="B136" s="1" t="s">
        <v>147</v>
      </c>
      <c r="C136" s="1" t="s">
        <v>155</v>
      </c>
      <c r="D136" s="9">
        <v>46357</v>
      </c>
      <c r="E136" s="10">
        <v>14976</v>
      </c>
      <c r="F136" s="10">
        <v>13984</v>
      </c>
      <c r="G136" s="10">
        <f>E136-F136</f>
        <v>992</v>
      </c>
      <c r="H136" s="7">
        <f>IF(E136=0,0,F136/E136)</f>
        <v>0.93376068376068377</v>
      </c>
      <c r="I136" s="8" t="str">
        <f>IF(H136&gt;0.97,"Sold Out",IF(H136&gt;=0.85,"Critical",IF(H136&gt;=0.7,"Constrained","Healthy")))</f>
        <v>Critical</v>
      </c>
      <c r="J136" s="6">
        <v>0</v>
      </c>
      <c r="K136" s="9"/>
    </row>
    <row r="137" spans="1:11">
      <c r="A137" s="1" t="s">
        <v>359</v>
      </c>
      <c r="B137" s="1" t="s">
        <v>147</v>
      </c>
      <c r="C137" s="1" t="s">
        <v>155</v>
      </c>
      <c r="D137" s="9">
        <v>46388</v>
      </c>
      <c r="E137" s="10">
        <v>14976</v>
      </c>
      <c r="F137" s="10">
        <v>14432</v>
      </c>
      <c r="G137" s="10">
        <f>E137-F137</f>
        <v>544</v>
      </c>
      <c r="H137" s="7">
        <f>IF(E137=0,0,F137/E137)</f>
        <v>0.96367521367521369</v>
      </c>
      <c r="I137" s="8" t="str">
        <f>IF(H137&gt;0.97,"Sold Out",IF(H137&gt;=0.85,"Critical",IF(H137&gt;=0.7,"Constrained","Healthy")))</f>
        <v>Critical</v>
      </c>
      <c r="J137" s="6">
        <v>0</v>
      </c>
      <c r="K137" s="9"/>
    </row>
    <row r="138" spans="1:11">
      <c r="A138" s="1" t="s">
        <v>359</v>
      </c>
      <c r="B138" s="1" t="s">
        <v>147</v>
      </c>
      <c r="C138" s="1" t="s">
        <v>155</v>
      </c>
      <c r="D138" s="9">
        <v>46419</v>
      </c>
      <c r="E138" s="10">
        <v>14976</v>
      </c>
      <c r="F138" s="10">
        <v>14880</v>
      </c>
      <c r="G138" s="10">
        <f>E138-F138</f>
        <v>96</v>
      </c>
      <c r="H138" s="7">
        <f>IF(E138=0,0,F138/E138)</f>
        <v>0.99358974358974361</v>
      </c>
      <c r="I138" s="8" t="str">
        <f>IF(H138&gt;0.97,"Sold Out",IF(H138&gt;=0.85,"Critical",IF(H138&gt;=0.7,"Constrained","Healthy")))</f>
        <v>Sold Out</v>
      </c>
      <c r="J138" s="6">
        <v>0</v>
      </c>
      <c r="K138" s="9"/>
    </row>
    <row r="139" spans="1:11">
      <c r="A139" s="1" t="s">
        <v>359</v>
      </c>
      <c r="B139" s="1" t="s">
        <v>147</v>
      </c>
      <c r="C139" s="1" t="s">
        <v>155</v>
      </c>
      <c r="D139" s="9">
        <v>46447</v>
      </c>
      <c r="E139" s="10">
        <v>14976</v>
      </c>
      <c r="F139" s="10">
        <v>15360</v>
      </c>
      <c r="G139" s="10">
        <f>E139-F139</f>
        <v>-384</v>
      </c>
      <c r="H139" s="7">
        <f>IF(E139=0,0,F139/E139)</f>
        <v>1.0256410256410255</v>
      </c>
      <c r="I139" s="8" t="str">
        <f>IF(H139&gt;0.97,"Sold Out",IF(H139&gt;=0.85,"Critical",IF(H139&gt;=0.7,"Constrained","Healthy")))</f>
        <v>Sold Out</v>
      </c>
      <c r="J139" s="6">
        <v>0</v>
      </c>
      <c r="K139" s="9"/>
    </row>
    <row r="140" spans="1:11">
      <c r="A140" s="1" t="s">
        <v>359</v>
      </c>
      <c r="B140" s="1" t="s">
        <v>147</v>
      </c>
      <c r="C140" s="1" t="s">
        <v>155</v>
      </c>
      <c r="D140" s="9">
        <v>46478</v>
      </c>
      <c r="E140" s="10">
        <v>19712</v>
      </c>
      <c r="F140" s="10">
        <v>15840</v>
      </c>
      <c r="G140" s="10">
        <f>E140-F140</f>
        <v>3872</v>
      </c>
      <c r="H140" s="7">
        <f>IF(E140=0,0,F140/E140)</f>
        <v>0.8035714285714286</v>
      </c>
      <c r="I140" s="8" t="str">
        <f>IF(H140&gt;0.97,"Sold Out",IF(H140&gt;=0.85,"Critical",IF(H140&gt;=0.7,"Constrained","Healthy")))</f>
        <v>Constrained</v>
      </c>
      <c r="J140" s="6">
        <v>4736</v>
      </c>
      <c r="K140" s="9">
        <v>46478</v>
      </c>
    </row>
    <row r="141" spans="1:11">
      <c r="A141" s="1" t="s">
        <v>359</v>
      </c>
      <c r="B141" s="1" t="s">
        <v>147</v>
      </c>
      <c r="C141" s="1" t="s">
        <v>155</v>
      </c>
      <c r="D141" s="9">
        <v>46508</v>
      </c>
      <c r="E141" s="10">
        <v>19712</v>
      </c>
      <c r="F141" s="10">
        <v>16352</v>
      </c>
      <c r="G141" s="10">
        <f>E141-F141</f>
        <v>3360</v>
      </c>
      <c r="H141" s="7">
        <f>IF(E141=0,0,F141/E141)</f>
        <v>0.82954545454545459</v>
      </c>
      <c r="I141" s="8" t="str">
        <f>IF(H141&gt;0.97,"Sold Out",IF(H141&gt;=0.85,"Critical",IF(H141&gt;=0.7,"Constrained","Healthy")))</f>
        <v>Constrained</v>
      </c>
      <c r="J141" s="6">
        <v>0</v>
      </c>
      <c r="K141" s="9"/>
    </row>
    <row r="142" spans="1:11">
      <c r="A142" s="1" t="s">
        <v>359</v>
      </c>
      <c r="B142" s="1" t="s">
        <v>147</v>
      </c>
      <c r="C142" s="1" t="s">
        <v>155</v>
      </c>
      <c r="D142" s="9">
        <v>46539</v>
      </c>
      <c r="E142" s="10">
        <v>19712</v>
      </c>
      <c r="F142" s="10">
        <v>16864</v>
      </c>
      <c r="G142" s="10">
        <f>E142-F142</f>
        <v>2848</v>
      </c>
      <c r="H142" s="7">
        <f>IF(E142=0,0,F142/E142)</f>
        <v>0.85551948051948057</v>
      </c>
      <c r="I142" s="8" t="str">
        <f>IF(H142&gt;0.97,"Sold Out",IF(H142&gt;=0.85,"Critical",IF(H142&gt;=0.7,"Constrained","Healthy")))</f>
        <v>Critical</v>
      </c>
      <c r="J142" s="6">
        <v>0</v>
      </c>
      <c r="K142" s="9"/>
    </row>
    <row r="143" spans="1:11">
      <c r="A143" s="1" t="s">
        <v>359</v>
      </c>
      <c r="B143" s="1" t="s">
        <v>147</v>
      </c>
      <c r="C143" s="1" t="s">
        <v>155</v>
      </c>
      <c r="D143" s="9">
        <v>46569</v>
      </c>
      <c r="E143" s="10">
        <v>19712</v>
      </c>
      <c r="F143" s="10">
        <v>17408</v>
      </c>
      <c r="G143" s="10">
        <f>E143-F143</f>
        <v>2304</v>
      </c>
      <c r="H143" s="7">
        <f>IF(E143=0,0,F143/E143)</f>
        <v>0.88311688311688308</v>
      </c>
      <c r="I143" s="8" t="str">
        <f>IF(H143&gt;0.97,"Sold Out",IF(H143&gt;=0.85,"Critical",IF(H143&gt;=0.7,"Constrained","Healthy")))</f>
        <v>Critical</v>
      </c>
      <c r="J143" s="6">
        <v>0</v>
      </c>
      <c r="K143" s="9"/>
    </row>
    <row r="144" spans="1:11">
      <c r="A144" s="1" t="s">
        <v>359</v>
      </c>
      <c r="B144" s="1" t="s">
        <v>147</v>
      </c>
      <c r="C144" s="1" t="s">
        <v>155</v>
      </c>
      <c r="D144" s="9">
        <v>46600</v>
      </c>
      <c r="E144" s="10">
        <v>19712</v>
      </c>
      <c r="F144" s="10">
        <v>17952</v>
      </c>
      <c r="G144" s="10">
        <f>E144-F144</f>
        <v>1760</v>
      </c>
      <c r="H144" s="7">
        <f>IF(E144=0,0,F144/E144)</f>
        <v>0.9107142857142857</v>
      </c>
      <c r="I144" s="8" t="str">
        <f>IF(H144&gt;0.97,"Sold Out",IF(H144&gt;=0.85,"Critical",IF(H144&gt;=0.7,"Constrained","Healthy")))</f>
        <v>Critical</v>
      </c>
      <c r="J144" s="6">
        <v>0</v>
      </c>
      <c r="K144" s="9"/>
    </row>
    <row r="145" spans="1:11">
      <c r="A145" s="1" t="s">
        <v>359</v>
      </c>
      <c r="B145" s="1" t="s">
        <v>147</v>
      </c>
      <c r="C145" s="1" t="s">
        <v>155</v>
      </c>
      <c r="D145" s="9">
        <v>46631</v>
      </c>
      <c r="E145" s="10">
        <v>19712</v>
      </c>
      <c r="F145" s="10">
        <v>18528</v>
      </c>
      <c r="G145" s="10">
        <f>E145-F145</f>
        <v>1184</v>
      </c>
      <c r="H145" s="7">
        <f>IF(E145=0,0,F145/E145)</f>
        <v>0.93993506493506496</v>
      </c>
      <c r="I145" s="8" t="str">
        <f>IF(H145&gt;0.97,"Sold Out",IF(H145&gt;=0.85,"Critical",IF(H145&gt;=0.7,"Constrained","Healthy")))</f>
        <v>Critical</v>
      </c>
      <c r="J145" s="6">
        <v>0</v>
      </c>
      <c r="K145" s="9"/>
    </row>
    <row r="146" spans="1:11">
      <c r="A146" s="1" t="s">
        <v>395</v>
      </c>
      <c r="B146" s="1" t="s">
        <v>147</v>
      </c>
      <c r="C146" s="1" t="s">
        <v>152</v>
      </c>
      <c r="D146" s="9">
        <v>46296</v>
      </c>
      <c r="E146" s="10">
        <v>6816</v>
      </c>
      <c r="F146" s="10">
        <v>3920</v>
      </c>
      <c r="G146" s="10">
        <f>E146-F146</f>
        <v>2896</v>
      </c>
      <c r="H146" s="7">
        <f>IF(E146=0,0,F146/E146)</f>
        <v>0.57511737089201875</v>
      </c>
      <c r="I146" s="8" t="str">
        <f>IF(H146&gt;0.97,"Sold Out",IF(H146&gt;=0.85,"Critical",IF(H146&gt;=0.7,"Constrained","Healthy")))</f>
        <v>Healthy</v>
      </c>
      <c r="J146" s="6">
        <v>0</v>
      </c>
      <c r="K146" s="9"/>
    </row>
    <row r="147" spans="1:11">
      <c r="A147" s="1" t="s">
        <v>395</v>
      </c>
      <c r="B147" s="1" t="s">
        <v>147</v>
      </c>
      <c r="C147" s="1" t="s">
        <v>152</v>
      </c>
      <c r="D147" s="9">
        <v>46327</v>
      </c>
      <c r="E147" s="10">
        <v>6816</v>
      </c>
      <c r="F147" s="10">
        <v>4048</v>
      </c>
      <c r="G147" s="10">
        <f>E147-F147</f>
        <v>2768</v>
      </c>
      <c r="H147" s="7">
        <f>IF(E147=0,0,F147/E147)</f>
        <v>0.5938967136150235</v>
      </c>
      <c r="I147" s="8" t="str">
        <f>IF(H147&gt;0.97,"Sold Out",IF(H147&gt;=0.85,"Critical",IF(H147&gt;=0.7,"Constrained","Healthy")))</f>
        <v>Healthy</v>
      </c>
      <c r="J147" s="6">
        <v>0</v>
      </c>
      <c r="K147" s="9"/>
    </row>
    <row r="148" spans="1:11">
      <c r="A148" s="1" t="s">
        <v>395</v>
      </c>
      <c r="B148" s="1" t="s">
        <v>147</v>
      </c>
      <c r="C148" s="1" t="s">
        <v>152</v>
      </c>
      <c r="D148" s="9">
        <v>46357</v>
      </c>
      <c r="E148" s="10">
        <v>6816</v>
      </c>
      <c r="F148" s="10">
        <v>4176</v>
      </c>
      <c r="G148" s="10">
        <f>E148-F148</f>
        <v>2640</v>
      </c>
      <c r="H148" s="7">
        <f>IF(E148=0,0,F148/E148)</f>
        <v>0.61267605633802813</v>
      </c>
      <c r="I148" s="8" t="str">
        <f>IF(H148&gt;0.97,"Sold Out",IF(H148&gt;=0.85,"Critical",IF(H148&gt;=0.7,"Constrained","Healthy")))</f>
        <v>Healthy</v>
      </c>
      <c r="J148" s="6">
        <v>0</v>
      </c>
      <c r="K148" s="9"/>
    </row>
    <row r="149" spans="1:11">
      <c r="A149" s="1" t="s">
        <v>395</v>
      </c>
      <c r="B149" s="1" t="s">
        <v>147</v>
      </c>
      <c r="C149" s="1" t="s">
        <v>152</v>
      </c>
      <c r="D149" s="9">
        <v>46388</v>
      </c>
      <c r="E149" s="10">
        <v>6816</v>
      </c>
      <c r="F149" s="10">
        <v>4304</v>
      </c>
      <c r="G149" s="10">
        <f>E149-F149</f>
        <v>2512</v>
      </c>
      <c r="H149" s="7">
        <f>IF(E149=0,0,F149/E149)</f>
        <v>0.63145539906103287</v>
      </c>
      <c r="I149" s="8" t="str">
        <f>IF(H149&gt;0.97,"Sold Out",IF(H149&gt;=0.85,"Critical",IF(H149&gt;=0.7,"Constrained","Healthy")))</f>
        <v>Healthy</v>
      </c>
      <c r="J149" s="6">
        <v>0</v>
      </c>
      <c r="K149" s="9"/>
    </row>
    <row r="150" spans="1:11">
      <c r="A150" s="1" t="s">
        <v>395</v>
      </c>
      <c r="B150" s="1" t="s">
        <v>147</v>
      </c>
      <c r="C150" s="1" t="s">
        <v>152</v>
      </c>
      <c r="D150" s="9">
        <v>46419</v>
      </c>
      <c r="E150" s="10">
        <v>6816</v>
      </c>
      <c r="F150" s="10">
        <v>4448</v>
      </c>
      <c r="G150" s="10">
        <f>E150-F150</f>
        <v>2368</v>
      </c>
      <c r="H150" s="7">
        <f>IF(E150=0,0,F150/E150)</f>
        <v>0.65258215962441313</v>
      </c>
      <c r="I150" s="8" t="str">
        <f>IF(H150&gt;0.97,"Sold Out",IF(H150&gt;=0.85,"Critical",IF(H150&gt;=0.7,"Constrained","Healthy")))</f>
        <v>Healthy</v>
      </c>
      <c r="J150" s="6">
        <v>0</v>
      </c>
      <c r="K150" s="9"/>
    </row>
    <row r="151" spans="1:11">
      <c r="A151" s="1" t="s">
        <v>395</v>
      </c>
      <c r="B151" s="1" t="s">
        <v>147</v>
      </c>
      <c r="C151" s="1" t="s">
        <v>152</v>
      </c>
      <c r="D151" s="9">
        <v>46447</v>
      </c>
      <c r="E151" s="10">
        <v>6816</v>
      </c>
      <c r="F151" s="10">
        <v>4592</v>
      </c>
      <c r="G151" s="10">
        <f>E151-F151</f>
        <v>2224</v>
      </c>
      <c r="H151" s="7">
        <f>IF(E151=0,0,F151/E151)</f>
        <v>0.67370892018779338</v>
      </c>
      <c r="I151" s="8" t="str">
        <f>IF(H151&gt;0.97,"Sold Out",IF(H151&gt;=0.85,"Critical",IF(H151&gt;=0.7,"Constrained","Healthy")))</f>
        <v>Healthy</v>
      </c>
      <c r="J151" s="6">
        <v>0</v>
      </c>
      <c r="K151" s="9"/>
    </row>
    <row r="152" spans="1:11">
      <c r="A152" s="1" t="s">
        <v>395</v>
      </c>
      <c r="B152" s="1" t="s">
        <v>147</v>
      </c>
      <c r="C152" s="1" t="s">
        <v>152</v>
      </c>
      <c r="D152" s="9">
        <v>46478</v>
      </c>
      <c r="E152" s="10">
        <v>6816</v>
      </c>
      <c r="F152" s="10">
        <v>4736</v>
      </c>
      <c r="G152" s="10">
        <f>E152-F152</f>
        <v>2080</v>
      </c>
      <c r="H152" s="7">
        <f>IF(E152=0,0,F152/E152)</f>
        <v>0.69483568075117375</v>
      </c>
      <c r="I152" s="8" t="str">
        <f>IF(H152&gt;0.97,"Sold Out",IF(H152&gt;=0.85,"Critical",IF(H152&gt;=0.7,"Constrained","Healthy")))</f>
        <v>Healthy</v>
      </c>
      <c r="J152" s="6">
        <v>0</v>
      </c>
      <c r="K152" s="9"/>
    </row>
    <row r="153" spans="1:11">
      <c r="A153" s="1" t="s">
        <v>395</v>
      </c>
      <c r="B153" s="1" t="s">
        <v>147</v>
      </c>
      <c r="C153" s="1" t="s">
        <v>152</v>
      </c>
      <c r="D153" s="9">
        <v>46508</v>
      </c>
      <c r="E153" s="10">
        <v>6816</v>
      </c>
      <c r="F153" s="10">
        <v>4880</v>
      </c>
      <c r="G153" s="10">
        <f>E153-F153</f>
        <v>1936</v>
      </c>
      <c r="H153" s="7">
        <f>IF(E153=0,0,F153/E153)</f>
        <v>0.715962441314554</v>
      </c>
      <c r="I153" s="8" t="str">
        <f>IF(H153&gt;0.97,"Sold Out",IF(H153&gt;=0.85,"Critical",IF(H153&gt;=0.7,"Constrained","Healthy")))</f>
        <v>Constrained</v>
      </c>
      <c r="J153" s="6">
        <v>0</v>
      </c>
      <c r="K153" s="9"/>
    </row>
    <row r="154" spans="1:11">
      <c r="A154" s="1" t="s">
        <v>395</v>
      </c>
      <c r="B154" s="1" t="s">
        <v>147</v>
      </c>
      <c r="C154" s="1" t="s">
        <v>152</v>
      </c>
      <c r="D154" s="9">
        <v>46539</v>
      </c>
      <c r="E154" s="10">
        <v>6816</v>
      </c>
      <c r="F154" s="10">
        <v>5040</v>
      </c>
      <c r="G154" s="10">
        <f>E154-F154</f>
        <v>1776</v>
      </c>
      <c r="H154" s="7">
        <f>IF(E154=0,0,F154/E154)</f>
        <v>0.73943661971830987</v>
      </c>
      <c r="I154" s="8" t="str">
        <f>IF(H154&gt;0.97,"Sold Out",IF(H154&gt;=0.85,"Critical",IF(H154&gt;=0.7,"Constrained","Healthy")))</f>
        <v>Constrained</v>
      </c>
      <c r="J154" s="6">
        <v>0</v>
      </c>
      <c r="K154" s="9"/>
    </row>
    <row r="155" spans="1:11">
      <c r="A155" s="1" t="s">
        <v>395</v>
      </c>
      <c r="B155" s="1" t="s">
        <v>147</v>
      </c>
      <c r="C155" s="1" t="s">
        <v>152</v>
      </c>
      <c r="D155" s="9">
        <v>46569</v>
      </c>
      <c r="E155" s="10">
        <v>6816</v>
      </c>
      <c r="F155" s="10">
        <v>5200</v>
      </c>
      <c r="G155" s="10">
        <f>E155-F155</f>
        <v>1616</v>
      </c>
      <c r="H155" s="7">
        <f>IF(E155=0,0,F155/E155)</f>
        <v>0.76291079812206575</v>
      </c>
      <c r="I155" s="8" t="str">
        <f>IF(H155&gt;0.97,"Sold Out",IF(H155&gt;=0.85,"Critical",IF(H155&gt;=0.7,"Constrained","Healthy")))</f>
        <v>Constrained</v>
      </c>
      <c r="J155" s="6">
        <v>0</v>
      </c>
      <c r="K155" s="9"/>
    </row>
    <row r="156" spans="1:11">
      <c r="A156" s="1" t="s">
        <v>395</v>
      </c>
      <c r="B156" s="1" t="s">
        <v>147</v>
      </c>
      <c r="C156" s="1" t="s">
        <v>152</v>
      </c>
      <c r="D156" s="9">
        <v>46600</v>
      </c>
      <c r="E156" s="10">
        <v>6816</v>
      </c>
      <c r="F156" s="10">
        <v>5360</v>
      </c>
      <c r="G156" s="10">
        <f>E156-F156</f>
        <v>1456</v>
      </c>
      <c r="H156" s="7">
        <f>IF(E156=0,0,F156/E156)</f>
        <v>0.78638497652582162</v>
      </c>
      <c r="I156" s="8" t="str">
        <f>IF(H156&gt;0.97,"Sold Out",IF(H156&gt;=0.85,"Critical",IF(H156&gt;=0.7,"Constrained","Healthy")))</f>
        <v>Constrained</v>
      </c>
      <c r="J156" s="6">
        <v>0</v>
      </c>
      <c r="K156" s="9"/>
    </row>
    <row r="157" spans="1:11">
      <c r="A157" s="1" t="s">
        <v>395</v>
      </c>
      <c r="B157" s="1" t="s">
        <v>147</v>
      </c>
      <c r="C157" s="1" t="s">
        <v>152</v>
      </c>
      <c r="D157" s="9">
        <v>46631</v>
      </c>
      <c r="E157" s="10">
        <v>6816</v>
      </c>
      <c r="F157" s="10">
        <v>5536</v>
      </c>
      <c r="G157" s="10">
        <f>E157-F157</f>
        <v>1280</v>
      </c>
      <c r="H157" s="7">
        <f>IF(E157=0,0,F157/E157)</f>
        <v>0.81220657276995301</v>
      </c>
      <c r="I157" s="8" t="str">
        <f>IF(H157&gt;0.97,"Sold Out",IF(H157&gt;=0.85,"Critical",IF(H157&gt;=0.7,"Constrained","Healthy")))</f>
        <v>Constrained</v>
      </c>
      <c r="J157" s="6">
        <v>0</v>
      </c>
      <c r="K157" s="9"/>
    </row>
    <row r="158" spans="1:11">
      <c r="A158" s="1" t="s">
        <v>395</v>
      </c>
      <c r="B158" s="1" t="s">
        <v>147</v>
      </c>
      <c r="C158" s="1" t="s">
        <v>155</v>
      </c>
      <c r="D158" s="9">
        <v>46296</v>
      </c>
      <c r="E158" s="10">
        <v>9664</v>
      </c>
      <c r="F158" s="10">
        <v>5152</v>
      </c>
      <c r="G158" s="10">
        <f>E158-F158</f>
        <v>4512</v>
      </c>
      <c r="H158" s="7">
        <f>IF(E158=0,0,F158/E158)</f>
        <v>0.5331125827814569</v>
      </c>
      <c r="I158" s="8" t="str">
        <f>IF(H158&gt;0.97,"Sold Out",IF(H158&gt;=0.85,"Critical",IF(H158&gt;=0.7,"Constrained","Healthy")))</f>
        <v>Healthy</v>
      </c>
      <c r="J158" s="6">
        <v>0</v>
      </c>
      <c r="K158" s="9"/>
    </row>
    <row r="159" spans="1:11">
      <c r="A159" s="1" t="s">
        <v>395</v>
      </c>
      <c r="B159" s="1" t="s">
        <v>147</v>
      </c>
      <c r="C159" s="1" t="s">
        <v>155</v>
      </c>
      <c r="D159" s="9">
        <v>46327</v>
      </c>
      <c r="E159" s="10">
        <v>9664</v>
      </c>
      <c r="F159" s="10">
        <v>5312</v>
      </c>
      <c r="G159" s="10">
        <f>E159-F159</f>
        <v>4352</v>
      </c>
      <c r="H159" s="7">
        <f>IF(E159=0,0,F159/E159)</f>
        <v>0.54966887417218546</v>
      </c>
      <c r="I159" s="8" t="str">
        <f>IF(H159&gt;0.97,"Sold Out",IF(H159&gt;=0.85,"Critical",IF(H159&gt;=0.7,"Constrained","Healthy")))</f>
        <v>Healthy</v>
      </c>
      <c r="J159" s="6">
        <v>0</v>
      </c>
      <c r="K159" s="9"/>
    </row>
    <row r="160" spans="1:11">
      <c r="A160" s="1" t="s">
        <v>395</v>
      </c>
      <c r="B160" s="1" t="s">
        <v>147</v>
      </c>
      <c r="C160" s="1" t="s">
        <v>155</v>
      </c>
      <c r="D160" s="9">
        <v>46357</v>
      </c>
      <c r="E160" s="10">
        <v>9664</v>
      </c>
      <c r="F160" s="10">
        <v>5472</v>
      </c>
      <c r="G160" s="10">
        <f>E160-F160</f>
        <v>4192</v>
      </c>
      <c r="H160" s="7">
        <f>IF(E160=0,0,F160/E160)</f>
        <v>0.56622516556291391</v>
      </c>
      <c r="I160" s="8" t="str">
        <f>IF(H160&gt;0.97,"Sold Out",IF(H160&gt;=0.85,"Critical",IF(H160&gt;=0.7,"Constrained","Healthy")))</f>
        <v>Healthy</v>
      </c>
      <c r="J160" s="6">
        <v>0</v>
      </c>
      <c r="K160" s="9"/>
    </row>
    <row r="161" spans="1:11">
      <c r="A161" s="1" t="s">
        <v>395</v>
      </c>
      <c r="B161" s="1" t="s">
        <v>147</v>
      </c>
      <c r="C161" s="1" t="s">
        <v>155</v>
      </c>
      <c r="D161" s="9">
        <v>46388</v>
      </c>
      <c r="E161" s="10">
        <v>9664</v>
      </c>
      <c r="F161" s="10">
        <v>5632</v>
      </c>
      <c r="G161" s="10">
        <f>E161-F161</f>
        <v>4032</v>
      </c>
      <c r="H161" s="7">
        <f>IF(E161=0,0,F161/E161)</f>
        <v>0.58278145695364236</v>
      </c>
      <c r="I161" s="8" t="str">
        <f>IF(H161&gt;0.97,"Sold Out",IF(H161&gt;=0.85,"Critical",IF(H161&gt;=0.7,"Constrained","Healthy")))</f>
        <v>Healthy</v>
      </c>
      <c r="J161" s="6">
        <v>0</v>
      </c>
      <c r="K161" s="9"/>
    </row>
    <row r="162" spans="1:11">
      <c r="A162" s="1" t="s">
        <v>395</v>
      </c>
      <c r="B162" s="1" t="s">
        <v>147</v>
      </c>
      <c r="C162" s="1" t="s">
        <v>155</v>
      </c>
      <c r="D162" s="9">
        <v>46419</v>
      </c>
      <c r="E162" s="10">
        <v>9664</v>
      </c>
      <c r="F162" s="10">
        <v>5824</v>
      </c>
      <c r="G162" s="10">
        <f>E162-F162</f>
        <v>3840</v>
      </c>
      <c r="H162" s="7">
        <f>IF(E162=0,0,F162/E162)</f>
        <v>0.60264900662251653</v>
      </c>
      <c r="I162" s="8" t="str">
        <f>IF(H162&gt;0.97,"Sold Out",IF(H162&gt;=0.85,"Critical",IF(H162&gt;=0.7,"Constrained","Healthy")))</f>
        <v>Healthy</v>
      </c>
      <c r="J162" s="6">
        <v>0</v>
      </c>
      <c r="K162" s="9"/>
    </row>
    <row r="163" spans="1:11">
      <c r="A163" s="1" t="s">
        <v>395</v>
      </c>
      <c r="B163" s="1" t="s">
        <v>147</v>
      </c>
      <c r="C163" s="1" t="s">
        <v>155</v>
      </c>
      <c r="D163" s="9">
        <v>46447</v>
      </c>
      <c r="E163" s="10">
        <v>9664</v>
      </c>
      <c r="F163" s="10">
        <v>6016</v>
      </c>
      <c r="G163" s="10">
        <f>E163-F163</f>
        <v>3648</v>
      </c>
      <c r="H163" s="7">
        <f>IF(E163=0,0,F163/E163)</f>
        <v>0.62251655629139069</v>
      </c>
      <c r="I163" s="8" t="str">
        <f>IF(H163&gt;0.97,"Sold Out",IF(H163&gt;=0.85,"Critical",IF(H163&gt;=0.7,"Constrained","Healthy")))</f>
        <v>Healthy</v>
      </c>
      <c r="J163" s="6">
        <v>0</v>
      </c>
      <c r="K163" s="9"/>
    </row>
    <row r="164" spans="1:11">
      <c r="A164" s="1" t="s">
        <v>395</v>
      </c>
      <c r="B164" s="1" t="s">
        <v>147</v>
      </c>
      <c r="C164" s="1" t="s">
        <v>155</v>
      </c>
      <c r="D164" s="9">
        <v>46478</v>
      </c>
      <c r="E164" s="10">
        <v>11520</v>
      </c>
      <c r="F164" s="10">
        <v>6208</v>
      </c>
      <c r="G164" s="10">
        <f>E164-F164</f>
        <v>5312</v>
      </c>
      <c r="H164" s="7">
        <f>IF(E164=0,0,F164/E164)</f>
        <v>0.53888888888888886</v>
      </c>
      <c r="I164" s="8" t="str">
        <f>IF(H164&gt;0.97,"Sold Out",IF(H164&gt;=0.85,"Critical",IF(H164&gt;=0.7,"Constrained","Healthy")))</f>
        <v>Healthy</v>
      </c>
      <c r="J164" s="6">
        <v>1856</v>
      </c>
      <c r="K164" s="9">
        <v>46478</v>
      </c>
    </row>
    <row r="165" spans="1:11">
      <c r="A165" s="1" t="s">
        <v>395</v>
      </c>
      <c r="B165" s="1" t="s">
        <v>147</v>
      </c>
      <c r="C165" s="1" t="s">
        <v>155</v>
      </c>
      <c r="D165" s="9">
        <v>46508</v>
      </c>
      <c r="E165" s="10">
        <v>11520</v>
      </c>
      <c r="F165" s="10">
        <v>6400</v>
      </c>
      <c r="G165" s="10">
        <f>E165-F165</f>
        <v>5120</v>
      </c>
      <c r="H165" s="7">
        <f>IF(E165=0,0,F165/E165)</f>
        <v>0.55555555555555558</v>
      </c>
      <c r="I165" s="8" t="str">
        <f>IF(H165&gt;0.97,"Sold Out",IF(H165&gt;=0.85,"Critical",IF(H165&gt;=0.7,"Constrained","Healthy")))</f>
        <v>Healthy</v>
      </c>
      <c r="J165" s="6">
        <v>0</v>
      </c>
      <c r="K165" s="9"/>
    </row>
    <row r="166" spans="1:11">
      <c r="A166" s="1" t="s">
        <v>395</v>
      </c>
      <c r="B166" s="1" t="s">
        <v>147</v>
      </c>
      <c r="C166" s="1" t="s">
        <v>155</v>
      </c>
      <c r="D166" s="9">
        <v>46539</v>
      </c>
      <c r="E166" s="10">
        <v>11520</v>
      </c>
      <c r="F166" s="10">
        <v>6592</v>
      </c>
      <c r="G166" s="10">
        <f>E166-F166</f>
        <v>4928</v>
      </c>
      <c r="H166" s="7">
        <f>IF(E166=0,0,F166/E166)</f>
        <v>0.57222222222222219</v>
      </c>
      <c r="I166" s="8" t="str">
        <f>IF(H166&gt;0.97,"Sold Out",IF(H166&gt;=0.85,"Critical",IF(H166&gt;=0.7,"Constrained","Healthy")))</f>
        <v>Healthy</v>
      </c>
      <c r="J166" s="6">
        <v>0</v>
      </c>
      <c r="K166" s="9"/>
    </row>
    <row r="167" spans="1:11">
      <c r="A167" s="1" t="s">
        <v>395</v>
      </c>
      <c r="B167" s="1" t="s">
        <v>147</v>
      </c>
      <c r="C167" s="1" t="s">
        <v>155</v>
      </c>
      <c r="D167" s="9">
        <v>46569</v>
      </c>
      <c r="E167" s="10">
        <v>11520</v>
      </c>
      <c r="F167" s="10">
        <v>6816</v>
      </c>
      <c r="G167" s="10">
        <f>E167-F167</f>
        <v>4704</v>
      </c>
      <c r="H167" s="7">
        <f>IF(E167=0,0,F167/E167)</f>
        <v>0.59166666666666667</v>
      </c>
      <c r="I167" s="8" t="str">
        <f>IF(H167&gt;0.97,"Sold Out",IF(H167&gt;=0.85,"Critical",IF(H167&gt;=0.7,"Constrained","Healthy")))</f>
        <v>Healthy</v>
      </c>
      <c r="J167" s="6">
        <v>0</v>
      </c>
      <c r="K167" s="9"/>
    </row>
    <row r="168" spans="1:11">
      <c r="A168" s="1" t="s">
        <v>395</v>
      </c>
      <c r="B168" s="1" t="s">
        <v>147</v>
      </c>
      <c r="C168" s="1" t="s">
        <v>155</v>
      </c>
      <c r="D168" s="9">
        <v>46600</v>
      </c>
      <c r="E168" s="10">
        <v>11520</v>
      </c>
      <c r="F168" s="10">
        <v>7040</v>
      </c>
      <c r="G168" s="10">
        <f>E168-F168</f>
        <v>4480</v>
      </c>
      <c r="H168" s="7">
        <f>IF(E168=0,0,F168/E168)</f>
        <v>0.61111111111111116</v>
      </c>
      <c r="I168" s="8" t="str">
        <f>IF(H168&gt;0.97,"Sold Out",IF(H168&gt;=0.85,"Critical",IF(H168&gt;=0.7,"Constrained","Healthy")))</f>
        <v>Healthy</v>
      </c>
      <c r="J168" s="6">
        <v>0</v>
      </c>
      <c r="K168" s="9"/>
    </row>
    <row r="169" spans="1:11">
      <c r="A169" s="1" t="s">
        <v>395</v>
      </c>
      <c r="B169" s="1" t="s">
        <v>147</v>
      </c>
      <c r="C169" s="1" t="s">
        <v>155</v>
      </c>
      <c r="D169" s="9">
        <v>46631</v>
      </c>
      <c r="E169" s="10">
        <v>11520</v>
      </c>
      <c r="F169" s="10">
        <v>7264</v>
      </c>
      <c r="G169" s="10">
        <f>E169-F169</f>
        <v>4256</v>
      </c>
      <c r="H169" s="7">
        <f>IF(E169=0,0,F169/E169)</f>
        <v>0.63055555555555554</v>
      </c>
      <c r="I169" s="8" t="str">
        <f>IF(H169&gt;0.97,"Sold Out",IF(H169&gt;=0.85,"Critical",IF(H169&gt;=0.7,"Constrained","Healthy")))</f>
        <v>Healthy</v>
      </c>
      <c r="J169" s="6">
        <v>0</v>
      </c>
      <c r="K169" s="9"/>
    </row>
    <row r="170" spans="1:11">
      <c r="A170" s="1" t="s">
        <v>429</v>
      </c>
      <c r="B170" s="1" t="s">
        <v>147</v>
      </c>
      <c r="C170" s="1" t="s">
        <v>152</v>
      </c>
      <c r="D170" s="9">
        <v>46296</v>
      </c>
      <c r="E170" s="10">
        <v>6208</v>
      </c>
      <c r="F170" s="10">
        <v>2912</v>
      </c>
      <c r="G170" s="10">
        <f>E170-F170</f>
        <v>3296</v>
      </c>
      <c r="H170" s="7">
        <f>IF(E170=0,0,F170/E170)</f>
        <v>0.46907216494845361</v>
      </c>
      <c r="I170" s="8" t="str">
        <f>IF(H170&gt;0.97,"Sold Out",IF(H170&gt;=0.85,"Critical",IF(H170&gt;=0.7,"Constrained","Healthy")))</f>
        <v>Healthy</v>
      </c>
      <c r="J170" s="6">
        <v>0</v>
      </c>
      <c r="K170" s="9"/>
    </row>
    <row r="171" spans="1:11">
      <c r="A171" s="1" t="s">
        <v>429</v>
      </c>
      <c r="B171" s="1" t="s">
        <v>147</v>
      </c>
      <c r="C171" s="1" t="s">
        <v>152</v>
      </c>
      <c r="D171" s="9">
        <v>46327</v>
      </c>
      <c r="E171" s="10">
        <v>6208</v>
      </c>
      <c r="F171" s="10">
        <v>2976</v>
      </c>
      <c r="G171" s="10">
        <f>E171-F171</f>
        <v>3232</v>
      </c>
      <c r="H171" s="7">
        <f>IF(E171=0,0,F171/E171)</f>
        <v>0.47938144329896909</v>
      </c>
      <c r="I171" s="8" t="str">
        <f>IF(H171&gt;0.97,"Sold Out",IF(H171&gt;=0.85,"Critical",IF(H171&gt;=0.7,"Constrained","Healthy")))</f>
        <v>Healthy</v>
      </c>
      <c r="J171" s="6">
        <v>0</v>
      </c>
      <c r="K171" s="9"/>
    </row>
    <row r="172" spans="1:11">
      <c r="A172" s="1" t="s">
        <v>429</v>
      </c>
      <c r="B172" s="1" t="s">
        <v>147</v>
      </c>
      <c r="C172" s="1" t="s">
        <v>152</v>
      </c>
      <c r="D172" s="9">
        <v>46357</v>
      </c>
      <c r="E172" s="10">
        <v>6208</v>
      </c>
      <c r="F172" s="10">
        <v>3040</v>
      </c>
      <c r="G172" s="10">
        <f>E172-F172</f>
        <v>3168</v>
      </c>
      <c r="H172" s="7">
        <f>IF(E172=0,0,F172/E172)</f>
        <v>0.48969072164948452</v>
      </c>
      <c r="I172" s="8" t="str">
        <f>IF(H172&gt;0.97,"Sold Out",IF(H172&gt;=0.85,"Critical",IF(H172&gt;=0.7,"Constrained","Healthy")))</f>
        <v>Healthy</v>
      </c>
      <c r="J172" s="6">
        <v>0</v>
      </c>
      <c r="K172" s="9"/>
    </row>
    <row r="173" spans="1:11">
      <c r="A173" s="1" t="s">
        <v>429</v>
      </c>
      <c r="B173" s="1" t="s">
        <v>147</v>
      </c>
      <c r="C173" s="1" t="s">
        <v>152</v>
      </c>
      <c r="D173" s="9">
        <v>46388</v>
      </c>
      <c r="E173" s="10">
        <v>6208</v>
      </c>
      <c r="F173" s="10">
        <v>3104</v>
      </c>
      <c r="G173" s="10">
        <f>E173-F173</f>
        <v>3104</v>
      </c>
      <c r="H173" s="7">
        <f>IF(E173=0,0,F173/E173)</f>
        <v>0.5</v>
      </c>
      <c r="I173" s="8" t="str">
        <f>IF(H173&gt;0.97,"Sold Out",IF(H173&gt;=0.85,"Critical",IF(H173&gt;=0.7,"Constrained","Healthy")))</f>
        <v>Healthy</v>
      </c>
      <c r="J173" s="6">
        <v>0</v>
      </c>
      <c r="K173" s="9"/>
    </row>
    <row r="174" spans="1:11">
      <c r="A174" s="1" t="s">
        <v>429</v>
      </c>
      <c r="B174" s="1" t="s">
        <v>147</v>
      </c>
      <c r="C174" s="1" t="s">
        <v>152</v>
      </c>
      <c r="D174" s="9">
        <v>46419</v>
      </c>
      <c r="E174" s="10">
        <v>8688</v>
      </c>
      <c r="F174" s="10">
        <v>3168</v>
      </c>
      <c r="G174" s="10">
        <f>E174-F174</f>
        <v>5520</v>
      </c>
      <c r="H174" s="7">
        <f>IF(E174=0,0,F174/E174)</f>
        <v>0.36464088397790057</v>
      </c>
      <c r="I174" s="8" t="str">
        <f>IF(H174&gt;0.97,"Sold Out",IF(H174&gt;=0.85,"Critical",IF(H174&gt;=0.7,"Constrained","Healthy")))</f>
        <v>Healthy</v>
      </c>
      <c r="J174" s="6">
        <v>2480</v>
      </c>
      <c r="K174" s="9">
        <v>46419</v>
      </c>
    </row>
    <row r="175" spans="1:11">
      <c r="A175" s="1" t="s">
        <v>429</v>
      </c>
      <c r="B175" s="1" t="s">
        <v>147</v>
      </c>
      <c r="C175" s="1" t="s">
        <v>152</v>
      </c>
      <c r="D175" s="9">
        <v>46447</v>
      </c>
      <c r="E175" s="10">
        <v>8688</v>
      </c>
      <c r="F175" s="10">
        <v>3232</v>
      </c>
      <c r="G175" s="10">
        <f>E175-F175</f>
        <v>5456</v>
      </c>
      <c r="H175" s="7">
        <f>IF(E175=0,0,F175/E175)</f>
        <v>0.3720073664825046</v>
      </c>
      <c r="I175" s="8" t="str">
        <f>IF(H175&gt;0.97,"Sold Out",IF(H175&gt;=0.85,"Critical",IF(H175&gt;=0.7,"Constrained","Healthy")))</f>
        <v>Healthy</v>
      </c>
      <c r="J175" s="6">
        <v>0</v>
      </c>
      <c r="K175" s="9"/>
    </row>
    <row r="176" spans="1:11">
      <c r="A176" s="1" t="s">
        <v>429</v>
      </c>
      <c r="B176" s="1" t="s">
        <v>147</v>
      </c>
      <c r="C176" s="1" t="s">
        <v>152</v>
      </c>
      <c r="D176" s="9">
        <v>46478</v>
      </c>
      <c r="E176" s="10">
        <v>8688</v>
      </c>
      <c r="F176" s="10">
        <v>3296</v>
      </c>
      <c r="G176" s="10">
        <f>E176-F176</f>
        <v>5392</v>
      </c>
      <c r="H176" s="7">
        <f>IF(E176=0,0,F176/E176)</f>
        <v>0.37937384898710863</v>
      </c>
      <c r="I176" s="8" t="str">
        <f>IF(H176&gt;0.97,"Sold Out",IF(H176&gt;=0.85,"Critical",IF(H176&gt;=0.7,"Constrained","Healthy")))</f>
        <v>Healthy</v>
      </c>
      <c r="J176" s="6">
        <v>0</v>
      </c>
      <c r="K176" s="9"/>
    </row>
    <row r="177" spans="1:11">
      <c r="A177" s="1" t="s">
        <v>429</v>
      </c>
      <c r="B177" s="1" t="s">
        <v>147</v>
      </c>
      <c r="C177" s="1" t="s">
        <v>152</v>
      </c>
      <c r="D177" s="9">
        <v>46508</v>
      </c>
      <c r="E177" s="10">
        <v>8688</v>
      </c>
      <c r="F177" s="10">
        <v>3360</v>
      </c>
      <c r="G177" s="10">
        <f>E177-F177</f>
        <v>5328</v>
      </c>
      <c r="H177" s="7">
        <f>IF(E177=0,0,F177/E177)</f>
        <v>0.38674033149171272</v>
      </c>
      <c r="I177" s="8" t="str">
        <f>IF(H177&gt;0.97,"Sold Out",IF(H177&gt;=0.85,"Critical",IF(H177&gt;=0.7,"Constrained","Healthy")))</f>
        <v>Healthy</v>
      </c>
      <c r="J177" s="6">
        <v>0</v>
      </c>
      <c r="K177" s="9"/>
    </row>
    <row r="178" spans="1:11">
      <c r="A178" s="1" t="s">
        <v>429</v>
      </c>
      <c r="B178" s="1" t="s">
        <v>147</v>
      </c>
      <c r="C178" s="1" t="s">
        <v>152</v>
      </c>
      <c r="D178" s="9">
        <v>46539</v>
      </c>
      <c r="E178" s="10">
        <v>8688</v>
      </c>
      <c r="F178" s="10">
        <v>3424</v>
      </c>
      <c r="G178" s="10">
        <f>E178-F178</f>
        <v>5264</v>
      </c>
      <c r="H178" s="7">
        <f>IF(E178=0,0,F178/E178)</f>
        <v>0.39410681399631675</v>
      </c>
      <c r="I178" s="8" t="str">
        <f>IF(H178&gt;0.97,"Sold Out",IF(H178&gt;=0.85,"Critical",IF(H178&gt;=0.7,"Constrained","Healthy")))</f>
        <v>Healthy</v>
      </c>
      <c r="J178" s="6">
        <v>0</v>
      </c>
      <c r="K178" s="9"/>
    </row>
    <row r="179" spans="1:11">
      <c r="A179" s="1" t="s">
        <v>429</v>
      </c>
      <c r="B179" s="1" t="s">
        <v>147</v>
      </c>
      <c r="C179" s="1" t="s">
        <v>152</v>
      </c>
      <c r="D179" s="9">
        <v>46569</v>
      </c>
      <c r="E179" s="10">
        <v>8688</v>
      </c>
      <c r="F179" s="10">
        <v>3488</v>
      </c>
      <c r="G179" s="10">
        <f>E179-F179</f>
        <v>5200</v>
      </c>
      <c r="H179" s="7">
        <f>IF(E179=0,0,F179/E179)</f>
        <v>0.40147329650092078</v>
      </c>
      <c r="I179" s="8" t="str">
        <f>IF(H179&gt;0.97,"Sold Out",IF(H179&gt;=0.85,"Critical",IF(H179&gt;=0.7,"Constrained","Healthy")))</f>
        <v>Healthy</v>
      </c>
      <c r="J179" s="6">
        <v>0</v>
      </c>
      <c r="K179" s="9"/>
    </row>
    <row r="180" spans="1:11">
      <c r="A180" s="1" t="s">
        <v>429</v>
      </c>
      <c r="B180" s="1" t="s">
        <v>147</v>
      </c>
      <c r="C180" s="1" t="s">
        <v>152</v>
      </c>
      <c r="D180" s="9">
        <v>46600</v>
      </c>
      <c r="E180" s="10">
        <v>8688</v>
      </c>
      <c r="F180" s="10">
        <v>3552</v>
      </c>
      <c r="G180" s="10">
        <f>E180-F180</f>
        <v>5136</v>
      </c>
      <c r="H180" s="7">
        <f>IF(E180=0,0,F180/E180)</f>
        <v>0.40883977900552487</v>
      </c>
      <c r="I180" s="8" t="str">
        <f>IF(H180&gt;0.97,"Sold Out",IF(H180&gt;=0.85,"Critical",IF(H180&gt;=0.7,"Constrained","Healthy")))</f>
        <v>Healthy</v>
      </c>
      <c r="J180" s="6">
        <v>0</v>
      </c>
      <c r="K180" s="9"/>
    </row>
    <row r="181" spans="1:11">
      <c r="A181" s="1" t="s">
        <v>429</v>
      </c>
      <c r="B181" s="1" t="s">
        <v>147</v>
      </c>
      <c r="C181" s="1" t="s">
        <v>152</v>
      </c>
      <c r="D181" s="9">
        <v>46631</v>
      </c>
      <c r="E181" s="10">
        <v>8688</v>
      </c>
      <c r="F181" s="10">
        <v>3616</v>
      </c>
      <c r="G181" s="10">
        <f>E181-F181</f>
        <v>5072</v>
      </c>
      <c r="H181" s="7">
        <f>IF(E181=0,0,F181/E181)</f>
        <v>0.41620626151012891</v>
      </c>
      <c r="I181" s="8" t="str">
        <f>IF(H181&gt;0.97,"Sold Out",IF(H181&gt;=0.85,"Critical",IF(H181&gt;=0.7,"Constrained","Healthy")))</f>
        <v>Healthy</v>
      </c>
      <c r="J181" s="6">
        <v>0</v>
      </c>
      <c r="K181" s="9"/>
    </row>
    <row r="182" spans="1:11">
      <c r="A182" s="1" t="s">
        <v>429</v>
      </c>
      <c r="B182" s="1" t="s">
        <v>147</v>
      </c>
      <c r="C182" s="1" t="s">
        <v>155</v>
      </c>
      <c r="D182" s="9">
        <v>46296</v>
      </c>
      <c r="E182" s="10">
        <v>8480</v>
      </c>
      <c r="F182" s="10">
        <v>5408</v>
      </c>
      <c r="G182" s="10">
        <f>E182-F182</f>
        <v>3072</v>
      </c>
      <c r="H182" s="7">
        <f>IF(E182=0,0,F182/E182)</f>
        <v>0.63773584905660374</v>
      </c>
      <c r="I182" s="8" t="str">
        <f>IF(H182&gt;0.97,"Sold Out",IF(H182&gt;=0.85,"Critical",IF(H182&gt;=0.7,"Constrained","Healthy")))</f>
        <v>Healthy</v>
      </c>
      <c r="J182" s="6">
        <v>0</v>
      </c>
      <c r="K182" s="9"/>
    </row>
    <row r="183" spans="1:11">
      <c r="A183" s="1" t="s">
        <v>429</v>
      </c>
      <c r="B183" s="1" t="s">
        <v>147</v>
      </c>
      <c r="C183" s="1" t="s">
        <v>155</v>
      </c>
      <c r="D183" s="9">
        <v>46327</v>
      </c>
      <c r="E183" s="10">
        <v>8480</v>
      </c>
      <c r="F183" s="10">
        <v>5504</v>
      </c>
      <c r="G183" s="10">
        <f>E183-F183</f>
        <v>2976</v>
      </c>
      <c r="H183" s="7">
        <f>IF(E183=0,0,F183/E183)</f>
        <v>0.64905660377358487</v>
      </c>
      <c r="I183" s="8" t="str">
        <f>IF(H183&gt;0.97,"Sold Out",IF(H183&gt;=0.85,"Critical",IF(H183&gt;=0.7,"Constrained","Healthy")))</f>
        <v>Healthy</v>
      </c>
      <c r="J183" s="6">
        <v>0</v>
      </c>
      <c r="K183" s="9"/>
    </row>
    <row r="184" spans="1:11">
      <c r="A184" s="1" t="s">
        <v>429</v>
      </c>
      <c r="B184" s="1" t="s">
        <v>147</v>
      </c>
      <c r="C184" s="1" t="s">
        <v>155</v>
      </c>
      <c r="D184" s="9">
        <v>46357</v>
      </c>
      <c r="E184" s="10">
        <v>8480</v>
      </c>
      <c r="F184" s="10">
        <v>5600</v>
      </c>
      <c r="G184" s="10">
        <f>E184-F184</f>
        <v>2880</v>
      </c>
      <c r="H184" s="7">
        <f>IF(E184=0,0,F184/E184)</f>
        <v>0.660377358490566</v>
      </c>
      <c r="I184" s="8" t="str">
        <f>IF(H184&gt;0.97,"Sold Out",IF(H184&gt;=0.85,"Critical",IF(H184&gt;=0.7,"Constrained","Healthy")))</f>
        <v>Healthy</v>
      </c>
      <c r="J184" s="6">
        <v>0</v>
      </c>
      <c r="K184" s="9"/>
    </row>
    <row r="185" spans="1:11">
      <c r="A185" s="1" t="s">
        <v>429</v>
      </c>
      <c r="B185" s="1" t="s">
        <v>147</v>
      </c>
      <c r="C185" s="1" t="s">
        <v>155</v>
      </c>
      <c r="D185" s="9">
        <v>46388</v>
      </c>
      <c r="E185" s="10">
        <v>8480</v>
      </c>
      <c r="F185" s="10">
        <v>5696</v>
      </c>
      <c r="G185" s="10">
        <f>E185-F185</f>
        <v>2784</v>
      </c>
      <c r="H185" s="7">
        <f>IF(E185=0,0,F185/E185)</f>
        <v>0.67169811320754713</v>
      </c>
      <c r="I185" s="8" t="str">
        <f>IF(H185&gt;0.97,"Sold Out",IF(H185&gt;=0.85,"Critical",IF(H185&gt;=0.7,"Constrained","Healthy")))</f>
        <v>Healthy</v>
      </c>
      <c r="J185" s="6">
        <v>0</v>
      </c>
      <c r="K185" s="9"/>
    </row>
    <row r="186" spans="1:11">
      <c r="A186" s="1" t="s">
        <v>429</v>
      </c>
      <c r="B186" s="1" t="s">
        <v>147</v>
      </c>
      <c r="C186" s="1" t="s">
        <v>155</v>
      </c>
      <c r="D186" s="9">
        <v>46419</v>
      </c>
      <c r="E186" s="10">
        <v>8480</v>
      </c>
      <c r="F186" s="10">
        <v>5824</v>
      </c>
      <c r="G186" s="10">
        <f>E186-F186</f>
        <v>2656</v>
      </c>
      <c r="H186" s="7">
        <f>IF(E186=0,0,F186/E186)</f>
        <v>0.68679245283018864</v>
      </c>
      <c r="I186" s="8" t="str">
        <f>IF(H186&gt;0.97,"Sold Out",IF(H186&gt;=0.85,"Critical",IF(H186&gt;=0.7,"Constrained","Healthy")))</f>
        <v>Healthy</v>
      </c>
      <c r="J186" s="6">
        <v>0</v>
      </c>
      <c r="K186" s="9"/>
    </row>
    <row r="187" spans="1:11">
      <c r="A187" s="1" t="s">
        <v>429</v>
      </c>
      <c r="B187" s="1" t="s">
        <v>147</v>
      </c>
      <c r="C187" s="1" t="s">
        <v>155</v>
      </c>
      <c r="D187" s="9">
        <v>46447</v>
      </c>
      <c r="E187" s="10">
        <v>8480</v>
      </c>
      <c r="F187" s="10">
        <v>5952</v>
      </c>
      <c r="G187" s="10">
        <f>E187-F187</f>
        <v>2528</v>
      </c>
      <c r="H187" s="7">
        <f>IF(E187=0,0,F187/E187)</f>
        <v>0.70188679245283014</v>
      </c>
      <c r="I187" s="8" t="str">
        <f>IF(H187&gt;0.97,"Sold Out",IF(H187&gt;=0.85,"Critical",IF(H187&gt;=0.7,"Constrained","Healthy")))</f>
        <v>Constrained</v>
      </c>
      <c r="J187" s="6">
        <v>0</v>
      </c>
      <c r="K187" s="9"/>
    </row>
    <row r="188" spans="1:11">
      <c r="A188" s="1" t="s">
        <v>429</v>
      </c>
      <c r="B188" s="1" t="s">
        <v>147</v>
      </c>
      <c r="C188" s="1" t="s">
        <v>155</v>
      </c>
      <c r="D188" s="9">
        <v>46478</v>
      </c>
      <c r="E188" s="10">
        <v>8480</v>
      </c>
      <c r="F188" s="10">
        <v>6080</v>
      </c>
      <c r="G188" s="10">
        <f>E188-F188</f>
        <v>2400</v>
      </c>
      <c r="H188" s="7">
        <f>IF(E188=0,0,F188/E188)</f>
        <v>0.71698113207547165</v>
      </c>
      <c r="I188" s="8" t="str">
        <f>IF(H188&gt;0.97,"Sold Out",IF(H188&gt;=0.85,"Critical",IF(H188&gt;=0.7,"Constrained","Healthy")))</f>
        <v>Constrained</v>
      </c>
      <c r="J188" s="6">
        <v>0</v>
      </c>
      <c r="K188" s="9"/>
    </row>
    <row r="189" spans="1:11">
      <c r="A189" s="1" t="s">
        <v>429</v>
      </c>
      <c r="B189" s="1" t="s">
        <v>147</v>
      </c>
      <c r="C189" s="1" t="s">
        <v>155</v>
      </c>
      <c r="D189" s="9">
        <v>46508</v>
      </c>
      <c r="E189" s="10">
        <v>8480</v>
      </c>
      <c r="F189" s="10">
        <v>6208</v>
      </c>
      <c r="G189" s="10">
        <f>E189-F189</f>
        <v>2272</v>
      </c>
      <c r="H189" s="7">
        <f>IF(E189=0,0,F189/E189)</f>
        <v>0.73207547169811316</v>
      </c>
      <c r="I189" s="8" t="str">
        <f>IF(H189&gt;0.97,"Sold Out",IF(H189&gt;=0.85,"Critical",IF(H189&gt;=0.7,"Constrained","Healthy")))</f>
        <v>Constrained</v>
      </c>
      <c r="J189" s="6">
        <v>0</v>
      </c>
      <c r="K189" s="9"/>
    </row>
    <row r="190" spans="1:11">
      <c r="A190" s="1" t="s">
        <v>429</v>
      </c>
      <c r="B190" s="1" t="s">
        <v>147</v>
      </c>
      <c r="C190" s="1" t="s">
        <v>155</v>
      </c>
      <c r="D190" s="9">
        <v>46539</v>
      </c>
      <c r="E190" s="10">
        <v>8480</v>
      </c>
      <c r="F190" s="10">
        <v>6336</v>
      </c>
      <c r="G190" s="10">
        <f>E190-F190</f>
        <v>2144</v>
      </c>
      <c r="H190" s="7">
        <f>IF(E190=0,0,F190/E190)</f>
        <v>0.74716981132075466</v>
      </c>
      <c r="I190" s="8" t="str">
        <f>IF(H190&gt;0.97,"Sold Out",IF(H190&gt;=0.85,"Critical",IF(H190&gt;=0.7,"Constrained","Healthy")))</f>
        <v>Constrained</v>
      </c>
      <c r="J190" s="6">
        <v>0</v>
      </c>
      <c r="K190" s="9"/>
    </row>
    <row r="191" spans="1:11">
      <c r="A191" s="1" t="s">
        <v>429</v>
      </c>
      <c r="B191" s="1" t="s">
        <v>147</v>
      </c>
      <c r="C191" s="1" t="s">
        <v>155</v>
      </c>
      <c r="D191" s="9">
        <v>46569</v>
      </c>
      <c r="E191" s="10">
        <v>8480</v>
      </c>
      <c r="F191" s="10">
        <v>6464</v>
      </c>
      <c r="G191" s="10">
        <f>E191-F191</f>
        <v>2016</v>
      </c>
      <c r="H191" s="7">
        <f>IF(E191=0,0,F191/E191)</f>
        <v>0.76226415094339628</v>
      </c>
      <c r="I191" s="8" t="str">
        <f>IF(H191&gt;0.97,"Sold Out",IF(H191&gt;=0.85,"Critical",IF(H191&gt;=0.7,"Constrained","Healthy")))</f>
        <v>Constrained</v>
      </c>
      <c r="J191" s="6">
        <v>0</v>
      </c>
      <c r="K191" s="9"/>
    </row>
    <row r="192" spans="1:11">
      <c r="A192" s="1" t="s">
        <v>429</v>
      </c>
      <c r="B192" s="1" t="s">
        <v>147</v>
      </c>
      <c r="C192" s="1" t="s">
        <v>155</v>
      </c>
      <c r="D192" s="9">
        <v>46600</v>
      </c>
      <c r="E192" s="10">
        <v>8480</v>
      </c>
      <c r="F192" s="10">
        <v>6592</v>
      </c>
      <c r="G192" s="10">
        <f>E192-F192</f>
        <v>1888</v>
      </c>
      <c r="H192" s="7">
        <f>IF(E192=0,0,F192/E192)</f>
        <v>0.77735849056603779</v>
      </c>
      <c r="I192" s="8" t="str">
        <f>IF(H192&gt;0.97,"Sold Out",IF(H192&gt;=0.85,"Critical",IF(H192&gt;=0.7,"Constrained","Healthy")))</f>
        <v>Constrained</v>
      </c>
      <c r="J192" s="6">
        <v>0</v>
      </c>
      <c r="K192" s="9"/>
    </row>
    <row r="193" spans="1:11">
      <c r="A193" s="1" t="s">
        <v>429</v>
      </c>
      <c r="B193" s="1" t="s">
        <v>147</v>
      </c>
      <c r="C193" s="1" t="s">
        <v>155</v>
      </c>
      <c r="D193" s="9">
        <v>46631</v>
      </c>
      <c r="E193" s="10">
        <v>8480</v>
      </c>
      <c r="F193" s="10">
        <v>6720</v>
      </c>
      <c r="G193" s="10">
        <f>E193-F193</f>
        <v>1760</v>
      </c>
      <c r="H193" s="7">
        <f>IF(E193=0,0,F193/E193)</f>
        <v>0.79245283018867929</v>
      </c>
      <c r="I193" s="8" t="str">
        <f>IF(H193&gt;0.97,"Sold Out",IF(H193&gt;=0.85,"Critical",IF(H193&gt;=0.7,"Constrained","Healthy")))</f>
        <v>Constrained</v>
      </c>
      <c r="J193" s="6">
        <v>0</v>
      </c>
      <c r="K193" s="9"/>
    </row>
    <row r="194" spans="1:11">
      <c r="A194" s="1" t="s">
        <v>451</v>
      </c>
      <c r="B194" s="1" t="s">
        <v>147</v>
      </c>
      <c r="C194" s="1" t="s">
        <v>152</v>
      </c>
      <c r="D194" s="9">
        <v>46296</v>
      </c>
      <c r="E194" s="10">
        <v>2592</v>
      </c>
      <c r="F194" s="10">
        <v>1312</v>
      </c>
      <c r="G194" s="10">
        <f>E194-F194</f>
        <v>1280</v>
      </c>
      <c r="H194" s="7">
        <f>IF(E194=0,0,F194/E194)</f>
        <v>0.50617283950617287</v>
      </c>
      <c r="I194" s="8" t="str">
        <f>IF(H194&gt;0.97,"Sold Out",IF(H194&gt;=0.85,"Critical",IF(H194&gt;=0.7,"Constrained","Healthy")))</f>
        <v>Healthy</v>
      </c>
      <c r="J194" s="6">
        <v>0</v>
      </c>
      <c r="K194" s="9"/>
    </row>
    <row r="195" spans="1:11">
      <c r="A195" s="1" t="s">
        <v>451</v>
      </c>
      <c r="B195" s="1" t="s">
        <v>147</v>
      </c>
      <c r="C195" s="1" t="s">
        <v>152</v>
      </c>
      <c r="D195" s="9">
        <v>46327</v>
      </c>
      <c r="E195" s="10">
        <v>2592</v>
      </c>
      <c r="F195" s="10">
        <v>1344</v>
      </c>
      <c r="G195" s="10">
        <f>E195-F195</f>
        <v>1248</v>
      </c>
      <c r="H195" s="7">
        <f>IF(E195=0,0,F195/E195)</f>
        <v>0.51851851851851849</v>
      </c>
      <c r="I195" s="8" t="str">
        <f>IF(H195&gt;0.97,"Sold Out",IF(H195&gt;=0.85,"Critical",IF(H195&gt;=0.7,"Constrained","Healthy")))</f>
        <v>Healthy</v>
      </c>
      <c r="J195" s="6">
        <v>0</v>
      </c>
      <c r="K195" s="9"/>
    </row>
    <row r="196" spans="1:11">
      <c r="A196" s="1" t="s">
        <v>451</v>
      </c>
      <c r="B196" s="1" t="s">
        <v>147</v>
      </c>
      <c r="C196" s="1" t="s">
        <v>152</v>
      </c>
      <c r="D196" s="9">
        <v>46357</v>
      </c>
      <c r="E196" s="10">
        <v>2592</v>
      </c>
      <c r="F196" s="10">
        <v>1376</v>
      </c>
      <c r="G196" s="10">
        <f>E196-F196</f>
        <v>1216</v>
      </c>
      <c r="H196" s="7">
        <f>IF(E196=0,0,F196/E196)</f>
        <v>0.53086419753086422</v>
      </c>
      <c r="I196" s="8" t="str">
        <f>IF(H196&gt;0.97,"Sold Out",IF(H196&gt;=0.85,"Critical",IF(H196&gt;=0.7,"Constrained","Healthy")))</f>
        <v>Healthy</v>
      </c>
      <c r="J196" s="6">
        <v>0</v>
      </c>
      <c r="K196" s="9"/>
    </row>
    <row r="197" spans="1:11">
      <c r="A197" s="1" t="s">
        <v>451</v>
      </c>
      <c r="B197" s="1" t="s">
        <v>147</v>
      </c>
      <c r="C197" s="1" t="s">
        <v>152</v>
      </c>
      <c r="D197" s="9">
        <v>46388</v>
      </c>
      <c r="E197" s="10">
        <v>2592</v>
      </c>
      <c r="F197" s="10">
        <v>1408</v>
      </c>
      <c r="G197" s="10">
        <f>E197-F197</f>
        <v>1184</v>
      </c>
      <c r="H197" s="7">
        <f>IF(E197=0,0,F197/E197)</f>
        <v>0.54320987654320985</v>
      </c>
      <c r="I197" s="8" t="str">
        <f>IF(H197&gt;0.97,"Sold Out",IF(H197&gt;=0.85,"Critical",IF(H197&gt;=0.7,"Constrained","Healthy")))</f>
        <v>Healthy</v>
      </c>
      <c r="J197" s="6">
        <v>0</v>
      </c>
      <c r="K197" s="9"/>
    </row>
    <row r="198" spans="1:11">
      <c r="A198" s="1" t="s">
        <v>451</v>
      </c>
      <c r="B198" s="1" t="s">
        <v>147</v>
      </c>
      <c r="C198" s="1" t="s">
        <v>152</v>
      </c>
      <c r="D198" s="9">
        <v>46419</v>
      </c>
      <c r="E198" s="10">
        <v>2592</v>
      </c>
      <c r="F198" s="10">
        <v>1440</v>
      </c>
      <c r="G198" s="10">
        <f>E198-F198</f>
        <v>1152</v>
      </c>
      <c r="H198" s="7">
        <f>IF(E198=0,0,F198/E198)</f>
        <v>0.55555555555555558</v>
      </c>
      <c r="I198" s="8" t="str">
        <f>IF(H198&gt;0.97,"Sold Out",IF(H198&gt;=0.85,"Critical",IF(H198&gt;=0.7,"Constrained","Healthy")))</f>
        <v>Healthy</v>
      </c>
      <c r="J198" s="6">
        <v>0</v>
      </c>
      <c r="K198" s="9"/>
    </row>
    <row r="199" spans="1:11">
      <c r="A199" s="1" t="s">
        <v>451</v>
      </c>
      <c r="B199" s="1" t="s">
        <v>147</v>
      </c>
      <c r="C199" s="1" t="s">
        <v>152</v>
      </c>
      <c r="D199" s="9">
        <v>46447</v>
      </c>
      <c r="E199" s="10">
        <v>2592</v>
      </c>
      <c r="F199" s="10">
        <v>1472</v>
      </c>
      <c r="G199" s="10">
        <f>E199-F199</f>
        <v>1120</v>
      </c>
      <c r="H199" s="7">
        <f>IF(E199=0,0,F199/E199)</f>
        <v>0.5679012345679012</v>
      </c>
      <c r="I199" s="8" t="str">
        <f>IF(H199&gt;0.97,"Sold Out",IF(H199&gt;=0.85,"Critical",IF(H199&gt;=0.7,"Constrained","Healthy")))</f>
        <v>Healthy</v>
      </c>
      <c r="J199" s="6">
        <v>0</v>
      </c>
      <c r="K199" s="9"/>
    </row>
    <row r="200" spans="1:11">
      <c r="A200" s="1" t="s">
        <v>451</v>
      </c>
      <c r="B200" s="1" t="s">
        <v>147</v>
      </c>
      <c r="C200" s="1" t="s">
        <v>152</v>
      </c>
      <c r="D200" s="9">
        <v>46478</v>
      </c>
      <c r="E200" s="10">
        <v>2592</v>
      </c>
      <c r="F200" s="10">
        <v>1504</v>
      </c>
      <c r="G200" s="10">
        <f>E200-F200</f>
        <v>1088</v>
      </c>
      <c r="H200" s="7">
        <f>IF(E200=0,0,F200/E200)</f>
        <v>0.58024691358024694</v>
      </c>
      <c r="I200" s="8" t="str">
        <f>IF(H200&gt;0.97,"Sold Out",IF(H200&gt;=0.85,"Critical",IF(H200&gt;=0.7,"Constrained","Healthy")))</f>
        <v>Healthy</v>
      </c>
      <c r="J200" s="6">
        <v>0</v>
      </c>
      <c r="K200" s="9"/>
    </row>
    <row r="201" spans="1:11">
      <c r="A201" s="1" t="s">
        <v>451</v>
      </c>
      <c r="B201" s="1" t="s">
        <v>147</v>
      </c>
      <c r="C201" s="1" t="s">
        <v>152</v>
      </c>
      <c r="D201" s="9">
        <v>46508</v>
      </c>
      <c r="E201" s="10">
        <v>2592</v>
      </c>
      <c r="F201" s="10">
        <v>1536</v>
      </c>
      <c r="G201" s="10">
        <f>E201-F201</f>
        <v>1056</v>
      </c>
      <c r="H201" s="7">
        <f>IF(E201=0,0,F201/E201)</f>
        <v>0.59259259259259256</v>
      </c>
      <c r="I201" s="8" t="str">
        <f>IF(H201&gt;0.97,"Sold Out",IF(H201&gt;=0.85,"Critical",IF(H201&gt;=0.7,"Constrained","Healthy")))</f>
        <v>Healthy</v>
      </c>
      <c r="J201" s="6">
        <v>0</v>
      </c>
      <c r="K201" s="9"/>
    </row>
    <row r="202" spans="1:11">
      <c r="A202" s="1" t="s">
        <v>451</v>
      </c>
      <c r="B202" s="1" t="s">
        <v>147</v>
      </c>
      <c r="C202" s="1" t="s">
        <v>152</v>
      </c>
      <c r="D202" s="9">
        <v>46539</v>
      </c>
      <c r="E202" s="10">
        <v>2592</v>
      </c>
      <c r="F202" s="10">
        <v>1568</v>
      </c>
      <c r="G202" s="10">
        <f>E202-F202</f>
        <v>1024</v>
      </c>
      <c r="H202" s="7">
        <f>IF(E202=0,0,F202/E202)</f>
        <v>0.60493827160493829</v>
      </c>
      <c r="I202" s="8" t="str">
        <f>IF(H202&gt;0.97,"Sold Out",IF(H202&gt;=0.85,"Critical",IF(H202&gt;=0.7,"Constrained","Healthy")))</f>
        <v>Healthy</v>
      </c>
      <c r="J202" s="6">
        <v>0</v>
      </c>
      <c r="K202" s="9"/>
    </row>
    <row r="203" spans="1:11">
      <c r="A203" s="1" t="s">
        <v>451</v>
      </c>
      <c r="B203" s="1" t="s">
        <v>147</v>
      </c>
      <c r="C203" s="1" t="s">
        <v>152</v>
      </c>
      <c r="D203" s="9">
        <v>46569</v>
      </c>
      <c r="E203" s="10">
        <v>2592</v>
      </c>
      <c r="F203" s="10">
        <v>1600</v>
      </c>
      <c r="G203" s="10">
        <f>E203-F203</f>
        <v>992</v>
      </c>
      <c r="H203" s="7">
        <f>IF(E203=0,0,F203/E203)</f>
        <v>0.61728395061728392</v>
      </c>
      <c r="I203" s="8" t="str">
        <f>IF(H203&gt;0.97,"Sold Out",IF(H203&gt;=0.85,"Critical",IF(H203&gt;=0.7,"Constrained","Healthy")))</f>
        <v>Healthy</v>
      </c>
      <c r="J203" s="6">
        <v>0</v>
      </c>
      <c r="K203" s="9"/>
    </row>
    <row r="204" spans="1:11">
      <c r="A204" s="1" t="s">
        <v>451</v>
      </c>
      <c r="B204" s="1" t="s">
        <v>147</v>
      </c>
      <c r="C204" s="1" t="s">
        <v>152</v>
      </c>
      <c r="D204" s="9">
        <v>46600</v>
      </c>
      <c r="E204" s="10">
        <v>2592</v>
      </c>
      <c r="F204" s="10">
        <v>1632</v>
      </c>
      <c r="G204" s="10">
        <f>E204-F204</f>
        <v>960</v>
      </c>
      <c r="H204" s="7">
        <f>IF(E204=0,0,F204/E204)</f>
        <v>0.62962962962962965</v>
      </c>
      <c r="I204" s="8" t="str">
        <f>IF(H204&gt;0.97,"Sold Out",IF(H204&gt;=0.85,"Critical",IF(H204&gt;=0.7,"Constrained","Healthy")))</f>
        <v>Healthy</v>
      </c>
      <c r="J204" s="6">
        <v>0</v>
      </c>
      <c r="K204" s="9"/>
    </row>
    <row r="205" spans="1:11">
      <c r="A205" s="1" t="s">
        <v>451</v>
      </c>
      <c r="B205" s="1" t="s">
        <v>147</v>
      </c>
      <c r="C205" s="1" t="s">
        <v>152</v>
      </c>
      <c r="D205" s="9">
        <v>46631</v>
      </c>
      <c r="E205" s="10">
        <v>2592</v>
      </c>
      <c r="F205" s="10">
        <v>1664</v>
      </c>
      <c r="G205" s="10">
        <f>E205-F205</f>
        <v>928</v>
      </c>
      <c r="H205" s="7">
        <f>IF(E205=0,0,F205/E205)</f>
        <v>0.64197530864197527</v>
      </c>
      <c r="I205" s="8" t="str">
        <f>IF(H205&gt;0.97,"Sold Out",IF(H205&gt;=0.85,"Critical",IF(H205&gt;=0.7,"Constrained","Healthy")))</f>
        <v>Healthy</v>
      </c>
      <c r="J205" s="6">
        <v>0</v>
      </c>
      <c r="K205" s="9"/>
    </row>
    <row r="206" spans="1:11">
      <c r="A206" s="1" t="s">
        <v>451</v>
      </c>
      <c r="B206" s="1" t="s">
        <v>147</v>
      </c>
      <c r="C206" s="1" t="s">
        <v>155</v>
      </c>
      <c r="D206" s="9">
        <v>46296</v>
      </c>
      <c r="E206" s="10">
        <v>3296</v>
      </c>
      <c r="F206" s="10">
        <v>1632</v>
      </c>
      <c r="G206" s="10">
        <f>E206-F206</f>
        <v>1664</v>
      </c>
      <c r="H206" s="7">
        <f>IF(E206=0,0,F206/E206)</f>
        <v>0.49514563106796117</v>
      </c>
      <c r="I206" s="8" t="str">
        <f>IF(H206&gt;0.97,"Sold Out",IF(H206&gt;=0.85,"Critical",IF(H206&gt;=0.7,"Constrained","Healthy")))</f>
        <v>Healthy</v>
      </c>
      <c r="J206" s="6">
        <v>0</v>
      </c>
      <c r="K206" s="9"/>
    </row>
    <row r="207" spans="1:11">
      <c r="A207" s="1" t="s">
        <v>451</v>
      </c>
      <c r="B207" s="1" t="s">
        <v>147</v>
      </c>
      <c r="C207" s="1" t="s">
        <v>155</v>
      </c>
      <c r="D207" s="9">
        <v>46327</v>
      </c>
      <c r="E207" s="10">
        <v>3296</v>
      </c>
      <c r="F207" s="10">
        <v>1664</v>
      </c>
      <c r="G207" s="10">
        <f>E207-F207</f>
        <v>1632</v>
      </c>
      <c r="H207" s="7">
        <f>IF(E207=0,0,F207/E207)</f>
        <v>0.50485436893203883</v>
      </c>
      <c r="I207" s="8" t="str">
        <f>IF(H207&gt;0.97,"Sold Out",IF(H207&gt;=0.85,"Critical",IF(H207&gt;=0.7,"Constrained","Healthy")))</f>
        <v>Healthy</v>
      </c>
      <c r="J207" s="6">
        <v>0</v>
      </c>
      <c r="K207" s="9"/>
    </row>
    <row r="208" spans="1:11">
      <c r="A208" s="1" t="s">
        <v>451</v>
      </c>
      <c r="B208" s="1" t="s">
        <v>147</v>
      </c>
      <c r="C208" s="1" t="s">
        <v>155</v>
      </c>
      <c r="D208" s="9">
        <v>46357</v>
      </c>
      <c r="E208" s="10">
        <v>3296</v>
      </c>
      <c r="F208" s="10">
        <v>1696</v>
      </c>
      <c r="G208" s="10">
        <f>E208-F208</f>
        <v>1600</v>
      </c>
      <c r="H208" s="7">
        <f>IF(E208=0,0,F208/E208)</f>
        <v>0.5145631067961165</v>
      </c>
      <c r="I208" s="8" t="str">
        <f>IF(H208&gt;0.97,"Sold Out",IF(H208&gt;=0.85,"Critical",IF(H208&gt;=0.7,"Constrained","Healthy")))</f>
        <v>Healthy</v>
      </c>
      <c r="J208" s="6">
        <v>0</v>
      </c>
      <c r="K208" s="9"/>
    </row>
    <row r="209" spans="1:11">
      <c r="A209" s="1" t="s">
        <v>451</v>
      </c>
      <c r="B209" s="1" t="s">
        <v>147</v>
      </c>
      <c r="C209" s="1" t="s">
        <v>155</v>
      </c>
      <c r="D209" s="9">
        <v>46388</v>
      </c>
      <c r="E209" s="10">
        <v>3296</v>
      </c>
      <c r="F209" s="10">
        <v>1728</v>
      </c>
      <c r="G209" s="10">
        <f>E209-F209</f>
        <v>1568</v>
      </c>
      <c r="H209" s="7">
        <f>IF(E209=0,0,F209/E209)</f>
        <v>0.52427184466019416</v>
      </c>
      <c r="I209" s="8" t="str">
        <f>IF(H209&gt;0.97,"Sold Out",IF(H209&gt;=0.85,"Critical",IF(H209&gt;=0.7,"Constrained","Healthy")))</f>
        <v>Healthy</v>
      </c>
      <c r="J209" s="6">
        <v>0</v>
      </c>
      <c r="K209" s="9"/>
    </row>
    <row r="210" spans="1:11">
      <c r="A210" s="1" t="s">
        <v>451</v>
      </c>
      <c r="B210" s="1" t="s">
        <v>147</v>
      </c>
      <c r="C210" s="1" t="s">
        <v>155</v>
      </c>
      <c r="D210" s="9">
        <v>46419</v>
      </c>
      <c r="E210" s="10">
        <v>3296</v>
      </c>
      <c r="F210" s="10">
        <v>1760</v>
      </c>
      <c r="G210" s="10">
        <f>E210-F210</f>
        <v>1536</v>
      </c>
      <c r="H210" s="7">
        <f>IF(E210=0,0,F210/E210)</f>
        <v>0.53398058252427183</v>
      </c>
      <c r="I210" s="8" t="str">
        <f>IF(H210&gt;0.97,"Sold Out",IF(H210&gt;=0.85,"Critical",IF(H210&gt;=0.7,"Constrained","Healthy")))</f>
        <v>Healthy</v>
      </c>
      <c r="J210" s="6">
        <v>0</v>
      </c>
      <c r="K210" s="9"/>
    </row>
    <row r="211" spans="1:11">
      <c r="A211" s="1" t="s">
        <v>451</v>
      </c>
      <c r="B211" s="1" t="s">
        <v>147</v>
      </c>
      <c r="C211" s="1" t="s">
        <v>155</v>
      </c>
      <c r="D211" s="9">
        <v>46447</v>
      </c>
      <c r="E211" s="10">
        <v>3296</v>
      </c>
      <c r="F211" s="10">
        <v>1792</v>
      </c>
      <c r="G211" s="10">
        <f>E211-F211</f>
        <v>1504</v>
      </c>
      <c r="H211" s="7">
        <f>IF(E211=0,0,F211/E211)</f>
        <v>0.5436893203883495</v>
      </c>
      <c r="I211" s="8" t="str">
        <f>IF(H211&gt;0.97,"Sold Out",IF(H211&gt;=0.85,"Critical",IF(H211&gt;=0.7,"Constrained","Healthy")))</f>
        <v>Healthy</v>
      </c>
      <c r="J211" s="6">
        <v>0</v>
      </c>
      <c r="K211" s="9"/>
    </row>
    <row r="212" spans="1:11">
      <c r="A212" s="1" t="s">
        <v>451</v>
      </c>
      <c r="B212" s="1" t="s">
        <v>147</v>
      </c>
      <c r="C212" s="1" t="s">
        <v>155</v>
      </c>
      <c r="D212" s="9">
        <v>46478</v>
      </c>
      <c r="E212" s="10">
        <v>3296</v>
      </c>
      <c r="F212" s="10">
        <v>1824</v>
      </c>
      <c r="G212" s="10">
        <f>E212-F212</f>
        <v>1472</v>
      </c>
      <c r="H212" s="7">
        <f>IF(E212=0,0,F212/E212)</f>
        <v>0.55339805825242716</v>
      </c>
      <c r="I212" s="8" t="str">
        <f>IF(H212&gt;0.97,"Sold Out",IF(H212&gt;=0.85,"Critical",IF(H212&gt;=0.7,"Constrained","Healthy")))</f>
        <v>Healthy</v>
      </c>
      <c r="J212" s="6">
        <v>0</v>
      </c>
      <c r="K212" s="9"/>
    </row>
    <row r="213" spans="1:11">
      <c r="A213" s="1" t="s">
        <v>451</v>
      </c>
      <c r="B213" s="1" t="s">
        <v>147</v>
      </c>
      <c r="C213" s="1" t="s">
        <v>155</v>
      </c>
      <c r="D213" s="9">
        <v>46508</v>
      </c>
      <c r="E213" s="10">
        <v>3296</v>
      </c>
      <c r="F213" s="10">
        <v>1856</v>
      </c>
      <c r="G213" s="10">
        <f>E213-F213</f>
        <v>1440</v>
      </c>
      <c r="H213" s="7">
        <f>IF(E213=0,0,F213/E213)</f>
        <v>0.56310679611650483</v>
      </c>
      <c r="I213" s="8" t="str">
        <f>IF(H213&gt;0.97,"Sold Out",IF(H213&gt;=0.85,"Critical",IF(H213&gt;=0.7,"Constrained","Healthy")))</f>
        <v>Healthy</v>
      </c>
      <c r="J213" s="6">
        <v>0</v>
      </c>
      <c r="K213" s="9"/>
    </row>
    <row r="214" spans="1:11">
      <c r="A214" s="1" t="s">
        <v>451</v>
      </c>
      <c r="B214" s="1" t="s">
        <v>147</v>
      </c>
      <c r="C214" s="1" t="s">
        <v>155</v>
      </c>
      <c r="D214" s="9">
        <v>46539</v>
      </c>
      <c r="E214" s="10">
        <v>3296</v>
      </c>
      <c r="F214" s="10">
        <v>1888</v>
      </c>
      <c r="G214" s="10">
        <f>E214-F214</f>
        <v>1408</v>
      </c>
      <c r="H214" s="7">
        <f>IF(E214=0,0,F214/E214)</f>
        <v>0.57281553398058249</v>
      </c>
      <c r="I214" s="8" t="str">
        <f>IF(H214&gt;0.97,"Sold Out",IF(H214&gt;=0.85,"Critical",IF(H214&gt;=0.7,"Constrained","Healthy")))</f>
        <v>Healthy</v>
      </c>
      <c r="J214" s="6">
        <v>0</v>
      </c>
      <c r="K214" s="9"/>
    </row>
    <row r="215" spans="1:11">
      <c r="A215" s="1" t="s">
        <v>451</v>
      </c>
      <c r="B215" s="1" t="s">
        <v>147</v>
      </c>
      <c r="C215" s="1" t="s">
        <v>155</v>
      </c>
      <c r="D215" s="9">
        <v>46569</v>
      </c>
      <c r="E215" s="10">
        <v>3296</v>
      </c>
      <c r="F215" s="10">
        <v>1920</v>
      </c>
      <c r="G215" s="10">
        <f>E215-F215</f>
        <v>1376</v>
      </c>
      <c r="H215" s="7">
        <f>IF(E215=0,0,F215/E215)</f>
        <v>0.58252427184466016</v>
      </c>
      <c r="I215" s="8" t="str">
        <f>IF(H215&gt;0.97,"Sold Out",IF(H215&gt;=0.85,"Critical",IF(H215&gt;=0.7,"Constrained","Healthy")))</f>
        <v>Healthy</v>
      </c>
      <c r="J215" s="6">
        <v>0</v>
      </c>
      <c r="K215" s="9"/>
    </row>
    <row r="216" spans="1:11">
      <c r="A216" s="1" t="s">
        <v>451</v>
      </c>
      <c r="B216" s="1" t="s">
        <v>147</v>
      </c>
      <c r="C216" s="1" t="s">
        <v>155</v>
      </c>
      <c r="D216" s="9">
        <v>46600</v>
      </c>
      <c r="E216" s="10">
        <v>3296</v>
      </c>
      <c r="F216" s="10">
        <v>1952</v>
      </c>
      <c r="G216" s="10">
        <f>E216-F216</f>
        <v>1344</v>
      </c>
      <c r="H216" s="7">
        <f>IF(E216=0,0,F216/E216)</f>
        <v>0.59223300970873782</v>
      </c>
      <c r="I216" s="8" t="str">
        <f>IF(H216&gt;0.97,"Sold Out",IF(H216&gt;=0.85,"Critical",IF(H216&gt;=0.7,"Constrained","Healthy")))</f>
        <v>Healthy</v>
      </c>
      <c r="J216" s="6">
        <v>0</v>
      </c>
      <c r="K216" s="9"/>
    </row>
    <row r="217" spans="1:11">
      <c r="A217" s="1" t="s">
        <v>451</v>
      </c>
      <c r="B217" s="1" t="s">
        <v>147</v>
      </c>
      <c r="C217" s="1" t="s">
        <v>155</v>
      </c>
      <c r="D217" s="9">
        <v>46631</v>
      </c>
      <c r="E217" s="10">
        <v>3296</v>
      </c>
      <c r="F217" s="10">
        <v>1984</v>
      </c>
      <c r="G217" s="10">
        <f>E217-F217</f>
        <v>1312</v>
      </c>
      <c r="H217" s="7">
        <f>IF(E217=0,0,F217/E217)</f>
        <v>0.60194174757281549</v>
      </c>
      <c r="I217" s="8" t="str">
        <f>IF(H217&gt;0.97,"Sold Out",IF(H217&gt;=0.85,"Critical",IF(H217&gt;=0.7,"Constrained","Healthy")))</f>
        <v>Healthy</v>
      </c>
      <c r="J217" s="6">
        <v>0</v>
      </c>
      <c r="K217" s="9"/>
    </row>
    <row r="218" spans="1:11">
      <c r="A218" s="1" t="s">
        <v>476</v>
      </c>
      <c r="B218" s="1" t="s">
        <v>147</v>
      </c>
      <c r="C218" s="1" t="s">
        <v>152</v>
      </c>
      <c r="D218" s="9">
        <v>46296</v>
      </c>
      <c r="E218" s="10">
        <v>3472</v>
      </c>
      <c r="F218" s="10">
        <v>2032</v>
      </c>
      <c r="G218" s="10">
        <f>E218-F218</f>
        <v>1440</v>
      </c>
      <c r="H218" s="7">
        <f>IF(E218=0,0,F218/E218)</f>
        <v>0.58525345622119818</v>
      </c>
      <c r="I218" s="8" t="str">
        <f>IF(H218&gt;0.97,"Sold Out",IF(H218&gt;=0.85,"Critical",IF(H218&gt;=0.7,"Constrained","Healthy")))</f>
        <v>Healthy</v>
      </c>
      <c r="J218" s="6">
        <v>0</v>
      </c>
      <c r="K218" s="9"/>
    </row>
    <row r="219" spans="1:11">
      <c r="A219" s="1" t="s">
        <v>476</v>
      </c>
      <c r="B219" s="1" t="s">
        <v>147</v>
      </c>
      <c r="C219" s="1" t="s">
        <v>152</v>
      </c>
      <c r="D219" s="9">
        <v>46327</v>
      </c>
      <c r="E219" s="10">
        <v>3472</v>
      </c>
      <c r="F219" s="10">
        <v>2096</v>
      </c>
      <c r="G219" s="10">
        <f>E219-F219</f>
        <v>1376</v>
      </c>
      <c r="H219" s="7">
        <f>IF(E219=0,0,F219/E219)</f>
        <v>0.60368663594470051</v>
      </c>
      <c r="I219" s="8" t="str">
        <f>IF(H219&gt;0.97,"Sold Out",IF(H219&gt;=0.85,"Critical",IF(H219&gt;=0.7,"Constrained","Healthy")))</f>
        <v>Healthy</v>
      </c>
      <c r="J219" s="6">
        <v>0</v>
      </c>
      <c r="K219" s="9"/>
    </row>
    <row r="220" spans="1:11">
      <c r="A220" s="1" t="s">
        <v>476</v>
      </c>
      <c r="B220" s="1" t="s">
        <v>147</v>
      </c>
      <c r="C220" s="1" t="s">
        <v>152</v>
      </c>
      <c r="D220" s="9">
        <v>46357</v>
      </c>
      <c r="E220" s="10">
        <v>3472</v>
      </c>
      <c r="F220" s="10">
        <v>2160</v>
      </c>
      <c r="G220" s="10">
        <f>E220-F220</f>
        <v>1312</v>
      </c>
      <c r="H220" s="7">
        <f>IF(E220=0,0,F220/E220)</f>
        <v>0.62211981566820274</v>
      </c>
      <c r="I220" s="8" t="str">
        <f>IF(H220&gt;0.97,"Sold Out",IF(H220&gt;=0.85,"Critical",IF(H220&gt;=0.7,"Constrained","Healthy")))</f>
        <v>Healthy</v>
      </c>
      <c r="J220" s="6">
        <v>0</v>
      </c>
      <c r="K220" s="9"/>
    </row>
    <row r="221" spans="1:11">
      <c r="A221" s="1" t="s">
        <v>476</v>
      </c>
      <c r="B221" s="1" t="s">
        <v>147</v>
      </c>
      <c r="C221" s="1" t="s">
        <v>152</v>
      </c>
      <c r="D221" s="9">
        <v>46388</v>
      </c>
      <c r="E221" s="10">
        <v>3472</v>
      </c>
      <c r="F221" s="10">
        <v>2224</v>
      </c>
      <c r="G221" s="10">
        <f>E221-F221</f>
        <v>1248</v>
      </c>
      <c r="H221" s="7">
        <f>IF(E221=0,0,F221/E221)</f>
        <v>0.64055299539170507</v>
      </c>
      <c r="I221" s="8" t="str">
        <f>IF(H221&gt;0.97,"Sold Out",IF(H221&gt;=0.85,"Critical",IF(H221&gt;=0.7,"Constrained","Healthy")))</f>
        <v>Healthy</v>
      </c>
      <c r="J221" s="6">
        <v>0</v>
      </c>
      <c r="K221" s="9"/>
    </row>
    <row r="222" spans="1:11">
      <c r="A222" s="1" t="s">
        <v>476</v>
      </c>
      <c r="B222" s="1" t="s">
        <v>147</v>
      </c>
      <c r="C222" s="1" t="s">
        <v>152</v>
      </c>
      <c r="D222" s="9">
        <v>46419</v>
      </c>
      <c r="E222" s="10">
        <v>3472</v>
      </c>
      <c r="F222" s="10">
        <v>2288</v>
      </c>
      <c r="G222" s="10">
        <f>E222-F222</f>
        <v>1184</v>
      </c>
      <c r="H222" s="7">
        <f>IF(E222=0,0,F222/E222)</f>
        <v>0.65898617511520741</v>
      </c>
      <c r="I222" s="8" t="str">
        <f>IF(H222&gt;0.97,"Sold Out",IF(H222&gt;=0.85,"Critical",IF(H222&gt;=0.7,"Constrained","Healthy")))</f>
        <v>Healthy</v>
      </c>
      <c r="J222" s="6">
        <v>0</v>
      </c>
      <c r="K222" s="9"/>
    </row>
    <row r="223" spans="1:11">
      <c r="A223" s="1" t="s">
        <v>476</v>
      </c>
      <c r="B223" s="1" t="s">
        <v>147</v>
      </c>
      <c r="C223" s="1" t="s">
        <v>152</v>
      </c>
      <c r="D223" s="9">
        <v>46447</v>
      </c>
      <c r="E223" s="10">
        <v>3472</v>
      </c>
      <c r="F223" s="10">
        <v>2368</v>
      </c>
      <c r="G223" s="10">
        <f>E223-F223</f>
        <v>1104</v>
      </c>
      <c r="H223" s="7">
        <f>IF(E223=0,0,F223/E223)</f>
        <v>0.6820276497695853</v>
      </c>
      <c r="I223" s="8" t="str">
        <f>IF(H223&gt;0.97,"Sold Out",IF(H223&gt;=0.85,"Critical",IF(H223&gt;=0.7,"Constrained","Healthy")))</f>
        <v>Healthy</v>
      </c>
      <c r="J223" s="6">
        <v>0</v>
      </c>
      <c r="K223" s="9"/>
    </row>
    <row r="224" spans="1:11">
      <c r="A224" s="1" t="s">
        <v>476</v>
      </c>
      <c r="B224" s="1" t="s">
        <v>147</v>
      </c>
      <c r="C224" s="1" t="s">
        <v>152</v>
      </c>
      <c r="D224" s="9">
        <v>46478</v>
      </c>
      <c r="E224" s="10">
        <v>3472</v>
      </c>
      <c r="F224" s="10">
        <v>2448</v>
      </c>
      <c r="G224" s="10">
        <f>E224-F224</f>
        <v>1024</v>
      </c>
      <c r="H224" s="7">
        <f>IF(E224=0,0,F224/E224)</f>
        <v>0.70506912442396308</v>
      </c>
      <c r="I224" s="8" t="str">
        <f>IF(H224&gt;0.97,"Sold Out",IF(H224&gt;=0.85,"Critical",IF(H224&gt;=0.7,"Constrained","Healthy")))</f>
        <v>Constrained</v>
      </c>
      <c r="J224" s="6">
        <v>0</v>
      </c>
      <c r="K224" s="9"/>
    </row>
    <row r="225" spans="1:11">
      <c r="A225" s="1" t="s">
        <v>476</v>
      </c>
      <c r="B225" s="1" t="s">
        <v>147</v>
      </c>
      <c r="C225" s="1" t="s">
        <v>152</v>
      </c>
      <c r="D225" s="9">
        <v>46508</v>
      </c>
      <c r="E225" s="10">
        <v>3472</v>
      </c>
      <c r="F225" s="10">
        <v>2528</v>
      </c>
      <c r="G225" s="10">
        <f>E225-F225</f>
        <v>944</v>
      </c>
      <c r="H225" s="7">
        <f>IF(E225=0,0,F225/E225)</f>
        <v>0.72811059907834097</v>
      </c>
      <c r="I225" s="8" t="str">
        <f>IF(H225&gt;0.97,"Sold Out",IF(H225&gt;=0.85,"Critical",IF(H225&gt;=0.7,"Constrained","Healthy")))</f>
        <v>Constrained</v>
      </c>
      <c r="J225" s="6">
        <v>0</v>
      </c>
      <c r="K225" s="9"/>
    </row>
    <row r="226" spans="1:11">
      <c r="A226" s="1" t="s">
        <v>476</v>
      </c>
      <c r="B226" s="1" t="s">
        <v>147</v>
      </c>
      <c r="C226" s="1" t="s">
        <v>152</v>
      </c>
      <c r="D226" s="9">
        <v>46539</v>
      </c>
      <c r="E226" s="10">
        <v>3472</v>
      </c>
      <c r="F226" s="10">
        <v>2608</v>
      </c>
      <c r="G226" s="10">
        <f>E226-F226</f>
        <v>864</v>
      </c>
      <c r="H226" s="7">
        <f>IF(E226=0,0,F226/E226)</f>
        <v>0.75115207373271886</v>
      </c>
      <c r="I226" s="8" t="str">
        <f>IF(H226&gt;0.97,"Sold Out",IF(H226&gt;=0.85,"Critical",IF(H226&gt;=0.7,"Constrained","Healthy")))</f>
        <v>Constrained</v>
      </c>
      <c r="J226" s="6">
        <v>0</v>
      </c>
      <c r="K226" s="9"/>
    </row>
    <row r="227" spans="1:11">
      <c r="A227" s="1" t="s">
        <v>476</v>
      </c>
      <c r="B227" s="1" t="s">
        <v>147</v>
      </c>
      <c r="C227" s="1" t="s">
        <v>152</v>
      </c>
      <c r="D227" s="9">
        <v>46569</v>
      </c>
      <c r="E227" s="10">
        <v>3472</v>
      </c>
      <c r="F227" s="10">
        <v>2688</v>
      </c>
      <c r="G227" s="10">
        <f>E227-F227</f>
        <v>784</v>
      </c>
      <c r="H227" s="7">
        <f>IF(E227=0,0,F227/E227)</f>
        <v>0.77419354838709675</v>
      </c>
      <c r="I227" s="8" t="str">
        <f>IF(H227&gt;0.97,"Sold Out",IF(H227&gt;=0.85,"Critical",IF(H227&gt;=0.7,"Constrained","Healthy")))</f>
        <v>Constrained</v>
      </c>
      <c r="J227" s="6">
        <v>0</v>
      </c>
      <c r="K227" s="9"/>
    </row>
    <row r="228" spans="1:11">
      <c r="A228" s="1" t="s">
        <v>476</v>
      </c>
      <c r="B228" s="1" t="s">
        <v>147</v>
      </c>
      <c r="C228" s="1" t="s">
        <v>152</v>
      </c>
      <c r="D228" s="9">
        <v>46600</v>
      </c>
      <c r="E228" s="10">
        <v>3472</v>
      </c>
      <c r="F228" s="10">
        <v>2768</v>
      </c>
      <c r="G228" s="10">
        <f>E228-F228</f>
        <v>704</v>
      </c>
      <c r="H228" s="7">
        <f>IF(E228=0,0,F228/E228)</f>
        <v>0.79723502304147464</v>
      </c>
      <c r="I228" s="8" t="str">
        <f>IF(H228&gt;0.97,"Sold Out",IF(H228&gt;=0.85,"Critical",IF(H228&gt;=0.7,"Constrained","Healthy")))</f>
        <v>Constrained</v>
      </c>
      <c r="J228" s="6">
        <v>0</v>
      </c>
      <c r="K228" s="9"/>
    </row>
    <row r="229" spans="1:11">
      <c r="A229" s="1" t="s">
        <v>476</v>
      </c>
      <c r="B229" s="1" t="s">
        <v>147</v>
      </c>
      <c r="C229" s="1" t="s">
        <v>152</v>
      </c>
      <c r="D229" s="9">
        <v>46631</v>
      </c>
      <c r="E229" s="10">
        <v>3472</v>
      </c>
      <c r="F229" s="10">
        <v>2864</v>
      </c>
      <c r="G229" s="10">
        <f>E229-F229</f>
        <v>608</v>
      </c>
      <c r="H229" s="7">
        <f>IF(E229=0,0,F229/E229)</f>
        <v>0.82488479262672809</v>
      </c>
      <c r="I229" s="8" t="str">
        <f>IF(H229&gt;0.97,"Sold Out",IF(H229&gt;=0.85,"Critical",IF(H229&gt;=0.7,"Constrained","Healthy")))</f>
        <v>Constrained</v>
      </c>
      <c r="J229" s="6">
        <v>0</v>
      </c>
      <c r="K229" s="9"/>
    </row>
    <row r="230" spans="1:11">
      <c r="A230" s="1" t="s">
        <v>476</v>
      </c>
      <c r="B230" s="1" t="s">
        <v>147</v>
      </c>
      <c r="C230" s="1" t="s">
        <v>155</v>
      </c>
      <c r="D230" s="9">
        <v>46296</v>
      </c>
      <c r="E230" s="10">
        <v>10528</v>
      </c>
      <c r="F230" s="10">
        <v>7584</v>
      </c>
      <c r="G230" s="10">
        <f>E230-F230</f>
        <v>2944</v>
      </c>
      <c r="H230" s="7">
        <f>IF(E230=0,0,F230/E230)</f>
        <v>0.72036474164133735</v>
      </c>
      <c r="I230" s="8" t="str">
        <f>IF(H230&gt;0.97,"Sold Out",IF(H230&gt;=0.85,"Critical",IF(H230&gt;=0.7,"Constrained","Healthy")))</f>
        <v>Constrained</v>
      </c>
      <c r="J230" s="6">
        <v>0</v>
      </c>
      <c r="K230" s="9"/>
    </row>
    <row r="231" spans="1:11">
      <c r="A231" s="1" t="s">
        <v>476</v>
      </c>
      <c r="B231" s="1" t="s">
        <v>147</v>
      </c>
      <c r="C231" s="1" t="s">
        <v>155</v>
      </c>
      <c r="D231" s="9">
        <v>46327</v>
      </c>
      <c r="E231" s="10">
        <v>10528</v>
      </c>
      <c r="F231" s="10">
        <v>7840</v>
      </c>
      <c r="G231" s="10">
        <f>E231-F231</f>
        <v>2688</v>
      </c>
      <c r="H231" s="7">
        <f>IF(E231=0,0,F231/E231)</f>
        <v>0.74468085106382975</v>
      </c>
      <c r="I231" s="8" t="str">
        <f>IF(H231&gt;0.97,"Sold Out",IF(H231&gt;=0.85,"Critical",IF(H231&gt;=0.7,"Constrained","Healthy")))</f>
        <v>Constrained</v>
      </c>
      <c r="J231" s="6">
        <v>0</v>
      </c>
      <c r="K231" s="9"/>
    </row>
    <row r="232" spans="1:11">
      <c r="A232" s="1" t="s">
        <v>476</v>
      </c>
      <c r="B232" s="1" t="s">
        <v>147</v>
      </c>
      <c r="C232" s="1" t="s">
        <v>155</v>
      </c>
      <c r="D232" s="9">
        <v>46357</v>
      </c>
      <c r="E232" s="10">
        <v>10528</v>
      </c>
      <c r="F232" s="10">
        <v>8096</v>
      </c>
      <c r="G232" s="10">
        <f>E232-F232</f>
        <v>2432</v>
      </c>
      <c r="H232" s="7">
        <f>IF(E232=0,0,F232/E232)</f>
        <v>0.76899696048632216</v>
      </c>
      <c r="I232" s="8" t="str">
        <f>IF(H232&gt;0.97,"Sold Out",IF(H232&gt;=0.85,"Critical",IF(H232&gt;=0.7,"Constrained","Healthy")))</f>
        <v>Constrained</v>
      </c>
      <c r="J232" s="6">
        <v>0</v>
      </c>
      <c r="K232" s="9"/>
    </row>
    <row r="233" spans="1:11">
      <c r="A233" s="1" t="s">
        <v>476</v>
      </c>
      <c r="B233" s="1" t="s">
        <v>147</v>
      </c>
      <c r="C233" s="1" t="s">
        <v>155</v>
      </c>
      <c r="D233" s="9">
        <v>46388</v>
      </c>
      <c r="E233" s="10">
        <v>10528</v>
      </c>
      <c r="F233" s="10">
        <v>8352</v>
      </c>
      <c r="G233" s="10">
        <f>E233-F233</f>
        <v>2176</v>
      </c>
      <c r="H233" s="7">
        <f>IF(E233=0,0,F233/E233)</f>
        <v>0.79331306990881456</v>
      </c>
      <c r="I233" s="8" t="str">
        <f>IF(H233&gt;0.97,"Sold Out",IF(H233&gt;=0.85,"Critical",IF(H233&gt;=0.7,"Constrained","Healthy")))</f>
        <v>Constrained</v>
      </c>
      <c r="J233" s="6">
        <v>0</v>
      </c>
      <c r="K233" s="9"/>
    </row>
    <row r="234" spans="1:11">
      <c r="A234" s="1" t="s">
        <v>476</v>
      </c>
      <c r="B234" s="1" t="s">
        <v>147</v>
      </c>
      <c r="C234" s="1" t="s">
        <v>155</v>
      </c>
      <c r="D234" s="9">
        <v>46419</v>
      </c>
      <c r="E234" s="10">
        <v>13312</v>
      </c>
      <c r="F234" s="10">
        <v>8608</v>
      </c>
      <c r="G234" s="10">
        <f>E234-F234</f>
        <v>4704</v>
      </c>
      <c r="H234" s="7">
        <f>IF(E234=0,0,F234/E234)</f>
        <v>0.64663461538461542</v>
      </c>
      <c r="I234" s="8" t="str">
        <f>IF(H234&gt;0.97,"Sold Out",IF(H234&gt;=0.85,"Critical",IF(H234&gt;=0.7,"Constrained","Healthy")))</f>
        <v>Healthy</v>
      </c>
      <c r="J234" s="6">
        <v>2784</v>
      </c>
      <c r="K234" s="9">
        <v>46419</v>
      </c>
    </row>
    <row r="235" spans="1:11">
      <c r="A235" s="1" t="s">
        <v>476</v>
      </c>
      <c r="B235" s="1" t="s">
        <v>147</v>
      </c>
      <c r="C235" s="1" t="s">
        <v>155</v>
      </c>
      <c r="D235" s="9">
        <v>46447</v>
      </c>
      <c r="E235" s="10">
        <v>13312</v>
      </c>
      <c r="F235" s="10">
        <v>8896</v>
      </c>
      <c r="G235" s="10">
        <f>E235-F235</f>
        <v>4416</v>
      </c>
      <c r="H235" s="7">
        <f>IF(E235=0,0,F235/E235)</f>
        <v>0.66826923076923073</v>
      </c>
      <c r="I235" s="8" t="str">
        <f>IF(H235&gt;0.97,"Sold Out",IF(H235&gt;=0.85,"Critical",IF(H235&gt;=0.7,"Constrained","Healthy")))</f>
        <v>Healthy</v>
      </c>
      <c r="J235" s="6">
        <v>0</v>
      </c>
      <c r="K235" s="9"/>
    </row>
    <row r="236" spans="1:11">
      <c r="A236" s="1" t="s">
        <v>476</v>
      </c>
      <c r="B236" s="1" t="s">
        <v>147</v>
      </c>
      <c r="C236" s="1" t="s">
        <v>155</v>
      </c>
      <c r="D236" s="9">
        <v>46478</v>
      </c>
      <c r="E236" s="10">
        <v>13312</v>
      </c>
      <c r="F236" s="10">
        <v>9184</v>
      </c>
      <c r="G236" s="10">
        <f>E236-F236</f>
        <v>4128</v>
      </c>
      <c r="H236" s="7">
        <f>IF(E236=0,0,F236/E236)</f>
        <v>0.68990384615384615</v>
      </c>
      <c r="I236" s="8" t="str">
        <f>IF(H236&gt;0.97,"Sold Out",IF(H236&gt;=0.85,"Critical",IF(H236&gt;=0.7,"Constrained","Healthy")))</f>
        <v>Healthy</v>
      </c>
      <c r="J236" s="6">
        <v>0</v>
      </c>
      <c r="K236" s="9"/>
    </row>
    <row r="237" spans="1:11">
      <c r="A237" s="1" t="s">
        <v>476</v>
      </c>
      <c r="B237" s="1" t="s">
        <v>147</v>
      </c>
      <c r="C237" s="1" t="s">
        <v>155</v>
      </c>
      <c r="D237" s="9">
        <v>46508</v>
      </c>
      <c r="E237" s="10">
        <v>13312</v>
      </c>
      <c r="F237" s="10">
        <v>9472</v>
      </c>
      <c r="G237" s="10">
        <f>E237-F237</f>
        <v>3840</v>
      </c>
      <c r="H237" s="7">
        <f>IF(E237=0,0,F237/E237)</f>
        <v>0.71153846153846156</v>
      </c>
      <c r="I237" s="8" t="str">
        <f>IF(H237&gt;0.97,"Sold Out",IF(H237&gt;=0.85,"Critical",IF(H237&gt;=0.7,"Constrained","Healthy")))</f>
        <v>Constrained</v>
      </c>
      <c r="J237" s="6">
        <v>0</v>
      </c>
      <c r="K237" s="9"/>
    </row>
    <row r="238" spans="1:11">
      <c r="A238" s="1" t="s">
        <v>476</v>
      </c>
      <c r="B238" s="1" t="s">
        <v>147</v>
      </c>
      <c r="C238" s="1" t="s">
        <v>155</v>
      </c>
      <c r="D238" s="9">
        <v>46539</v>
      </c>
      <c r="E238" s="10">
        <v>13312</v>
      </c>
      <c r="F238" s="10">
        <v>9760</v>
      </c>
      <c r="G238" s="10">
        <f>E238-F238</f>
        <v>3552</v>
      </c>
      <c r="H238" s="7">
        <f>IF(E238=0,0,F238/E238)</f>
        <v>0.73317307692307687</v>
      </c>
      <c r="I238" s="8" t="str">
        <f>IF(H238&gt;0.97,"Sold Out",IF(H238&gt;=0.85,"Critical",IF(H238&gt;=0.7,"Constrained","Healthy")))</f>
        <v>Constrained</v>
      </c>
      <c r="J238" s="6">
        <v>0</v>
      </c>
      <c r="K238" s="9"/>
    </row>
    <row r="239" spans="1:11">
      <c r="A239" s="1" t="s">
        <v>476</v>
      </c>
      <c r="B239" s="1" t="s">
        <v>147</v>
      </c>
      <c r="C239" s="1" t="s">
        <v>155</v>
      </c>
      <c r="D239" s="9">
        <v>46569</v>
      </c>
      <c r="E239" s="10">
        <v>13312</v>
      </c>
      <c r="F239" s="10">
        <v>10080</v>
      </c>
      <c r="G239" s="10">
        <f>E239-F239</f>
        <v>3232</v>
      </c>
      <c r="H239" s="7">
        <f>IF(E239=0,0,F239/E239)</f>
        <v>0.75721153846153844</v>
      </c>
      <c r="I239" s="8" t="str">
        <f>IF(H239&gt;0.97,"Sold Out",IF(H239&gt;=0.85,"Critical",IF(H239&gt;=0.7,"Constrained","Healthy")))</f>
        <v>Constrained</v>
      </c>
      <c r="J239" s="6">
        <v>0</v>
      </c>
      <c r="K239" s="9"/>
    </row>
    <row r="240" spans="1:11">
      <c r="A240" s="1" t="s">
        <v>476</v>
      </c>
      <c r="B240" s="1" t="s">
        <v>147</v>
      </c>
      <c r="C240" s="1" t="s">
        <v>155</v>
      </c>
      <c r="D240" s="9">
        <v>46600</v>
      </c>
      <c r="E240" s="10">
        <v>13312</v>
      </c>
      <c r="F240" s="10">
        <v>10400</v>
      </c>
      <c r="G240" s="10">
        <f>E240-F240</f>
        <v>2912</v>
      </c>
      <c r="H240" s="7">
        <f>IF(E240=0,0,F240/E240)</f>
        <v>0.78125</v>
      </c>
      <c r="I240" s="8" t="str">
        <f>IF(H240&gt;0.97,"Sold Out",IF(H240&gt;=0.85,"Critical",IF(H240&gt;=0.7,"Constrained","Healthy")))</f>
        <v>Constrained</v>
      </c>
      <c r="J240" s="6">
        <v>0</v>
      </c>
      <c r="K240" s="9"/>
    </row>
    <row r="241" spans="1:11">
      <c r="A241" s="1" t="s">
        <v>476</v>
      </c>
      <c r="B241" s="1" t="s">
        <v>147</v>
      </c>
      <c r="C241" s="1" t="s">
        <v>155</v>
      </c>
      <c r="D241" s="9">
        <v>46631</v>
      </c>
      <c r="E241" s="10">
        <v>13312</v>
      </c>
      <c r="F241" s="10">
        <v>10720</v>
      </c>
      <c r="G241" s="10">
        <f>E241-F241</f>
        <v>2592</v>
      </c>
      <c r="H241" s="7">
        <f>IF(E241=0,0,F241/E241)</f>
        <v>0.80528846153846156</v>
      </c>
      <c r="I241" s="8" t="str">
        <f>IF(H241&gt;0.97,"Sold Out",IF(H241&gt;=0.85,"Critical",IF(H241&gt;=0.7,"Constrained","Healthy")))</f>
        <v>Constrained</v>
      </c>
      <c r="J241" s="6">
        <v>0</v>
      </c>
      <c r="K241" s="9"/>
    </row>
    <row r="242" spans="1:11">
      <c r="A242" s="1" t="s">
        <v>146</v>
      </c>
      <c r="B242" s="1" t="s">
        <v>147</v>
      </c>
      <c r="C242" s="1" t="s">
        <v>165</v>
      </c>
      <c r="D242" s="9">
        <v>46296</v>
      </c>
      <c r="E242" s="10">
        <v>11904</v>
      </c>
      <c r="F242" s="10">
        <v>12416</v>
      </c>
      <c r="G242" s="10">
        <f>E242-F242</f>
        <v>-512</v>
      </c>
      <c r="H242" s="7">
        <f>IF(E242=0,0,F242/E242)</f>
        <v>1.043010752688172</v>
      </c>
      <c r="I242" s="8" t="str">
        <f>IF(H242&gt;0.97,"Sold Out",IF(H242&gt;=0.85,"Critical",IF(H242&gt;=0.7,"Constrained","Healthy")))</f>
        <v>Sold Out</v>
      </c>
      <c r="J242" s="6">
        <v>0</v>
      </c>
      <c r="K242" s="9"/>
    </row>
    <row r="243" spans="1:11">
      <c r="A243" s="1" t="s">
        <v>146</v>
      </c>
      <c r="B243" s="1" t="s">
        <v>147</v>
      </c>
      <c r="C243" s="1" t="s">
        <v>165</v>
      </c>
      <c r="D243" s="9">
        <v>46327</v>
      </c>
      <c r="E243" s="10">
        <v>11904</v>
      </c>
      <c r="F243" s="10">
        <v>13120</v>
      </c>
      <c r="G243" s="10">
        <f>E243-F243</f>
        <v>-1216</v>
      </c>
      <c r="H243" s="7">
        <f>IF(E243=0,0,F243/E243)</f>
        <v>1.1021505376344085</v>
      </c>
      <c r="I243" s="8" t="str">
        <f>IF(H243&gt;0.97,"Sold Out",IF(H243&gt;=0.85,"Critical",IF(H243&gt;=0.7,"Constrained","Healthy")))</f>
        <v>Sold Out</v>
      </c>
      <c r="J243" s="6">
        <v>0</v>
      </c>
      <c r="K243" s="9"/>
    </row>
    <row r="244" spans="1:11">
      <c r="A244" s="1" t="s">
        <v>146</v>
      </c>
      <c r="B244" s="1" t="s">
        <v>147</v>
      </c>
      <c r="C244" s="1" t="s">
        <v>165</v>
      </c>
      <c r="D244" s="9">
        <v>46357</v>
      </c>
      <c r="E244" s="10">
        <v>11904</v>
      </c>
      <c r="F244" s="10">
        <v>13824</v>
      </c>
      <c r="G244" s="10">
        <f>E244-F244</f>
        <v>-1920</v>
      </c>
      <c r="H244" s="7">
        <f>IF(E244=0,0,F244/E244)</f>
        <v>1.1612903225806452</v>
      </c>
      <c r="I244" s="8" t="str">
        <f>IF(H244&gt;0.97,"Sold Out",IF(H244&gt;=0.85,"Critical",IF(H244&gt;=0.7,"Constrained","Healthy")))</f>
        <v>Sold Out</v>
      </c>
      <c r="J244" s="6">
        <v>0</v>
      </c>
      <c r="K244" s="9"/>
    </row>
    <row r="245" spans="1:11">
      <c r="A245" s="1" t="s">
        <v>146</v>
      </c>
      <c r="B245" s="1" t="s">
        <v>147</v>
      </c>
      <c r="C245" s="1" t="s">
        <v>165</v>
      </c>
      <c r="D245" s="9">
        <v>46388</v>
      </c>
      <c r="E245" s="10">
        <v>11904</v>
      </c>
      <c r="F245" s="10">
        <v>14592</v>
      </c>
      <c r="G245" s="10">
        <f>E245-F245</f>
        <v>-2688</v>
      </c>
      <c r="H245" s="7">
        <f>IF(E245=0,0,F245/E245)</f>
        <v>1.2258064516129032</v>
      </c>
      <c r="I245" s="8" t="str">
        <f>IF(H245&gt;0.97,"Sold Out",IF(H245&gt;=0.85,"Critical",IF(H245&gt;=0.7,"Constrained","Healthy")))</f>
        <v>Sold Out</v>
      </c>
      <c r="J245" s="6">
        <v>0</v>
      </c>
      <c r="K245" s="9"/>
    </row>
    <row r="246" spans="1:11">
      <c r="A246" s="1" t="s">
        <v>146</v>
      </c>
      <c r="B246" s="1" t="s">
        <v>147</v>
      </c>
      <c r="C246" s="1" t="s">
        <v>165</v>
      </c>
      <c r="D246" s="9">
        <v>46419</v>
      </c>
      <c r="E246" s="10">
        <v>11904</v>
      </c>
      <c r="F246" s="10">
        <v>15424</v>
      </c>
      <c r="G246" s="10">
        <f>E246-F246</f>
        <v>-3520</v>
      </c>
      <c r="H246" s="7">
        <f>IF(E246=0,0,F246/E246)</f>
        <v>1.2956989247311828</v>
      </c>
      <c r="I246" s="8" t="str">
        <f>IF(H246&gt;0.97,"Sold Out",IF(H246&gt;=0.85,"Critical",IF(H246&gt;=0.7,"Constrained","Healthy")))</f>
        <v>Sold Out</v>
      </c>
      <c r="J246" s="6">
        <v>0</v>
      </c>
      <c r="K246" s="9"/>
    </row>
    <row r="247" spans="1:11">
      <c r="A247" s="1" t="s">
        <v>146</v>
      </c>
      <c r="B247" s="1" t="s">
        <v>147</v>
      </c>
      <c r="C247" s="1" t="s">
        <v>165</v>
      </c>
      <c r="D247" s="9">
        <v>46447</v>
      </c>
      <c r="E247" s="10">
        <v>11904</v>
      </c>
      <c r="F247" s="10">
        <v>16256</v>
      </c>
      <c r="G247" s="10">
        <f>E247-F247</f>
        <v>-4352</v>
      </c>
      <c r="H247" s="7">
        <f>IF(E247=0,0,F247/E247)</f>
        <v>1.3655913978494623</v>
      </c>
      <c r="I247" s="8" t="str">
        <f>IF(H247&gt;0.97,"Sold Out",IF(H247&gt;=0.85,"Critical",IF(H247&gt;=0.7,"Constrained","Healthy")))</f>
        <v>Sold Out</v>
      </c>
      <c r="J247" s="6">
        <v>0</v>
      </c>
      <c r="K247" s="9"/>
    </row>
    <row r="248" spans="1:11">
      <c r="A248" s="1" t="s">
        <v>146</v>
      </c>
      <c r="B248" s="1" t="s">
        <v>147</v>
      </c>
      <c r="C248" s="1" t="s">
        <v>165</v>
      </c>
      <c r="D248" s="9">
        <v>46478</v>
      </c>
      <c r="E248" s="10">
        <v>11904</v>
      </c>
      <c r="F248" s="10">
        <v>17152</v>
      </c>
      <c r="G248" s="10">
        <f>E248-F248</f>
        <v>-5248</v>
      </c>
      <c r="H248" s="7">
        <f>IF(E248=0,0,F248/E248)</f>
        <v>1.4408602150537635</v>
      </c>
      <c r="I248" s="8" t="str">
        <f>IF(H248&gt;0.97,"Sold Out",IF(H248&gt;=0.85,"Critical",IF(H248&gt;=0.7,"Constrained","Healthy")))</f>
        <v>Sold Out</v>
      </c>
      <c r="J248" s="6">
        <v>0</v>
      </c>
      <c r="K248" s="9"/>
    </row>
    <row r="249" spans="1:11">
      <c r="A249" s="1" t="s">
        <v>146</v>
      </c>
      <c r="B249" s="1" t="s">
        <v>147</v>
      </c>
      <c r="C249" s="1" t="s">
        <v>165</v>
      </c>
      <c r="D249" s="9">
        <v>46508</v>
      </c>
      <c r="E249" s="10">
        <v>15616</v>
      </c>
      <c r="F249" s="10">
        <v>18112</v>
      </c>
      <c r="G249" s="10">
        <f>E249-F249</f>
        <v>-2496</v>
      </c>
      <c r="H249" s="7">
        <f>IF(E249=0,0,F249/E249)</f>
        <v>1.1598360655737705</v>
      </c>
      <c r="I249" s="8" t="str">
        <f>IF(H249&gt;0.97,"Sold Out",IF(H249&gt;=0.85,"Critical",IF(H249&gt;=0.7,"Constrained","Healthy")))</f>
        <v>Sold Out</v>
      </c>
      <c r="J249" s="6">
        <v>3712</v>
      </c>
      <c r="K249" s="9">
        <v>46508</v>
      </c>
    </row>
    <row r="250" spans="1:11">
      <c r="A250" s="1" t="s">
        <v>146</v>
      </c>
      <c r="B250" s="1" t="s">
        <v>147</v>
      </c>
      <c r="C250" s="1" t="s">
        <v>165</v>
      </c>
      <c r="D250" s="9">
        <v>46539</v>
      </c>
      <c r="E250" s="10">
        <v>15616</v>
      </c>
      <c r="F250" s="10">
        <v>19136</v>
      </c>
      <c r="G250" s="10">
        <f>E250-F250</f>
        <v>-3520</v>
      </c>
      <c r="H250" s="7">
        <f>IF(E250=0,0,F250/E250)</f>
        <v>1.2254098360655739</v>
      </c>
      <c r="I250" s="8" t="str">
        <f>IF(H250&gt;0.97,"Sold Out",IF(H250&gt;=0.85,"Critical",IF(H250&gt;=0.7,"Constrained","Healthy")))</f>
        <v>Sold Out</v>
      </c>
      <c r="J250" s="6">
        <v>0</v>
      </c>
      <c r="K250" s="9"/>
    </row>
    <row r="251" spans="1:11">
      <c r="A251" s="1" t="s">
        <v>146</v>
      </c>
      <c r="B251" s="1" t="s">
        <v>147</v>
      </c>
      <c r="C251" s="1" t="s">
        <v>165</v>
      </c>
      <c r="D251" s="9">
        <v>46569</v>
      </c>
      <c r="E251" s="10">
        <v>15616</v>
      </c>
      <c r="F251" s="10">
        <v>20160</v>
      </c>
      <c r="G251" s="10">
        <f>E251-F251</f>
        <v>-4544</v>
      </c>
      <c r="H251" s="7">
        <f>IF(E251=0,0,F251/E251)</f>
        <v>1.290983606557377</v>
      </c>
      <c r="I251" s="8" t="str">
        <f>IF(H251&gt;0.97,"Sold Out",IF(H251&gt;=0.85,"Critical",IF(H251&gt;=0.7,"Constrained","Healthy")))</f>
        <v>Sold Out</v>
      </c>
      <c r="J251" s="6">
        <v>0</v>
      </c>
      <c r="K251" s="9"/>
    </row>
    <row r="252" spans="1:11">
      <c r="A252" s="1" t="s">
        <v>146</v>
      </c>
      <c r="B252" s="1" t="s">
        <v>147</v>
      </c>
      <c r="C252" s="1" t="s">
        <v>165</v>
      </c>
      <c r="D252" s="9">
        <v>46600</v>
      </c>
      <c r="E252" s="10">
        <v>15616</v>
      </c>
      <c r="F252" s="10">
        <v>21248</v>
      </c>
      <c r="G252" s="10">
        <f>E252-F252</f>
        <v>-5632</v>
      </c>
      <c r="H252" s="7">
        <f>IF(E252=0,0,F252/E252)</f>
        <v>1.360655737704918</v>
      </c>
      <c r="I252" s="8" t="str">
        <f>IF(H252&gt;0.97,"Sold Out",IF(H252&gt;=0.85,"Critical",IF(H252&gt;=0.7,"Constrained","Healthy")))</f>
        <v>Sold Out</v>
      </c>
      <c r="J252" s="6">
        <v>0</v>
      </c>
      <c r="K252" s="9"/>
    </row>
    <row r="253" spans="1:11">
      <c r="A253" s="1" t="s">
        <v>146</v>
      </c>
      <c r="B253" s="1" t="s">
        <v>147</v>
      </c>
      <c r="C253" s="1" t="s">
        <v>165</v>
      </c>
      <c r="D253" s="9">
        <v>46631</v>
      </c>
      <c r="E253" s="10">
        <v>15616</v>
      </c>
      <c r="F253" s="10">
        <v>22400</v>
      </c>
      <c r="G253" s="10">
        <f>E253-F253</f>
        <v>-6784</v>
      </c>
      <c r="H253" s="7">
        <f>IF(E253=0,0,F253/E253)</f>
        <v>1.4344262295081966</v>
      </c>
      <c r="I253" s="8" t="str">
        <f>IF(H253&gt;0.97,"Sold Out",IF(H253&gt;=0.85,"Critical",IF(H253&gt;=0.7,"Constrained","Healthy")))</f>
        <v>Sold Out</v>
      </c>
      <c r="J253" s="6">
        <v>0</v>
      </c>
      <c r="K253" s="9"/>
    </row>
    <row r="254" spans="1:11">
      <c r="A254" s="1" t="s">
        <v>220</v>
      </c>
      <c r="B254" s="1" t="s">
        <v>147</v>
      </c>
      <c r="C254" s="1" t="s">
        <v>165</v>
      </c>
      <c r="D254" s="9">
        <v>46296</v>
      </c>
      <c r="E254" s="10">
        <v>11328</v>
      </c>
      <c r="F254" s="10">
        <v>11392</v>
      </c>
      <c r="G254" s="10">
        <f>E254-F254</f>
        <v>-64</v>
      </c>
      <c r="H254" s="7">
        <f>IF(E254=0,0,F254/E254)</f>
        <v>1.0056497175141244</v>
      </c>
      <c r="I254" s="8" t="str">
        <f>IF(H254&gt;0.97,"Sold Out",IF(H254&gt;=0.85,"Critical",IF(H254&gt;=0.7,"Constrained","Healthy")))</f>
        <v>Sold Out</v>
      </c>
      <c r="J254" s="6">
        <v>0</v>
      </c>
      <c r="K254" s="9"/>
    </row>
    <row r="255" spans="1:11">
      <c r="A255" s="1" t="s">
        <v>220</v>
      </c>
      <c r="B255" s="1" t="s">
        <v>147</v>
      </c>
      <c r="C255" s="1" t="s">
        <v>165</v>
      </c>
      <c r="D255" s="9">
        <v>46327</v>
      </c>
      <c r="E255" s="10">
        <v>11328</v>
      </c>
      <c r="F255" s="10">
        <v>12032</v>
      </c>
      <c r="G255" s="10">
        <f>E255-F255</f>
        <v>-704</v>
      </c>
      <c r="H255" s="7">
        <f>IF(E255=0,0,F255/E255)</f>
        <v>1.0621468926553672</v>
      </c>
      <c r="I255" s="8" t="str">
        <f>IF(H255&gt;0.97,"Sold Out",IF(H255&gt;=0.85,"Critical",IF(H255&gt;=0.7,"Constrained","Healthy")))</f>
        <v>Sold Out</v>
      </c>
      <c r="J255" s="6">
        <v>0</v>
      </c>
      <c r="K255" s="9"/>
    </row>
    <row r="256" spans="1:11">
      <c r="A256" s="1" t="s">
        <v>220</v>
      </c>
      <c r="B256" s="1" t="s">
        <v>147</v>
      </c>
      <c r="C256" s="1" t="s">
        <v>165</v>
      </c>
      <c r="D256" s="9">
        <v>46357</v>
      </c>
      <c r="E256" s="10">
        <v>11328</v>
      </c>
      <c r="F256" s="10">
        <v>12672</v>
      </c>
      <c r="G256" s="10">
        <f>E256-F256</f>
        <v>-1344</v>
      </c>
      <c r="H256" s="7">
        <f>IF(E256=0,0,F256/E256)</f>
        <v>1.1186440677966101</v>
      </c>
      <c r="I256" s="8" t="str">
        <f>IF(H256&gt;0.97,"Sold Out",IF(H256&gt;=0.85,"Critical",IF(H256&gt;=0.7,"Constrained","Healthy")))</f>
        <v>Sold Out</v>
      </c>
      <c r="J256" s="6">
        <v>0</v>
      </c>
      <c r="K256" s="9"/>
    </row>
    <row r="257" spans="1:11">
      <c r="A257" s="1" t="s">
        <v>220</v>
      </c>
      <c r="B257" s="1" t="s">
        <v>147</v>
      </c>
      <c r="C257" s="1" t="s">
        <v>165</v>
      </c>
      <c r="D257" s="9">
        <v>46388</v>
      </c>
      <c r="E257" s="10">
        <v>11328</v>
      </c>
      <c r="F257" s="10">
        <v>13376</v>
      </c>
      <c r="G257" s="10">
        <f>E257-F257</f>
        <v>-2048</v>
      </c>
      <c r="H257" s="7">
        <f>IF(E257=0,0,F257/E257)</f>
        <v>1.1807909604519775</v>
      </c>
      <c r="I257" s="8" t="str">
        <f>IF(H257&gt;0.97,"Sold Out",IF(H257&gt;=0.85,"Critical",IF(H257&gt;=0.7,"Constrained","Healthy")))</f>
        <v>Sold Out</v>
      </c>
      <c r="J257" s="6">
        <v>0</v>
      </c>
      <c r="K257" s="9"/>
    </row>
    <row r="258" spans="1:11">
      <c r="A258" s="1" t="s">
        <v>220</v>
      </c>
      <c r="B258" s="1" t="s">
        <v>147</v>
      </c>
      <c r="C258" s="1" t="s">
        <v>165</v>
      </c>
      <c r="D258" s="9">
        <v>46419</v>
      </c>
      <c r="E258" s="10">
        <v>11328</v>
      </c>
      <c r="F258" s="10">
        <v>14080</v>
      </c>
      <c r="G258" s="10">
        <f>E258-F258</f>
        <v>-2752</v>
      </c>
      <c r="H258" s="7">
        <f>IF(E258=0,0,F258/E258)</f>
        <v>1.2429378531073447</v>
      </c>
      <c r="I258" s="8" t="str">
        <f>IF(H258&gt;0.97,"Sold Out",IF(H258&gt;=0.85,"Critical",IF(H258&gt;=0.7,"Constrained","Healthy")))</f>
        <v>Sold Out</v>
      </c>
      <c r="J258" s="6">
        <v>0</v>
      </c>
      <c r="K258" s="9"/>
    </row>
    <row r="259" spans="1:11">
      <c r="A259" s="1" t="s">
        <v>220</v>
      </c>
      <c r="B259" s="1" t="s">
        <v>147</v>
      </c>
      <c r="C259" s="1" t="s">
        <v>165</v>
      </c>
      <c r="D259" s="9">
        <v>46447</v>
      </c>
      <c r="E259" s="10">
        <v>11328</v>
      </c>
      <c r="F259" s="10">
        <v>14848</v>
      </c>
      <c r="G259" s="10">
        <f>E259-F259</f>
        <v>-3520</v>
      </c>
      <c r="H259" s="7">
        <f>IF(E259=0,0,F259/E259)</f>
        <v>1.3107344632768361</v>
      </c>
      <c r="I259" s="8" t="str">
        <f>IF(H259&gt;0.97,"Sold Out",IF(H259&gt;=0.85,"Critical",IF(H259&gt;=0.7,"Constrained","Healthy")))</f>
        <v>Sold Out</v>
      </c>
      <c r="J259" s="6">
        <v>0</v>
      </c>
      <c r="K259" s="9"/>
    </row>
    <row r="260" spans="1:11">
      <c r="A260" s="1" t="s">
        <v>220</v>
      </c>
      <c r="B260" s="1" t="s">
        <v>147</v>
      </c>
      <c r="C260" s="1" t="s">
        <v>165</v>
      </c>
      <c r="D260" s="9">
        <v>46478</v>
      </c>
      <c r="E260" s="10">
        <v>11328</v>
      </c>
      <c r="F260" s="10">
        <v>15680</v>
      </c>
      <c r="G260" s="10">
        <f>E260-F260</f>
        <v>-4352</v>
      </c>
      <c r="H260" s="7">
        <f>IF(E260=0,0,F260/E260)</f>
        <v>1.384180790960452</v>
      </c>
      <c r="I260" s="8" t="str">
        <f>IF(H260&gt;0.97,"Sold Out",IF(H260&gt;=0.85,"Critical",IF(H260&gt;=0.7,"Constrained","Healthy")))</f>
        <v>Sold Out</v>
      </c>
      <c r="J260" s="6">
        <v>0</v>
      </c>
      <c r="K260" s="9"/>
    </row>
    <row r="261" spans="1:11">
      <c r="A261" s="1" t="s">
        <v>220</v>
      </c>
      <c r="B261" s="1" t="s">
        <v>147</v>
      </c>
      <c r="C261" s="1" t="s">
        <v>165</v>
      </c>
      <c r="D261" s="9">
        <v>46508</v>
      </c>
      <c r="E261" s="10">
        <v>11328</v>
      </c>
      <c r="F261" s="10">
        <v>16512</v>
      </c>
      <c r="G261" s="10">
        <f>E261-F261</f>
        <v>-5184</v>
      </c>
      <c r="H261" s="7">
        <f>IF(E261=0,0,F261/E261)</f>
        <v>1.4576271186440677</v>
      </c>
      <c r="I261" s="8" t="str">
        <f>IF(H261&gt;0.97,"Sold Out",IF(H261&gt;=0.85,"Critical",IF(H261&gt;=0.7,"Constrained","Healthy")))</f>
        <v>Sold Out</v>
      </c>
      <c r="J261" s="6">
        <v>0</v>
      </c>
      <c r="K261" s="9"/>
    </row>
    <row r="262" spans="1:11">
      <c r="A262" s="1" t="s">
        <v>220</v>
      </c>
      <c r="B262" s="1" t="s">
        <v>147</v>
      </c>
      <c r="C262" s="1" t="s">
        <v>165</v>
      </c>
      <c r="D262" s="9">
        <v>46539</v>
      </c>
      <c r="E262" s="10">
        <v>15552</v>
      </c>
      <c r="F262" s="10">
        <v>17408</v>
      </c>
      <c r="G262" s="10">
        <f>E262-F262</f>
        <v>-1856</v>
      </c>
      <c r="H262" s="7">
        <f>IF(E262=0,0,F262/E262)</f>
        <v>1.1193415637860082</v>
      </c>
      <c r="I262" s="8" t="str">
        <f>IF(H262&gt;0.97,"Sold Out",IF(H262&gt;=0.85,"Critical",IF(H262&gt;=0.7,"Constrained","Healthy")))</f>
        <v>Sold Out</v>
      </c>
      <c r="J262" s="6">
        <v>4224</v>
      </c>
      <c r="K262" s="9">
        <v>46539</v>
      </c>
    </row>
    <row r="263" spans="1:11">
      <c r="A263" s="1" t="s">
        <v>220</v>
      </c>
      <c r="B263" s="1" t="s">
        <v>147</v>
      </c>
      <c r="C263" s="1" t="s">
        <v>165</v>
      </c>
      <c r="D263" s="9">
        <v>46569</v>
      </c>
      <c r="E263" s="10">
        <v>15552</v>
      </c>
      <c r="F263" s="10">
        <v>18368</v>
      </c>
      <c r="G263" s="10">
        <f>E263-F263</f>
        <v>-2816</v>
      </c>
      <c r="H263" s="7">
        <f>IF(E263=0,0,F263/E263)</f>
        <v>1.1810699588477367</v>
      </c>
      <c r="I263" s="8" t="str">
        <f>IF(H263&gt;0.97,"Sold Out",IF(H263&gt;=0.85,"Critical",IF(H263&gt;=0.7,"Constrained","Healthy")))</f>
        <v>Sold Out</v>
      </c>
      <c r="J263" s="6">
        <v>0</v>
      </c>
      <c r="K263" s="9"/>
    </row>
    <row r="264" spans="1:11">
      <c r="A264" s="1" t="s">
        <v>220</v>
      </c>
      <c r="B264" s="1" t="s">
        <v>147</v>
      </c>
      <c r="C264" s="1" t="s">
        <v>165</v>
      </c>
      <c r="D264" s="9">
        <v>46600</v>
      </c>
      <c r="E264" s="10">
        <v>15552</v>
      </c>
      <c r="F264" s="10">
        <v>19392</v>
      </c>
      <c r="G264" s="10">
        <f>E264-F264</f>
        <v>-3840</v>
      </c>
      <c r="H264" s="7">
        <f>IF(E264=0,0,F264/E264)</f>
        <v>1.2469135802469136</v>
      </c>
      <c r="I264" s="8" t="str">
        <f>IF(H264&gt;0.97,"Sold Out",IF(H264&gt;=0.85,"Critical",IF(H264&gt;=0.7,"Constrained","Healthy")))</f>
        <v>Sold Out</v>
      </c>
      <c r="J264" s="6">
        <v>0</v>
      </c>
      <c r="K264" s="9"/>
    </row>
    <row r="265" spans="1:11">
      <c r="A265" s="1" t="s">
        <v>220</v>
      </c>
      <c r="B265" s="1" t="s">
        <v>147</v>
      </c>
      <c r="C265" s="1" t="s">
        <v>165</v>
      </c>
      <c r="D265" s="9">
        <v>46631</v>
      </c>
      <c r="E265" s="10">
        <v>15552</v>
      </c>
      <c r="F265" s="10">
        <v>20480</v>
      </c>
      <c r="G265" s="10">
        <f>E265-F265</f>
        <v>-4928</v>
      </c>
      <c r="H265" s="7">
        <f>IF(E265=0,0,F265/E265)</f>
        <v>1.3168724279835391</v>
      </c>
      <c r="I265" s="8" t="str">
        <f>IF(H265&gt;0.97,"Sold Out",IF(H265&gt;=0.85,"Critical",IF(H265&gt;=0.7,"Constrained","Healthy")))</f>
        <v>Sold Out</v>
      </c>
      <c r="J265" s="6">
        <v>0</v>
      </c>
      <c r="K265" s="9"/>
    </row>
    <row r="266" spans="1:11">
      <c r="A266" s="1" t="s">
        <v>259</v>
      </c>
      <c r="B266" s="1" t="s">
        <v>147</v>
      </c>
      <c r="C266" s="1" t="s">
        <v>165</v>
      </c>
      <c r="D266" s="9">
        <v>46296</v>
      </c>
      <c r="E266" s="10">
        <v>8512</v>
      </c>
      <c r="F266" s="10">
        <v>8896</v>
      </c>
      <c r="G266" s="10">
        <f>E266-F266</f>
        <v>-384</v>
      </c>
      <c r="H266" s="7">
        <f>IF(E266=0,0,F266/E266)</f>
        <v>1.0451127819548873</v>
      </c>
      <c r="I266" s="8" t="str">
        <f>IF(H266&gt;0.97,"Sold Out",IF(H266&gt;=0.85,"Critical",IF(H266&gt;=0.7,"Constrained","Healthy")))</f>
        <v>Sold Out</v>
      </c>
      <c r="J266" s="6">
        <v>0</v>
      </c>
      <c r="K266" s="9"/>
    </row>
    <row r="267" spans="1:11">
      <c r="A267" s="1" t="s">
        <v>259</v>
      </c>
      <c r="B267" s="1" t="s">
        <v>147</v>
      </c>
      <c r="C267" s="1" t="s">
        <v>165</v>
      </c>
      <c r="D267" s="9">
        <v>46327</v>
      </c>
      <c r="E267" s="10">
        <v>8512</v>
      </c>
      <c r="F267" s="10">
        <v>9408</v>
      </c>
      <c r="G267" s="10">
        <f>E267-F267</f>
        <v>-896</v>
      </c>
      <c r="H267" s="7">
        <f>IF(E267=0,0,F267/E267)</f>
        <v>1.1052631578947369</v>
      </c>
      <c r="I267" s="8" t="str">
        <f>IF(H267&gt;0.97,"Sold Out",IF(H267&gt;=0.85,"Critical",IF(H267&gt;=0.7,"Constrained","Healthy")))</f>
        <v>Sold Out</v>
      </c>
      <c r="J267" s="6">
        <v>0</v>
      </c>
      <c r="K267" s="9"/>
    </row>
    <row r="268" spans="1:11">
      <c r="A268" s="1" t="s">
        <v>259</v>
      </c>
      <c r="B268" s="1" t="s">
        <v>147</v>
      </c>
      <c r="C268" s="1" t="s">
        <v>165</v>
      </c>
      <c r="D268" s="9">
        <v>46357</v>
      </c>
      <c r="E268" s="10">
        <v>8512</v>
      </c>
      <c r="F268" s="10">
        <v>9920</v>
      </c>
      <c r="G268" s="10">
        <f>E268-F268</f>
        <v>-1408</v>
      </c>
      <c r="H268" s="7">
        <f>IF(E268=0,0,F268/E268)</f>
        <v>1.1654135338345866</v>
      </c>
      <c r="I268" s="8" t="str">
        <f>IF(H268&gt;0.97,"Sold Out",IF(H268&gt;=0.85,"Critical",IF(H268&gt;=0.7,"Constrained","Healthy")))</f>
        <v>Sold Out</v>
      </c>
      <c r="J268" s="6">
        <v>0</v>
      </c>
      <c r="K268" s="9"/>
    </row>
    <row r="269" spans="1:11">
      <c r="A269" s="1" t="s">
        <v>259</v>
      </c>
      <c r="B269" s="1" t="s">
        <v>147</v>
      </c>
      <c r="C269" s="1" t="s">
        <v>165</v>
      </c>
      <c r="D269" s="9">
        <v>46388</v>
      </c>
      <c r="E269" s="10">
        <v>8512</v>
      </c>
      <c r="F269" s="10">
        <v>10496</v>
      </c>
      <c r="G269" s="10">
        <f>E269-F269</f>
        <v>-1984</v>
      </c>
      <c r="H269" s="7">
        <f>IF(E269=0,0,F269/E269)</f>
        <v>1.2330827067669172</v>
      </c>
      <c r="I269" s="8" t="str">
        <f>IF(H269&gt;0.97,"Sold Out",IF(H269&gt;=0.85,"Critical",IF(H269&gt;=0.7,"Constrained","Healthy")))</f>
        <v>Sold Out</v>
      </c>
      <c r="J269" s="6">
        <v>0</v>
      </c>
      <c r="K269" s="9"/>
    </row>
    <row r="270" spans="1:11">
      <c r="A270" s="1" t="s">
        <v>259</v>
      </c>
      <c r="B270" s="1" t="s">
        <v>147</v>
      </c>
      <c r="C270" s="1" t="s">
        <v>165</v>
      </c>
      <c r="D270" s="9">
        <v>46419</v>
      </c>
      <c r="E270" s="10">
        <v>8512</v>
      </c>
      <c r="F270" s="10">
        <v>11072</v>
      </c>
      <c r="G270" s="10">
        <f>E270-F270</f>
        <v>-2560</v>
      </c>
      <c r="H270" s="7">
        <f>IF(E270=0,0,F270/E270)</f>
        <v>1.3007518796992481</v>
      </c>
      <c r="I270" s="8" t="str">
        <f>IF(H270&gt;0.97,"Sold Out",IF(H270&gt;=0.85,"Critical",IF(H270&gt;=0.7,"Constrained","Healthy")))</f>
        <v>Sold Out</v>
      </c>
      <c r="J270" s="6">
        <v>0</v>
      </c>
      <c r="K270" s="9"/>
    </row>
    <row r="271" spans="1:11">
      <c r="A271" s="1" t="s">
        <v>259</v>
      </c>
      <c r="B271" s="1" t="s">
        <v>147</v>
      </c>
      <c r="C271" s="1" t="s">
        <v>165</v>
      </c>
      <c r="D271" s="9">
        <v>46447</v>
      </c>
      <c r="E271" s="10">
        <v>8512</v>
      </c>
      <c r="F271" s="10">
        <v>11712</v>
      </c>
      <c r="G271" s="10">
        <f>E271-F271</f>
        <v>-3200</v>
      </c>
      <c r="H271" s="7">
        <f>IF(E271=0,0,F271/E271)</f>
        <v>1.3759398496240602</v>
      </c>
      <c r="I271" s="8" t="str">
        <f>IF(H271&gt;0.97,"Sold Out",IF(H271&gt;=0.85,"Critical",IF(H271&gt;=0.7,"Constrained","Healthy")))</f>
        <v>Sold Out</v>
      </c>
      <c r="J271" s="6">
        <v>0</v>
      </c>
      <c r="K271" s="9"/>
    </row>
    <row r="272" spans="1:11">
      <c r="A272" s="1" t="s">
        <v>259</v>
      </c>
      <c r="B272" s="1" t="s">
        <v>147</v>
      </c>
      <c r="C272" s="1" t="s">
        <v>165</v>
      </c>
      <c r="D272" s="9">
        <v>46478</v>
      </c>
      <c r="E272" s="10">
        <v>8512</v>
      </c>
      <c r="F272" s="10">
        <v>12352</v>
      </c>
      <c r="G272" s="10">
        <f>E272-F272</f>
        <v>-3840</v>
      </c>
      <c r="H272" s="7">
        <f>IF(E272=0,0,F272/E272)</f>
        <v>1.4511278195488722</v>
      </c>
      <c r="I272" s="8" t="str">
        <f>IF(H272&gt;0.97,"Sold Out",IF(H272&gt;=0.85,"Critical",IF(H272&gt;=0.7,"Constrained","Healthy")))</f>
        <v>Sold Out</v>
      </c>
      <c r="J272" s="6">
        <v>0</v>
      </c>
      <c r="K272" s="9"/>
    </row>
    <row r="273" spans="1:11">
      <c r="A273" s="1" t="s">
        <v>259</v>
      </c>
      <c r="B273" s="1" t="s">
        <v>147</v>
      </c>
      <c r="C273" s="1" t="s">
        <v>165</v>
      </c>
      <c r="D273" s="9">
        <v>46508</v>
      </c>
      <c r="E273" s="10">
        <v>10496</v>
      </c>
      <c r="F273" s="10">
        <v>13056</v>
      </c>
      <c r="G273" s="10">
        <f>E273-F273</f>
        <v>-2560</v>
      </c>
      <c r="H273" s="7">
        <f>IF(E273=0,0,F273/E273)</f>
        <v>1.2439024390243902</v>
      </c>
      <c r="I273" s="8" t="str">
        <f>IF(H273&gt;0.97,"Sold Out",IF(H273&gt;=0.85,"Critical",IF(H273&gt;=0.7,"Constrained","Healthy")))</f>
        <v>Sold Out</v>
      </c>
      <c r="J273" s="6">
        <v>1984</v>
      </c>
      <c r="K273" s="9">
        <v>46508</v>
      </c>
    </row>
    <row r="274" spans="1:11">
      <c r="A274" s="1" t="s">
        <v>259</v>
      </c>
      <c r="B274" s="1" t="s">
        <v>147</v>
      </c>
      <c r="C274" s="1" t="s">
        <v>165</v>
      </c>
      <c r="D274" s="9">
        <v>46539</v>
      </c>
      <c r="E274" s="10">
        <v>10496</v>
      </c>
      <c r="F274" s="10">
        <v>13760</v>
      </c>
      <c r="G274" s="10">
        <f>E274-F274</f>
        <v>-3264</v>
      </c>
      <c r="H274" s="7">
        <f>IF(E274=0,0,F274/E274)</f>
        <v>1.3109756097560976</v>
      </c>
      <c r="I274" s="8" t="str">
        <f>IF(H274&gt;0.97,"Sold Out",IF(H274&gt;=0.85,"Critical",IF(H274&gt;=0.7,"Constrained","Healthy")))</f>
        <v>Sold Out</v>
      </c>
      <c r="J274" s="6">
        <v>0</v>
      </c>
      <c r="K274" s="9"/>
    </row>
    <row r="275" spans="1:11">
      <c r="A275" s="1" t="s">
        <v>259</v>
      </c>
      <c r="B275" s="1" t="s">
        <v>147</v>
      </c>
      <c r="C275" s="1" t="s">
        <v>165</v>
      </c>
      <c r="D275" s="9">
        <v>46569</v>
      </c>
      <c r="E275" s="10">
        <v>10496</v>
      </c>
      <c r="F275" s="10">
        <v>14528</v>
      </c>
      <c r="G275" s="10">
        <f>E275-F275</f>
        <v>-4032</v>
      </c>
      <c r="H275" s="7">
        <f>IF(E275=0,0,F275/E275)</f>
        <v>1.3841463414634145</v>
      </c>
      <c r="I275" s="8" t="str">
        <f>IF(H275&gt;0.97,"Sold Out",IF(H275&gt;=0.85,"Critical",IF(H275&gt;=0.7,"Constrained","Healthy")))</f>
        <v>Sold Out</v>
      </c>
      <c r="J275" s="6">
        <v>0</v>
      </c>
      <c r="K275" s="9"/>
    </row>
    <row r="276" spans="1:11">
      <c r="A276" s="1" t="s">
        <v>259</v>
      </c>
      <c r="B276" s="1" t="s">
        <v>147</v>
      </c>
      <c r="C276" s="1" t="s">
        <v>165</v>
      </c>
      <c r="D276" s="9">
        <v>46600</v>
      </c>
      <c r="E276" s="10">
        <v>10496</v>
      </c>
      <c r="F276" s="10">
        <v>15296</v>
      </c>
      <c r="G276" s="10">
        <f>E276-F276</f>
        <v>-4800</v>
      </c>
      <c r="H276" s="7">
        <f>IF(E276=0,0,F276/E276)</f>
        <v>1.4573170731707317</v>
      </c>
      <c r="I276" s="8" t="str">
        <f>IF(H276&gt;0.97,"Sold Out",IF(H276&gt;=0.85,"Critical",IF(H276&gt;=0.7,"Constrained","Healthy")))</f>
        <v>Sold Out</v>
      </c>
      <c r="J276" s="6">
        <v>0</v>
      </c>
      <c r="K276" s="9"/>
    </row>
    <row r="277" spans="1:11">
      <c r="A277" s="1" t="s">
        <v>259</v>
      </c>
      <c r="B277" s="1" t="s">
        <v>147</v>
      </c>
      <c r="C277" s="1" t="s">
        <v>165</v>
      </c>
      <c r="D277" s="9">
        <v>46631</v>
      </c>
      <c r="E277" s="10">
        <v>10496</v>
      </c>
      <c r="F277" s="10">
        <v>16128</v>
      </c>
      <c r="G277" s="10">
        <f>E277-F277</f>
        <v>-5632</v>
      </c>
      <c r="H277" s="7">
        <f>IF(E277=0,0,F277/E277)</f>
        <v>1.5365853658536586</v>
      </c>
      <c r="I277" s="8" t="str">
        <f>IF(H277&gt;0.97,"Sold Out",IF(H277&gt;=0.85,"Critical",IF(H277&gt;=0.7,"Constrained","Healthy")))</f>
        <v>Sold Out</v>
      </c>
      <c r="J277" s="6">
        <v>0</v>
      </c>
      <c r="K277" s="9"/>
    </row>
    <row r="278" spans="1:11">
      <c r="A278" s="1" t="s">
        <v>296</v>
      </c>
      <c r="B278" s="1" t="s">
        <v>147</v>
      </c>
      <c r="C278" s="1" t="s">
        <v>165</v>
      </c>
      <c r="D278" s="9">
        <v>46296</v>
      </c>
      <c r="E278" s="10">
        <v>6592</v>
      </c>
      <c r="F278" s="10">
        <v>5248</v>
      </c>
      <c r="G278" s="10">
        <f>E278-F278</f>
        <v>1344</v>
      </c>
      <c r="H278" s="7">
        <f>IF(E278=0,0,F278/E278)</f>
        <v>0.79611650485436891</v>
      </c>
      <c r="I278" s="8" t="str">
        <f>IF(H278&gt;0.97,"Sold Out",IF(H278&gt;=0.85,"Critical",IF(H278&gt;=0.7,"Constrained","Healthy")))</f>
        <v>Constrained</v>
      </c>
      <c r="J278" s="6">
        <v>0</v>
      </c>
      <c r="K278" s="9"/>
    </row>
    <row r="279" spans="1:11">
      <c r="A279" s="1" t="s">
        <v>296</v>
      </c>
      <c r="B279" s="1" t="s">
        <v>147</v>
      </c>
      <c r="C279" s="1" t="s">
        <v>165</v>
      </c>
      <c r="D279" s="9">
        <v>46327</v>
      </c>
      <c r="E279" s="10">
        <v>6592</v>
      </c>
      <c r="F279" s="10">
        <v>5568</v>
      </c>
      <c r="G279" s="10">
        <f>E279-F279</f>
        <v>1024</v>
      </c>
      <c r="H279" s="7">
        <f>IF(E279=0,0,F279/E279)</f>
        <v>0.84466019417475724</v>
      </c>
      <c r="I279" s="8" t="str">
        <f>IF(H279&gt;0.97,"Sold Out",IF(H279&gt;=0.85,"Critical",IF(H279&gt;=0.7,"Constrained","Healthy")))</f>
        <v>Constrained</v>
      </c>
      <c r="J279" s="6">
        <v>0</v>
      </c>
      <c r="K279" s="9"/>
    </row>
    <row r="280" spans="1:11">
      <c r="A280" s="1" t="s">
        <v>296</v>
      </c>
      <c r="B280" s="1" t="s">
        <v>147</v>
      </c>
      <c r="C280" s="1" t="s">
        <v>165</v>
      </c>
      <c r="D280" s="9">
        <v>46357</v>
      </c>
      <c r="E280" s="10">
        <v>6592</v>
      </c>
      <c r="F280" s="10">
        <v>5888</v>
      </c>
      <c r="G280" s="10">
        <f>E280-F280</f>
        <v>704</v>
      </c>
      <c r="H280" s="7">
        <f>IF(E280=0,0,F280/E280)</f>
        <v>0.89320388349514568</v>
      </c>
      <c r="I280" s="8" t="str">
        <f>IF(H280&gt;0.97,"Sold Out",IF(H280&gt;=0.85,"Critical",IF(H280&gt;=0.7,"Constrained","Healthy")))</f>
        <v>Critical</v>
      </c>
      <c r="J280" s="6">
        <v>0</v>
      </c>
      <c r="K280" s="9"/>
    </row>
    <row r="281" spans="1:11">
      <c r="A281" s="1" t="s">
        <v>296</v>
      </c>
      <c r="B281" s="1" t="s">
        <v>147</v>
      </c>
      <c r="C281" s="1" t="s">
        <v>165</v>
      </c>
      <c r="D281" s="9">
        <v>46388</v>
      </c>
      <c r="E281" s="10">
        <v>6592</v>
      </c>
      <c r="F281" s="10">
        <v>6208</v>
      </c>
      <c r="G281" s="10">
        <f>E281-F281</f>
        <v>384</v>
      </c>
      <c r="H281" s="7">
        <f>IF(E281=0,0,F281/E281)</f>
        <v>0.94174757281553401</v>
      </c>
      <c r="I281" s="8" t="str">
        <f>IF(H281&gt;0.97,"Sold Out",IF(H281&gt;=0.85,"Critical",IF(H281&gt;=0.7,"Constrained","Healthy")))</f>
        <v>Critical</v>
      </c>
      <c r="J281" s="6">
        <v>0</v>
      </c>
      <c r="K281" s="9"/>
    </row>
    <row r="282" spans="1:11">
      <c r="A282" s="1" t="s">
        <v>296</v>
      </c>
      <c r="B282" s="1" t="s">
        <v>147</v>
      </c>
      <c r="C282" s="1" t="s">
        <v>165</v>
      </c>
      <c r="D282" s="9">
        <v>46419</v>
      </c>
      <c r="E282" s="10">
        <v>6592</v>
      </c>
      <c r="F282" s="10">
        <v>6528</v>
      </c>
      <c r="G282" s="10">
        <f>E282-F282</f>
        <v>64</v>
      </c>
      <c r="H282" s="7">
        <f>IF(E282=0,0,F282/E282)</f>
        <v>0.99029126213592233</v>
      </c>
      <c r="I282" s="8" t="str">
        <f>IF(H282&gt;0.97,"Sold Out",IF(H282&gt;=0.85,"Critical",IF(H282&gt;=0.7,"Constrained","Healthy")))</f>
        <v>Sold Out</v>
      </c>
      <c r="J282" s="6">
        <v>0</v>
      </c>
      <c r="K282" s="9"/>
    </row>
    <row r="283" spans="1:11">
      <c r="A283" s="1" t="s">
        <v>296</v>
      </c>
      <c r="B283" s="1" t="s">
        <v>147</v>
      </c>
      <c r="C283" s="1" t="s">
        <v>165</v>
      </c>
      <c r="D283" s="9">
        <v>46447</v>
      </c>
      <c r="E283" s="10">
        <v>6592</v>
      </c>
      <c r="F283" s="10">
        <v>6912</v>
      </c>
      <c r="G283" s="10">
        <f>E283-F283</f>
        <v>-320</v>
      </c>
      <c r="H283" s="7">
        <f>IF(E283=0,0,F283/E283)</f>
        <v>1.0485436893203883</v>
      </c>
      <c r="I283" s="8" t="str">
        <f>IF(H283&gt;0.97,"Sold Out",IF(H283&gt;=0.85,"Critical",IF(H283&gt;=0.7,"Constrained","Healthy")))</f>
        <v>Sold Out</v>
      </c>
      <c r="J283" s="6">
        <v>0</v>
      </c>
      <c r="K283" s="9"/>
    </row>
    <row r="284" spans="1:11">
      <c r="A284" s="1" t="s">
        <v>296</v>
      </c>
      <c r="B284" s="1" t="s">
        <v>147</v>
      </c>
      <c r="C284" s="1" t="s">
        <v>165</v>
      </c>
      <c r="D284" s="9">
        <v>46478</v>
      </c>
      <c r="E284" s="10">
        <v>7936</v>
      </c>
      <c r="F284" s="10">
        <v>7296</v>
      </c>
      <c r="G284" s="10">
        <f>E284-F284</f>
        <v>640</v>
      </c>
      <c r="H284" s="7">
        <f>IF(E284=0,0,F284/E284)</f>
        <v>0.91935483870967738</v>
      </c>
      <c r="I284" s="8" t="str">
        <f>IF(H284&gt;0.97,"Sold Out",IF(H284&gt;=0.85,"Critical",IF(H284&gt;=0.7,"Constrained","Healthy")))</f>
        <v>Critical</v>
      </c>
      <c r="J284" s="6">
        <v>1344</v>
      </c>
      <c r="K284" s="9">
        <v>46478</v>
      </c>
    </row>
    <row r="285" spans="1:11">
      <c r="A285" s="1" t="s">
        <v>296</v>
      </c>
      <c r="B285" s="1" t="s">
        <v>147</v>
      </c>
      <c r="C285" s="1" t="s">
        <v>165</v>
      </c>
      <c r="D285" s="9">
        <v>46508</v>
      </c>
      <c r="E285" s="10">
        <v>7936</v>
      </c>
      <c r="F285" s="10">
        <v>7680</v>
      </c>
      <c r="G285" s="10">
        <f>E285-F285</f>
        <v>256</v>
      </c>
      <c r="H285" s="7">
        <f>IF(E285=0,0,F285/E285)</f>
        <v>0.967741935483871</v>
      </c>
      <c r="I285" s="8" t="str">
        <f>IF(H285&gt;0.97,"Sold Out",IF(H285&gt;=0.85,"Critical",IF(H285&gt;=0.7,"Constrained","Healthy")))</f>
        <v>Critical</v>
      </c>
      <c r="J285" s="6">
        <v>0</v>
      </c>
      <c r="K285" s="9"/>
    </row>
    <row r="286" spans="1:11">
      <c r="A286" s="1" t="s">
        <v>296</v>
      </c>
      <c r="B286" s="1" t="s">
        <v>147</v>
      </c>
      <c r="C286" s="1" t="s">
        <v>165</v>
      </c>
      <c r="D286" s="9">
        <v>46539</v>
      </c>
      <c r="E286" s="10">
        <v>7936</v>
      </c>
      <c r="F286" s="10">
        <v>8128</v>
      </c>
      <c r="G286" s="10">
        <f>E286-F286</f>
        <v>-192</v>
      </c>
      <c r="H286" s="7">
        <f>IF(E286=0,0,F286/E286)</f>
        <v>1.0241935483870968</v>
      </c>
      <c r="I286" s="8" t="str">
        <f>IF(H286&gt;0.97,"Sold Out",IF(H286&gt;=0.85,"Critical",IF(H286&gt;=0.7,"Constrained","Healthy")))</f>
        <v>Sold Out</v>
      </c>
      <c r="J286" s="6">
        <v>0</v>
      </c>
      <c r="K286" s="9"/>
    </row>
    <row r="287" spans="1:11">
      <c r="A287" s="1" t="s">
        <v>296</v>
      </c>
      <c r="B287" s="1" t="s">
        <v>147</v>
      </c>
      <c r="C287" s="1" t="s">
        <v>165</v>
      </c>
      <c r="D287" s="9">
        <v>46569</v>
      </c>
      <c r="E287" s="10">
        <v>7936</v>
      </c>
      <c r="F287" s="10">
        <v>8576</v>
      </c>
      <c r="G287" s="10">
        <f>E287-F287</f>
        <v>-640</v>
      </c>
      <c r="H287" s="7">
        <f>IF(E287=0,0,F287/E287)</f>
        <v>1.0806451612903225</v>
      </c>
      <c r="I287" s="8" t="str">
        <f>IF(H287&gt;0.97,"Sold Out",IF(H287&gt;=0.85,"Critical",IF(H287&gt;=0.7,"Constrained","Healthy")))</f>
        <v>Sold Out</v>
      </c>
      <c r="J287" s="6">
        <v>0</v>
      </c>
      <c r="K287" s="9"/>
    </row>
    <row r="288" spans="1:11">
      <c r="A288" s="1" t="s">
        <v>296</v>
      </c>
      <c r="B288" s="1" t="s">
        <v>147</v>
      </c>
      <c r="C288" s="1" t="s">
        <v>165</v>
      </c>
      <c r="D288" s="9">
        <v>46600</v>
      </c>
      <c r="E288" s="10">
        <v>7936</v>
      </c>
      <c r="F288" s="10">
        <v>9024</v>
      </c>
      <c r="G288" s="10">
        <f>E288-F288</f>
        <v>-1088</v>
      </c>
      <c r="H288" s="7">
        <f>IF(E288=0,0,F288/E288)</f>
        <v>1.1370967741935485</v>
      </c>
      <c r="I288" s="8" t="str">
        <f>IF(H288&gt;0.97,"Sold Out",IF(H288&gt;=0.85,"Critical",IF(H288&gt;=0.7,"Constrained","Healthy")))</f>
        <v>Sold Out</v>
      </c>
      <c r="J288" s="6">
        <v>0</v>
      </c>
      <c r="K288" s="9"/>
    </row>
    <row r="289" spans="1:11">
      <c r="A289" s="1" t="s">
        <v>296</v>
      </c>
      <c r="B289" s="1" t="s">
        <v>147</v>
      </c>
      <c r="C289" s="1" t="s">
        <v>165</v>
      </c>
      <c r="D289" s="9">
        <v>46631</v>
      </c>
      <c r="E289" s="10">
        <v>7936</v>
      </c>
      <c r="F289" s="10">
        <v>9536</v>
      </c>
      <c r="G289" s="10">
        <f>E289-F289</f>
        <v>-1600</v>
      </c>
      <c r="H289" s="7">
        <f>IF(E289=0,0,F289/E289)</f>
        <v>1.2016129032258065</v>
      </c>
      <c r="I289" s="8" t="str">
        <f>IF(H289&gt;0.97,"Sold Out",IF(H289&gt;=0.85,"Critical",IF(H289&gt;=0.7,"Constrained","Healthy")))</f>
        <v>Sold Out</v>
      </c>
      <c r="J289" s="6">
        <v>0</v>
      </c>
      <c r="K289" s="9"/>
    </row>
    <row r="290" spans="1:11">
      <c r="A290" s="1" t="s">
        <v>359</v>
      </c>
      <c r="B290" s="1" t="s">
        <v>147</v>
      </c>
      <c r="C290" s="1" t="s">
        <v>165</v>
      </c>
      <c r="D290" s="9">
        <v>46296</v>
      </c>
      <c r="E290" s="10">
        <v>8192</v>
      </c>
      <c r="F290" s="10">
        <v>7232</v>
      </c>
      <c r="G290" s="10">
        <f>E290-F290</f>
        <v>960</v>
      </c>
      <c r="H290" s="7">
        <f>IF(E290=0,0,F290/E290)</f>
        <v>0.8828125</v>
      </c>
      <c r="I290" s="8" t="str">
        <f>IF(H290&gt;0.97,"Sold Out",IF(H290&gt;=0.85,"Critical",IF(H290&gt;=0.7,"Constrained","Healthy")))</f>
        <v>Critical</v>
      </c>
      <c r="J290" s="6">
        <v>0</v>
      </c>
      <c r="K290" s="9"/>
    </row>
    <row r="291" spans="1:11">
      <c r="A291" s="1" t="s">
        <v>359</v>
      </c>
      <c r="B291" s="1" t="s">
        <v>147</v>
      </c>
      <c r="C291" s="1" t="s">
        <v>165</v>
      </c>
      <c r="D291" s="9">
        <v>46327</v>
      </c>
      <c r="E291" s="10">
        <v>8192</v>
      </c>
      <c r="F291" s="10">
        <v>7616</v>
      </c>
      <c r="G291" s="10">
        <f>E291-F291</f>
        <v>576</v>
      </c>
      <c r="H291" s="7">
        <f>IF(E291=0,0,F291/E291)</f>
        <v>0.9296875</v>
      </c>
      <c r="I291" s="8" t="str">
        <f>IF(H291&gt;0.97,"Sold Out",IF(H291&gt;=0.85,"Critical",IF(H291&gt;=0.7,"Constrained","Healthy")))</f>
        <v>Critical</v>
      </c>
      <c r="J291" s="6">
        <v>0</v>
      </c>
      <c r="K291" s="9"/>
    </row>
    <row r="292" spans="1:11">
      <c r="A292" s="1" t="s">
        <v>359</v>
      </c>
      <c r="B292" s="1" t="s">
        <v>147</v>
      </c>
      <c r="C292" s="1" t="s">
        <v>165</v>
      </c>
      <c r="D292" s="9">
        <v>46357</v>
      </c>
      <c r="E292" s="10">
        <v>8192</v>
      </c>
      <c r="F292" s="10">
        <v>8064</v>
      </c>
      <c r="G292" s="10">
        <f>E292-F292</f>
        <v>128</v>
      </c>
      <c r="H292" s="7">
        <f>IF(E292=0,0,F292/E292)</f>
        <v>0.984375</v>
      </c>
      <c r="I292" s="8" t="str">
        <f>IF(H292&gt;0.97,"Sold Out",IF(H292&gt;=0.85,"Critical",IF(H292&gt;=0.7,"Constrained","Healthy")))</f>
        <v>Sold Out</v>
      </c>
      <c r="J292" s="6">
        <v>0</v>
      </c>
      <c r="K292" s="9"/>
    </row>
    <row r="293" spans="1:11">
      <c r="A293" s="1" t="s">
        <v>359</v>
      </c>
      <c r="B293" s="1" t="s">
        <v>147</v>
      </c>
      <c r="C293" s="1" t="s">
        <v>165</v>
      </c>
      <c r="D293" s="9">
        <v>46388</v>
      </c>
      <c r="E293" s="10">
        <v>8192</v>
      </c>
      <c r="F293" s="10">
        <v>8512</v>
      </c>
      <c r="G293" s="10">
        <f>E293-F293</f>
        <v>-320</v>
      </c>
      <c r="H293" s="7">
        <f>IF(E293=0,0,F293/E293)</f>
        <v>1.0390625</v>
      </c>
      <c r="I293" s="8" t="str">
        <f>IF(H293&gt;0.97,"Sold Out",IF(H293&gt;=0.85,"Critical",IF(H293&gt;=0.7,"Constrained","Healthy")))</f>
        <v>Sold Out</v>
      </c>
      <c r="J293" s="6">
        <v>0</v>
      </c>
      <c r="K293" s="9"/>
    </row>
    <row r="294" spans="1:11">
      <c r="A294" s="1" t="s">
        <v>359</v>
      </c>
      <c r="B294" s="1" t="s">
        <v>147</v>
      </c>
      <c r="C294" s="1" t="s">
        <v>165</v>
      </c>
      <c r="D294" s="9">
        <v>46419</v>
      </c>
      <c r="E294" s="10">
        <v>8192</v>
      </c>
      <c r="F294" s="10">
        <v>8960</v>
      </c>
      <c r="G294" s="10">
        <f>E294-F294</f>
        <v>-768</v>
      </c>
      <c r="H294" s="7">
        <f>IF(E294=0,0,F294/E294)</f>
        <v>1.09375</v>
      </c>
      <c r="I294" s="8" t="str">
        <f>IF(H294&gt;0.97,"Sold Out",IF(H294&gt;=0.85,"Critical",IF(H294&gt;=0.7,"Constrained","Healthy")))</f>
        <v>Sold Out</v>
      </c>
      <c r="J294" s="6">
        <v>0</v>
      </c>
      <c r="K294" s="9"/>
    </row>
    <row r="295" spans="1:11">
      <c r="A295" s="1" t="s">
        <v>359</v>
      </c>
      <c r="B295" s="1" t="s">
        <v>147</v>
      </c>
      <c r="C295" s="1" t="s">
        <v>165</v>
      </c>
      <c r="D295" s="9">
        <v>46447</v>
      </c>
      <c r="E295" s="10">
        <v>8192</v>
      </c>
      <c r="F295" s="10">
        <v>9472</v>
      </c>
      <c r="G295" s="10">
        <f>E295-F295</f>
        <v>-1280</v>
      </c>
      <c r="H295" s="7">
        <f>IF(E295=0,0,F295/E295)</f>
        <v>1.15625</v>
      </c>
      <c r="I295" s="8" t="str">
        <f>IF(H295&gt;0.97,"Sold Out",IF(H295&gt;=0.85,"Critical",IF(H295&gt;=0.7,"Constrained","Healthy")))</f>
        <v>Sold Out</v>
      </c>
      <c r="J295" s="6">
        <v>0</v>
      </c>
      <c r="K295" s="9"/>
    </row>
    <row r="296" spans="1:11">
      <c r="A296" s="1" t="s">
        <v>359</v>
      </c>
      <c r="B296" s="1" t="s">
        <v>147</v>
      </c>
      <c r="C296" s="1" t="s">
        <v>165</v>
      </c>
      <c r="D296" s="9">
        <v>46478</v>
      </c>
      <c r="E296" s="10">
        <v>8192</v>
      </c>
      <c r="F296" s="10">
        <v>9984</v>
      </c>
      <c r="G296" s="10">
        <f>E296-F296</f>
        <v>-1792</v>
      </c>
      <c r="H296" s="7">
        <f>IF(E296=0,0,F296/E296)</f>
        <v>1.21875</v>
      </c>
      <c r="I296" s="8" t="str">
        <f>IF(H296&gt;0.97,"Sold Out",IF(H296&gt;=0.85,"Critical",IF(H296&gt;=0.7,"Constrained","Healthy")))</f>
        <v>Sold Out</v>
      </c>
      <c r="J296" s="6">
        <v>0</v>
      </c>
      <c r="K296" s="9"/>
    </row>
    <row r="297" spans="1:11">
      <c r="A297" s="1" t="s">
        <v>359</v>
      </c>
      <c r="B297" s="1" t="s">
        <v>147</v>
      </c>
      <c r="C297" s="1" t="s">
        <v>165</v>
      </c>
      <c r="D297" s="9">
        <v>46508</v>
      </c>
      <c r="E297" s="10">
        <v>8192</v>
      </c>
      <c r="F297" s="10">
        <v>10560</v>
      </c>
      <c r="G297" s="10">
        <f>E297-F297</f>
        <v>-2368</v>
      </c>
      <c r="H297" s="7">
        <f>IF(E297=0,0,F297/E297)</f>
        <v>1.2890625</v>
      </c>
      <c r="I297" s="8" t="str">
        <f>IF(H297&gt;0.97,"Sold Out",IF(H297&gt;=0.85,"Critical",IF(H297&gt;=0.7,"Constrained","Healthy")))</f>
        <v>Sold Out</v>
      </c>
      <c r="J297" s="6">
        <v>0</v>
      </c>
      <c r="K297" s="9"/>
    </row>
    <row r="298" spans="1:11">
      <c r="A298" s="1" t="s">
        <v>359</v>
      </c>
      <c r="B298" s="1" t="s">
        <v>147</v>
      </c>
      <c r="C298" s="1" t="s">
        <v>165</v>
      </c>
      <c r="D298" s="9">
        <v>46539</v>
      </c>
      <c r="E298" s="10">
        <v>10240</v>
      </c>
      <c r="F298" s="10">
        <v>11136</v>
      </c>
      <c r="G298" s="10">
        <f>E298-F298</f>
        <v>-896</v>
      </c>
      <c r="H298" s="7">
        <f>IF(E298=0,0,F298/E298)</f>
        <v>1.0874999999999999</v>
      </c>
      <c r="I298" s="8" t="str">
        <f>IF(H298&gt;0.97,"Sold Out",IF(H298&gt;=0.85,"Critical",IF(H298&gt;=0.7,"Constrained","Healthy")))</f>
        <v>Sold Out</v>
      </c>
      <c r="J298" s="6">
        <v>2048</v>
      </c>
      <c r="K298" s="9">
        <v>46539</v>
      </c>
    </row>
    <row r="299" spans="1:11">
      <c r="A299" s="1" t="s">
        <v>359</v>
      </c>
      <c r="B299" s="1" t="s">
        <v>147</v>
      </c>
      <c r="C299" s="1" t="s">
        <v>165</v>
      </c>
      <c r="D299" s="9">
        <v>46569</v>
      </c>
      <c r="E299" s="10">
        <v>10240</v>
      </c>
      <c r="F299" s="10">
        <v>11776</v>
      </c>
      <c r="G299" s="10">
        <f>E299-F299</f>
        <v>-1536</v>
      </c>
      <c r="H299" s="7">
        <f>IF(E299=0,0,F299/E299)</f>
        <v>1.1499999999999999</v>
      </c>
      <c r="I299" s="8" t="str">
        <f>IF(H299&gt;0.97,"Sold Out",IF(H299&gt;=0.85,"Critical",IF(H299&gt;=0.7,"Constrained","Healthy")))</f>
        <v>Sold Out</v>
      </c>
      <c r="J299" s="6">
        <v>0</v>
      </c>
      <c r="K299" s="9"/>
    </row>
    <row r="300" spans="1:11">
      <c r="A300" s="1" t="s">
        <v>359</v>
      </c>
      <c r="B300" s="1" t="s">
        <v>147</v>
      </c>
      <c r="C300" s="1" t="s">
        <v>165</v>
      </c>
      <c r="D300" s="9">
        <v>46600</v>
      </c>
      <c r="E300" s="10">
        <v>10240</v>
      </c>
      <c r="F300" s="10">
        <v>12416</v>
      </c>
      <c r="G300" s="10">
        <f>E300-F300</f>
        <v>-2176</v>
      </c>
      <c r="H300" s="7">
        <f>IF(E300=0,0,F300/E300)</f>
        <v>1.2124999999999999</v>
      </c>
      <c r="I300" s="8" t="str">
        <f>IF(H300&gt;0.97,"Sold Out",IF(H300&gt;=0.85,"Critical",IF(H300&gt;=0.7,"Constrained","Healthy")))</f>
        <v>Sold Out</v>
      </c>
      <c r="J300" s="6">
        <v>0</v>
      </c>
      <c r="K300" s="9"/>
    </row>
    <row r="301" spans="1:11">
      <c r="A301" s="1" t="s">
        <v>359</v>
      </c>
      <c r="B301" s="1" t="s">
        <v>147</v>
      </c>
      <c r="C301" s="1" t="s">
        <v>165</v>
      </c>
      <c r="D301" s="9">
        <v>46631</v>
      </c>
      <c r="E301" s="10">
        <v>10240</v>
      </c>
      <c r="F301" s="10">
        <v>13120</v>
      </c>
      <c r="G301" s="10">
        <f>E301-F301</f>
        <v>-2880</v>
      </c>
      <c r="H301" s="7">
        <f>IF(E301=0,0,F301/E301)</f>
        <v>1.28125</v>
      </c>
      <c r="I301" s="8" t="str">
        <f>IF(H301&gt;0.97,"Sold Out",IF(H301&gt;=0.85,"Critical",IF(H301&gt;=0.7,"Constrained","Healthy")))</f>
        <v>Sold Out</v>
      </c>
      <c r="J301" s="6">
        <v>0</v>
      </c>
      <c r="K301" s="9"/>
    </row>
    <row r="302" spans="1:11">
      <c r="A302" s="1" t="s">
        <v>330</v>
      </c>
      <c r="B302" s="1" t="s">
        <v>147</v>
      </c>
      <c r="C302" s="1" t="s">
        <v>165</v>
      </c>
      <c r="D302" s="9">
        <v>46296</v>
      </c>
      <c r="E302" s="10">
        <v>3264</v>
      </c>
      <c r="F302" s="10">
        <v>1984</v>
      </c>
      <c r="G302" s="10">
        <f>E302-F302</f>
        <v>1280</v>
      </c>
      <c r="H302" s="7">
        <f>IF(E302=0,0,F302/E302)</f>
        <v>0.60784313725490191</v>
      </c>
      <c r="I302" s="8" t="str">
        <f>IF(H302&gt;0.97,"Sold Out",IF(H302&gt;=0.85,"Critical",IF(H302&gt;=0.7,"Constrained","Healthy")))</f>
        <v>Healthy</v>
      </c>
      <c r="J302" s="6">
        <v>0</v>
      </c>
      <c r="K302" s="9"/>
    </row>
    <row r="303" spans="1:11">
      <c r="A303" s="1" t="s">
        <v>330</v>
      </c>
      <c r="B303" s="1" t="s">
        <v>147</v>
      </c>
      <c r="C303" s="1" t="s">
        <v>165</v>
      </c>
      <c r="D303" s="9">
        <v>46327</v>
      </c>
      <c r="E303" s="10">
        <v>3264</v>
      </c>
      <c r="F303" s="10">
        <v>2048</v>
      </c>
      <c r="G303" s="10">
        <f>E303-F303</f>
        <v>1216</v>
      </c>
      <c r="H303" s="7">
        <f>IF(E303=0,0,F303/E303)</f>
        <v>0.62745098039215685</v>
      </c>
      <c r="I303" s="8" t="str">
        <f>IF(H303&gt;0.97,"Sold Out",IF(H303&gt;=0.85,"Critical",IF(H303&gt;=0.7,"Constrained","Healthy")))</f>
        <v>Healthy</v>
      </c>
      <c r="J303" s="6">
        <v>0</v>
      </c>
      <c r="K303" s="9"/>
    </row>
    <row r="304" spans="1:11">
      <c r="A304" s="1" t="s">
        <v>330</v>
      </c>
      <c r="B304" s="1" t="s">
        <v>147</v>
      </c>
      <c r="C304" s="1" t="s">
        <v>165</v>
      </c>
      <c r="D304" s="9">
        <v>46357</v>
      </c>
      <c r="E304" s="10">
        <v>3264</v>
      </c>
      <c r="F304" s="10">
        <v>2112</v>
      </c>
      <c r="G304" s="10">
        <f>E304-F304</f>
        <v>1152</v>
      </c>
      <c r="H304" s="7">
        <f>IF(E304=0,0,F304/E304)</f>
        <v>0.6470588235294118</v>
      </c>
      <c r="I304" s="8" t="str">
        <f>IF(H304&gt;0.97,"Sold Out",IF(H304&gt;=0.85,"Critical",IF(H304&gt;=0.7,"Constrained","Healthy")))</f>
        <v>Healthy</v>
      </c>
      <c r="J304" s="6">
        <v>0</v>
      </c>
      <c r="K304" s="9"/>
    </row>
    <row r="305" spans="1:11">
      <c r="A305" s="1" t="s">
        <v>330</v>
      </c>
      <c r="B305" s="1" t="s">
        <v>147</v>
      </c>
      <c r="C305" s="1" t="s">
        <v>165</v>
      </c>
      <c r="D305" s="9">
        <v>46388</v>
      </c>
      <c r="E305" s="10">
        <v>3264</v>
      </c>
      <c r="F305" s="10">
        <v>2176</v>
      </c>
      <c r="G305" s="10">
        <f>E305-F305</f>
        <v>1088</v>
      </c>
      <c r="H305" s="7">
        <f>IF(E305=0,0,F305/E305)</f>
        <v>0.66666666666666663</v>
      </c>
      <c r="I305" s="8" t="str">
        <f>IF(H305&gt;0.97,"Sold Out",IF(H305&gt;=0.85,"Critical",IF(H305&gt;=0.7,"Constrained","Healthy")))</f>
        <v>Healthy</v>
      </c>
      <c r="J305" s="6">
        <v>0</v>
      </c>
      <c r="K305" s="9"/>
    </row>
    <row r="306" spans="1:11">
      <c r="A306" s="1" t="s">
        <v>330</v>
      </c>
      <c r="B306" s="1" t="s">
        <v>147</v>
      </c>
      <c r="C306" s="1" t="s">
        <v>165</v>
      </c>
      <c r="D306" s="9">
        <v>46419</v>
      </c>
      <c r="E306" s="10">
        <v>3264</v>
      </c>
      <c r="F306" s="10">
        <v>2240</v>
      </c>
      <c r="G306" s="10">
        <f>E306-F306</f>
        <v>1024</v>
      </c>
      <c r="H306" s="7">
        <f>IF(E306=0,0,F306/E306)</f>
        <v>0.68627450980392157</v>
      </c>
      <c r="I306" s="8" t="str">
        <f>IF(H306&gt;0.97,"Sold Out",IF(H306&gt;=0.85,"Critical",IF(H306&gt;=0.7,"Constrained","Healthy")))</f>
        <v>Healthy</v>
      </c>
      <c r="J306" s="6">
        <v>0</v>
      </c>
      <c r="K306" s="9"/>
    </row>
    <row r="307" spans="1:11">
      <c r="A307" s="1" t="s">
        <v>330</v>
      </c>
      <c r="B307" s="1" t="s">
        <v>147</v>
      </c>
      <c r="C307" s="1" t="s">
        <v>165</v>
      </c>
      <c r="D307" s="9">
        <v>46447</v>
      </c>
      <c r="E307" s="10">
        <v>3264</v>
      </c>
      <c r="F307" s="10">
        <v>2368</v>
      </c>
      <c r="G307" s="10">
        <f>E307-F307</f>
        <v>896</v>
      </c>
      <c r="H307" s="7">
        <f>IF(E307=0,0,F307/E307)</f>
        <v>0.72549019607843135</v>
      </c>
      <c r="I307" s="8" t="str">
        <f>IF(H307&gt;0.97,"Sold Out",IF(H307&gt;=0.85,"Critical",IF(H307&gt;=0.7,"Constrained","Healthy")))</f>
        <v>Constrained</v>
      </c>
      <c r="J307" s="6">
        <v>0</v>
      </c>
      <c r="K307" s="9"/>
    </row>
    <row r="308" spans="1:11">
      <c r="A308" s="1" t="s">
        <v>330</v>
      </c>
      <c r="B308" s="1" t="s">
        <v>147</v>
      </c>
      <c r="C308" s="1" t="s">
        <v>165</v>
      </c>
      <c r="D308" s="9">
        <v>46478</v>
      </c>
      <c r="E308" s="10">
        <v>3264</v>
      </c>
      <c r="F308" s="10">
        <v>2496</v>
      </c>
      <c r="G308" s="10">
        <f>E308-F308</f>
        <v>768</v>
      </c>
      <c r="H308" s="7">
        <f>IF(E308=0,0,F308/E308)</f>
        <v>0.76470588235294112</v>
      </c>
      <c r="I308" s="8" t="str">
        <f>IF(H308&gt;0.97,"Sold Out",IF(H308&gt;=0.85,"Critical",IF(H308&gt;=0.7,"Constrained","Healthy")))</f>
        <v>Constrained</v>
      </c>
      <c r="J308" s="6">
        <v>0</v>
      </c>
      <c r="K308" s="9"/>
    </row>
    <row r="309" spans="1:11">
      <c r="A309" s="1" t="s">
        <v>330</v>
      </c>
      <c r="B309" s="1" t="s">
        <v>147</v>
      </c>
      <c r="C309" s="1" t="s">
        <v>165</v>
      </c>
      <c r="D309" s="9">
        <v>46508</v>
      </c>
      <c r="E309" s="10">
        <v>3264</v>
      </c>
      <c r="F309" s="10">
        <v>2624</v>
      </c>
      <c r="G309" s="10">
        <f>E309-F309</f>
        <v>640</v>
      </c>
      <c r="H309" s="7">
        <f>IF(E309=0,0,F309/E309)</f>
        <v>0.80392156862745101</v>
      </c>
      <c r="I309" s="8" t="str">
        <f>IF(H309&gt;0.97,"Sold Out",IF(H309&gt;=0.85,"Critical",IF(H309&gt;=0.7,"Constrained","Healthy")))</f>
        <v>Constrained</v>
      </c>
      <c r="J309" s="6">
        <v>0</v>
      </c>
      <c r="K309" s="9"/>
    </row>
    <row r="310" spans="1:11">
      <c r="A310" s="1" t="s">
        <v>330</v>
      </c>
      <c r="B310" s="1" t="s">
        <v>147</v>
      </c>
      <c r="C310" s="1" t="s">
        <v>165</v>
      </c>
      <c r="D310" s="9">
        <v>46539</v>
      </c>
      <c r="E310" s="10">
        <v>4416</v>
      </c>
      <c r="F310" s="10">
        <v>2752</v>
      </c>
      <c r="G310" s="10">
        <f>E310-F310</f>
        <v>1664</v>
      </c>
      <c r="H310" s="7">
        <f>IF(E310=0,0,F310/E310)</f>
        <v>0.62318840579710144</v>
      </c>
      <c r="I310" s="8" t="str">
        <f>IF(H310&gt;0.97,"Sold Out",IF(H310&gt;=0.85,"Critical",IF(H310&gt;=0.7,"Constrained","Healthy")))</f>
        <v>Healthy</v>
      </c>
      <c r="J310" s="6">
        <v>1152</v>
      </c>
      <c r="K310" s="9">
        <v>46539</v>
      </c>
    </row>
    <row r="311" spans="1:11">
      <c r="A311" s="1" t="s">
        <v>330</v>
      </c>
      <c r="B311" s="1" t="s">
        <v>147</v>
      </c>
      <c r="C311" s="1" t="s">
        <v>165</v>
      </c>
      <c r="D311" s="9">
        <v>46569</v>
      </c>
      <c r="E311" s="10">
        <v>4416</v>
      </c>
      <c r="F311" s="10">
        <v>2880</v>
      </c>
      <c r="G311" s="10">
        <f>E311-F311</f>
        <v>1536</v>
      </c>
      <c r="H311" s="7">
        <f>IF(E311=0,0,F311/E311)</f>
        <v>0.65217391304347827</v>
      </c>
      <c r="I311" s="8" t="str">
        <f>IF(H311&gt;0.97,"Sold Out",IF(H311&gt;=0.85,"Critical",IF(H311&gt;=0.7,"Constrained","Healthy")))</f>
        <v>Healthy</v>
      </c>
      <c r="J311" s="6">
        <v>0</v>
      </c>
      <c r="K311" s="9"/>
    </row>
    <row r="312" spans="1:11">
      <c r="A312" s="1" t="s">
        <v>330</v>
      </c>
      <c r="B312" s="1" t="s">
        <v>147</v>
      </c>
      <c r="C312" s="1" t="s">
        <v>165</v>
      </c>
      <c r="D312" s="9">
        <v>46600</v>
      </c>
      <c r="E312" s="10">
        <v>4416</v>
      </c>
      <c r="F312" s="10">
        <v>3008</v>
      </c>
      <c r="G312" s="10">
        <f>E312-F312</f>
        <v>1408</v>
      </c>
      <c r="H312" s="7">
        <f>IF(E312=0,0,F312/E312)</f>
        <v>0.6811594202898551</v>
      </c>
      <c r="I312" s="8" t="str">
        <f>IF(H312&gt;0.97,"Sold Out",IF(H312&gt;=0.85,"Critical",IF(H312&gt;=0.7,"Constrained","Healthy")))</f>
        <v>Healthy</v>
      </c>
      <c r="J312" s="6">
        <v>0</v>
      </c>
      <c r="K312" s="9"/>
    </row>
    <row r="313" spans="1:11">
      <c r="A313" s="1" t="s">
        <v>330</v>
      </c>
      <c r="B313" s="1" t="s">
        <v>147</v>
      </c>
      <c r="C313" s="1" t="s">
        <v>165</v>
      </c>
      <c r="D313" s="9">
        <v>46631</v>
      </c>
      <c r="E313" s="10">
        <v>4416</v>
      </c>
      <c r="F313" s="10">
        <v>3136</v>
      </c>
      <c r="G313" s="10">
        <f>E313-F313</f>
        <v>1280</v>
      </c>
      <c r="H313" s="7">
        <f>IF(E313=0,0,F313/E313)</f>
        <v>0.71014492753623193</v>
      </c>
      <c r="I313" s="8" t="str">
        <f>IF(H313&gt;0.97,"Sold Out",IF(H313&gt;=0.85,"Critical",IF(H313&gt;=0.7,"Constrained","Healthy")))</f>
        <v>Constrained</v>
      </c>
      <c r="J313" s="6">
        <v>0</v>
      </c>
      <c r="K313" s="9"/>
    </row>
    <row r="314" spans="1:11">
      <c r="A314" s="1" t="s">
        <v>451</v>
      </c>
      <c r="B314" s="1" t="s">
        <v>147</v>
      </c>
      <c r="C314" s="1" t="s">
        <v>165</v>
      </c>
      <c r="D314" s="9">
        <v>46296</v>
      </c>
      <c r="E314" s="10">
        <v>3200</v>
      </c>
      <c r="F314" s="10">
        <v>2048</v>
      </c>
      <c r="G314" s="10">
        <f>E314-F314</f>
        <v>1152</v>
      </c>
      <c r="H314" s="7">
        <f>IF(E314=0,0,F314/E314)</f>
        <v>0.64</v>
      </c>
      <c r="I314" s="8" t="str">
        <f>IF(H314&gt;0.97,"Sold Out",IF(H314&gt;=0.85,"Critical",IF(H314&gt;=0.7,"Constrained","Healthy")))</f>
        <v>Healthy</v>
      </c>
      <c r="J314" s="6">
        <v>0</v>
      </c>
      <c r="K314" s="9"/>
    </row>
    <row r="315" spans="1:11">
      <c r="A315" s="1" t="s">
        <v>451</v>
      </c>
      <c r="B315" s="1" t="s">
        <v>147</v>
      </c>
      <c r="C315" s="1" t="s">
        <v>165</v>
      </c>
      <c r="D315" s="9">
        <v>46327</v>
      </c>
      <c r="E315" s="10">
        <v>3200</v>
      </c>
      <c r="F315" s="10">
        <v>2112</v>
      </c>
      <c r="G315" s="10">
        <f>E315-F315</f>
        <v>1088</v>
      </c>
      <c r="H315" s="7">
        <f>IF(E315=0,0,F315/E315)</f>
        <v>0.66</v>
      </c>
      <c r="I315" s="8" t="str">
        <f>IF(H315&gt;0.97,"Sold Out",IF(H315&gt;=0.85,"Critical",IF(H315&gt;=0.7,"Constrained","Healthy")))</f>
        <v>Healthy</v>
      </c>
      <c r="J315" s="6">
        <v>0</v>
      </c>
      <c r="K315" s="9"/>
    </row>
    <row r="316" spans="1:11">
      <c r="A316" s="1" t="s">
        <v>451</v>
      </c>
      <c r="B316" s="1" t="s">
        <v>147</v>
      </c>
      <c r="C316" s="1" t="s">
        <v>165</v>
      </c>
      <c r="D316" s="9">
        <v>46357</v>
      </c>
      <c r="E316" s="10">
        <v>3200</v>
      </c>
      <c r="F316" s="10">
        <v>2176</v>
      </c>
      <c r="G316" s="10">
        <f>E316-F316</f>
        <v>1024</v>
      </c>
      <c r="H316" s="7">
        <f>IF(E316=0,0,F316/E316)</f>
        <v>0.68</v>
      </c>
      <c r="I316" s="8" t="str">
        <f>IF(H316&gt;0.97,"Sold Out",IF(H316&gt;=0.85,"Critical",IF(H316&gt;=0.7,"Constrained","Healthy")))</f>
        <v>Healthy</v>
      </c>
      <c r="J316" s="6">
        <v>0</v>
      </c>
      <c r="K316" s="9"/>
    </row>
    <row r="317" spans="1:11">
      <c r="A317" s="1" t="s">
        <v>451</v>
      </c>
      <c r="B317" s="1" t="s">
        <v>147</v>
      </c>
      <c r="C317" s="1" t="s">
        <v>165</v>
      </c>
      <c r="D317" s="9">
        <v>46388</v>
      </c>
      <c r="E317" s="10">
        <v>3200</v>
      </c>
      <c r="F317" s="10">
        <v>2240</v>
      </c>
      <c r="G317" s="10">
        <f>E317-F317</f>
        <v>960</v>
      </c>
      <c r="H317" s="7">
        <f>IF(E317=0,0,F317/E317)</f>
        <v>0.7</v>
      </c>
      <c r="I317" s="8" t="str">
        <f>IF(H317&gt;0.97,"Sold Out",IF(H317&gt;=0.85,"Critical",IF(H317&gt;=0.7,"Constrained","Healthy")))</f>
        <v>Constrained</v>
      </c>
      <c r="J317" s="6">
        <v>0</v>
      </c>
      <c r="K317" s="9"/>
    </row>
    <row r="318" spans="1:11">
      <c r="A318" s="1" t="s">
        <v>451</v>
      </c>
      <c r="B318" s="1" t="s">
        <v>147</v>
      </c>
      <c r="C318" s="1" t="s">
        <v>165</v>
      </c>
      <c r="D318" s="9">
        <v>46419</v>
      </c>
      <c r="E318" s="10">
        <v>3200</v>
      </c>
      <c r="F318" s="10">
        <v>2368</v>
      </c>
      <c r="G318" s="10">
        <f>E318-F318</f>
        <v>832</v>
      </c>
      <c r="H318" s="7">
        <f>IF(E318=0,0,F318/E318)</f>
        <v>0.74</v>
      </c>
      <c r="I318" s="8" t="str">
        <f>IF(H318&gt;0.97,"Sold Out",IF(H318&gt;=0.85,"Critical",IF(H318&gt;=0.7,"Constrained","Healthy")))</f>
        <v>Constrained</v>
      </c>
      <c r="J318" s="6">
        <v>0</v>
      </c>
      <c r="K318" s="9"/>
    </row>
    <row r="319" spans="1:11">
      <c r="A319" s="1" t="s">
        <v>451</v>
      </c>
      <c r="B319" s="1" t="s">
        <v>147</v>
      </c>
      <c r="C319" s="1" t="s">
        <v>165</v>
      </c>
      <c r="D319" s="9">
        <v>46447</v>
      </c>
      <c r="E319" s="10">
        <v>3200</v>
      </c>
      <c r="F319" s="10">
        <v>2496</v>
      </c>
      <c r="G319" s="10">
        <f>E319-F319</f>
        <v>704</v>
      </c>
      <c r="H319" s="7">
        <f>IF(E319=0,0,F319/E319)</f>
        <v>0.78</v>
      </c>
      <c r="I319" s="8" t="str">
        <f>IF(H319&gt;0.97,"Sold Out",IF(H319&gt;=0.85,"Critical",IF(H319&gt;=0.7,"Constrained","Healthy")))</f>
        <v>Constrained</v>
      </c>
      <c r="J319" s="6">
        <v>0</v>
      </c>
      <c r="K319" s="9"/>
    </row>
    <row r="320" spans="1:11">
      <c r="A320" s="1" t="s">
        <v>451</v>
      </c>
      <c r="B320" s="1" t="s">
        <v>147</v>
      </c>
      <c r="C320" s="1" t="s">
        <v>165</v>
      </c>
      <c r="D320" s="9">
        <v>46478</v>
      </c>
      <c r="E320" s="10">
        <v>3904</v>
      </c>
      <c r="F320" s="10">
        <v>2624</v>
      </c>
      <c r="G320" s="10">
        <f>E320-F320</f>
        <v>1280</v>
      </c>
      <c r="H320" s="7">
        <f>IF(E320=0,0,F320/E320)</f>
        <v>0.67213114754098358</v>
      </c>
      <c r="I320" s="8" t="str">
        <f>IF(H320&gt;0.97,"Sold Out",IF(H320&gt;=0.85,"Critical",IF(H320&gt;=0.7,"Constrained","Healthy")))</f>
        <v>Healthy</v>
      </c>
      <c r="J320" s="6">
        <v>704</v>
      </c>
      <c r="K320" s="9">
        <v>46478</v>
      </c>
    </row>
    <row r="321" spans="1:11">
      <c r="A321" s="1" t="s">
        <v>451</v>
      </c>
      <c r="B321" s="1" t="s">
        <v>147</v>
      </c>
      <c r="C321" s="1" t="s">
        <v>165</v>
      </c>
      <c r="D321" s="9">
        <v>46508</v>
      </c>
      <c r="E321" s="10">
        <v>3904</v>
      </c>
      <c r="F321" s="10">
        <v>2752</v>
      </c>
      <c r="G321" s="10">
        <f>E321-F321</f>
        <v>1152</v>
      </c>
      <c r="H321" s="7">
        <f>IF(E321=0,0,F321/E321)</f>
        <v>0.70491803278688525</v>
      </c>
      <c r="I321" s="8" t="str">
        <f>IF(H321&gt;0.97,"Sold Out",IF(H321&gt;=0.85,"Critical",IF(H321&gt;=0.7,"Constrained","Healthy")))</f>
        <v>Constrained</v>
      </c>
      <c r="J321" s="6">
        <v>0</v>
      </c>
      <c r="K321" s="9"/>
    </row>
    <row r="322" spans="1:11">
      <c r="A322" s="1" t="s">
        <v>451</v>
      </c>
      <c r="B322" s="1" t="s">
        <v>147</v>
      </c>
      <c r="C322" s="1" t="s">
        <v>165</v>
      </c>
      <c r="D322" s="9">
        <v>46539</v>
      </c>
      <c r="E322" s="10">
        <v>3904</v>
      </c>
      <c r="F322" s="10">
        <v>2880</v>
      </c>
      <c r="G322" s="10">
        <f>E322-F322</f>
        <v>1024</v>
      </c>
      <c r="H322" s="7">
        <f>IF(E322=0,0,F322/E322)</f>
        <v>0.73770491803278693</v>
      </c>
      <c r="I322" s="8" t="str">
        <f>IF(H322&gt;0.97,"Sold Out",IF(H322&gt;=0.85,"Critical",IF(H322&gt;=0.7,"Constrained","Healthy")))</f>
        <v>Constrained</v>
      </c>
      <c r="J322" s="6">
        <v>0</v>
      </c>
      <c r="K322" s="9"/>
    </row>
    <row r="323" spans="1:11">
      <c r="A323" s="1" t="s">
        <v>451</v>
      </c>
      <c r="B323" s="1" t="s">
        <v>147</v>
      </c>
      <c r="C323" s="1" t="s">
        <v>165</v>
      </c>
      <c r="D323" s="9">
        <v>46569</v>
      </c>
      <c r="E323" s="10">
        <v>3904</v>
      </c>
      <c r="F323" s="10">
        <v>3008</v>
      </c>
      <c r="G323" s="10">
        <f>E323-F323</f>
        <v>896</v>
      </c>
      <c r="H323" s="7">
        <f>IF(E323=0,0,F323/E323)</f>
        <v>0.77049180327868849</v>
      </c>
      <c r="I323" s="8" t="str">
        <f>IF(H323&gt;0.97,"Sold Out",IF(H323&gt;=0.85,"Critical",IF(H323&gt;=0.7,"Constrained","Healthy")))</f>
        <v>Constrained</v>
      </c>
      <c r="J323" s="6">
        <v>0</v>
      </c>
      <c r="K323" s="9"/>
    </row>
    <row r="324" spans="1:11">
      <c r="A324" s="1" t="s">
        <v>451</v>
      </c>
      <c r="B324" s="1" t="s">
        <v>147</v>
      </c>
      <c r="C324" s="1" t="s">
        <v>165</v>
      </c>
      <c r="D324" s="9">
        <v>46600</v>
      </c>
      <c r="E324" s="10">
        <v>3904</v>
      </c>
      <c r="F324" s="10">
        <v>3136</v>
      </c>
      <c r="G324" s="10">
        <f>E324-F324</f>
        <v>768</v>
      </c>
      <c r="H324" s="7">
        <f>IF(E324=0,0,F324/E324)</f>
        <v>0.80327868852459017</v>
      </c>
      <c r="I324" s="8" t="str">
        <f>IF(H324&gt;0.97,"Sold Out",IF(H324&gt;=0.85,"Critical",IF(H324&gt;=0.7,"Constrained","Healthy")))</f>
        <v>Constrained</v>
      </c>
      <c r="J324" s="6">
        <v>0</v>
      </c>
      <c r="K324" s="9"/>
    </row>
    <row r="325" spans="1:11">
      <c r="A325" s="1" t="s">
        <v>451</v>
      </c>
      <c r="B325" s="1" t="s">
        <v>147</v>
      </c>
      <c r="C325" s="1" t="s">
        <v>165</v>
      </c>
      <c r="D325" s="9">
        <v>46631</v>
      </c>
      <c r="E325" s="10">
        <v>3904</v>
      </c>
      <c r="F325" s="10">
        <v>3264</v>
      </c>
      <c r="G325" s="10">
        <f>E325-F325</f>
        <v>640</v>
      </c>
      <c r="H325" s="7">
        <f>IF(E325=0,0,F325/E325)</f>
        <v>0.83606557377049184</v>
      </c>
      <c r="I325" s="8" t="str">
        <f>IF(H325&gt;0.97,"Sold Out",IF(H325&gt;=0.85,"Critical",IF(H325&gt;=0.7,"Constrained","Healthy")))</f>
        <v>Constrained</v>
      </c>
      <c r="J325" s="6">
        <v>0</v>
      </c>
      <c r="K325" s="9"/>
    </row>
    <row r="326" spans="1:11">
      <c r="A326" s="1" t="s">
        <v>146</v>
      </c>
      <c r="B326" s="1" t="s">
        <v>147</v>
      </c>
      <c r="C326" s="1" t="s">
        <v>174</v>
      </c>
      <c r="D326" s="9">
        <v>46296</v>
      </c>
      <c r="E326" s="10">
        <v>3072</v>
      </c>
      <c r="F326" s="10">
        <v>3200</v>
      </c>
      <c r="G326" s="10">
        <f>E326-F326</f>
        <v>-128</v>
      </c>
      <c r="H326" s="7">
        <f>IF(E326=0,0,F326/E326)</f>
        <v>1.0416666666666667</v>
      </c>
      <c r="I326" s="8" t="str">
        <f>IF(H326&gt;0.97,"Sold Out",IF(H326&gt;=0.85,"Critical",IF(H326&gt;=0.7,"Constrained","Healthy")))</f>
        <v>Sold Out</v>
      </c>
      <c r="J326" s="6">
        <v>0</v>
      </c>
      <c r="K326" s="9"/>
    </row>
    <row r="327" spans="1:11">
      <c r="A327" s="1" t="s">
        <v>146</v>
      </c>
      <c r="B327" s="1" t="s">
        <v>147</v>
      </c>
      <c r="C327" s="1" t="s">
        <v>174</v>
      </c>
      <c r="D327" s="9">
        <v>46327</v>
      </c>
      <c r="E327" s="10">
        <v>3072</v>
      </c>
      <c r="F327" s="10">
        <v>3328</v>
      </c>
      <c r="G327" s="10">
        <f>E327-F327</f>
        <v>-256</v>
      </c>
      <c r="H327" s="7">
        <f>IF(E327=0,0,F327/E327)</f>
        <v>1.0833333333333333</v>
      </c>
      <c r="I327" s="8" t="str">
        <f>IF(H327&gt;0.97,"Sold Out",IF(H327&gt;=0.85,"Critical",IF(H327&gt;=0.7,"Constrained","Healthy")))</f>
        <v>Sold Out</v>
      </c>
      <c r="J327" s="6">
        <v>0</v>
      </c>
      <c r="K327" s="9"/>
    </row>
    <row r="328" spans="1:11">
      <c r="A328" s="1" t="s">
        <v>146</v>
      </c>
      <c r="B328" s="1" t="s">
        <v>147</v>
      </c>
      <c r="C328" s="1" t="s">
        <v>174</v>
      </c>
      <c r="D328" s="9">
        <v>46357</v>
      </c>
      <c r="E328" s="10">
        <v>3072</v>
      </c>
      <c r="F328" s="10">
        <v>3456</v>
      </c>
      <c r="G328" s="10">
        <f>E328-F328</f>
        <v>-384</v>
      </c>
      <c r="H328" s="7">
        <f>IF(E328=0,0,F328/E328)</f>
        <v>1.125</v>
      </c>
      <c r="I328" s="8" t="str">
        <f>IF(H328&gt;0.97,"Sold Out",IF(H328&gt;=0.85,"Critical",IF(H328&gt;=0.7,"Constrained","Healthy")))</f>
        <v>Sold Out</v>
      </c>
      <c r="J328" s="6">
        <v>0</v>
      </c>
      <c r="K328" s="9"/>
    </row>
    <row r="329" spans="1:11">
      <c r="A329" s="1" t="s">
        <v>146</v>
      </c>
      <c r="B329" s="1" t="s">
        <v>147</v>
      </c>
      <c r="C329" s="1" t="s">
        <v>174</v>
      </c>
      <c r="D329" s="9">
        <v>46388</v>
      </c>
      <c r="E329" s="10">
        <v>3072</v>
      </c>
      <c r="F329" s="10">
        <v>3584</v>
      </c>
      <c r="G329" s="10">
        <f>E329-F329</f>
        <v>-512</v>
      </c>
      <c r="H329" s="7">
        <f>IF(E329=0,0,F329/E329)</f>
        <v>1.1666666666666667</v>
      </c>
      <c r="I329" s="8" t="str">
        <f>IF(H329&gt;0.97,"Sold Out",IF(H329&gt;=0.85,"Critical",IF(H329&gt;=0.7,"Constrained","Healthy")))</f>
        <v>Sold Out</v>
      </c>
      <c r="J329" s="6">
        <v>0</v>
      </c>
      <c r="K329" s="9"/>
    </row>
    <row r="330" spans="1:11">
      <c r="A330" s="1" t="s">
        <v>146</v>
      </c>
      <c r="B330" s="1" t="s">
        <v>147</v>
      </c>
      <c r="C330" s="1" t="s">
        <v>174</v>
      </c>
      <c r="D330" s="9">
        <v>46419</v>
      </c>
      <c r="E330" s="10">
        <v>3072</v>
      </c>
      <c r="F330" s="10">
        <v>3840</v>
      </c>
      <c r="G330" s="10">
        <f>E330-F330</f>
        <v>-768</v>
      </c>
      <c r="H330" s="7">
        <f>IF(E330=0,0,F330/E330)</f>
        <v>1.25</v>
      </c>
      <c r="I330" s="8" t="str">
        <f>IF(H330&gt;0.97,"Sold Out",IF(H330&gt;=0.85,"Critical",IF(H330&gt;=0.7,"Constrained","Healthy")))</f>
        <v>Sold Out</v>
      </c>
      <c r="J330" s="6">
        <v>0</v>
      </c>
      <c r="K330" s="9"/>
    </row>
    <row r="331" spans="1:11">
      <c r="A331" s="1" t="s">
        <v>146</v>
      </c>
      <c r="B331" s="1" t="s">
        <v>147</v>
      </c>
      <c r="C331" s="1" t="s">
        <v>174</v>
      </c>
      <c r="D331" s="9">
        <v>46447</v>
      </c>
      <c r="E331" s="10">
        <v>3072</v>
      </c>
      <c r="F331" s="10">
        <v>4096</v>
      </c>
      <c r="G331" s="10">
        <f>E331-F331</f>
        <v>-1024</v>
      </c>
      <c r="H331" s="7">
        <f>IF(E331=0,0,F331/E331)</f>
        <v>1.3333333333333333</v>
      </c>
      <c r="I331" s="8" t="str">
        <f>IF(H331&gt;0.97,"Sold Out",IF(H331&gt;=0.85,"Critical",IF(H331&gt;=0.7,"Constrained","Healthy")))</f>
        <v>Sold Out</v>
      </c>
      <c r="J331" s="6">
        <v>0</v>
      </c>
      <c r="K331" s="9"/>
    </row>
    <row r="332" spans="1:11">
      <c r="A332" s="1" t="s">
        <v>146</v>
      </c>
      <c r="B332" s="1" t="s">
        <v>147</v>
      </c>
      <c r="C332" s="1" t="s">
        <v>174</v>
      </c>
      <c r="D332" s="9">
        <v>46478</v>
      </c>
      <c r="E332" s="10">
        <v>3072</v>
      </c>
      <c r="F332" s="10">
        <v>4352</v>
      </c>
      <c r="G332" s="10">
        <f>E332-F332</f>
        <v>-1280</v>
      </c>
      <c r="H332" s="7">
        <f>IF(E332=0,0,F332/E332)</f>
        <v>1.4166666666666667</v>
      </c>
      <c r="I332" s="8" t="str">
        <f>IF(H332&gt;0.97,"Sold Out",IF(H332&gt;=0.85,"Critical",IF(H332&gt;=0.7,"Constrained","Healthy")))</f>
        <v>Sold Out</v>
      </c>
      <c r="J332" s="6">
        <v>0</v>
      </c>
      <c r="K332" s="9"/>
    </row>
    <row r="333" spans="1:11">
      <c r="A333" s="1" t="s">
        <v>146</v>
      </c>
      <c r="B333" s="1" t="s">
        <v>147</v>
      </c>
      <c r="C333" s="1" t="s">
        <v>174</v>
      </c>
      <c r="D333" s="9">
        <v>46508</v>
      </c>
      <c r="E333" s="10">
        <v>3968</v>
      </c>
      <c r="F333" s="10">
        <v>4608</v>
      </c>
      <c r="G333" s="10">
        <f>E333-F333</f>
        <v>-640</v>
      </c>
      <c r="H333" s="7">
        <f>IF(E333=0,0,F333/E333)</f>
        <v>1.1612903225806452</v>
      </c>
      <c r="I333" s="8" t="str">
        <f>IF(H333&gt;0.97,"Sold Out",IF(H333&gt;=0.85,"Critical",IF(H333&gt;=0.7,"Constrained","Healthy")))</f>
        <v>Sold Out</v>
      </c>
      <c r="J333" s="6">
        <v>896</v>
      </c>
      <c r="K333" s="9">
        <v>46508</v>
      </c>
    </row>
    <row r="334" spans="1:11">
      <c r="A334" s="1" t="s">
        <v>146</v>
      </c>
      <c r="B334" s="1" t="s">
        <v>147</v>
      </c>
      <c r="C334" s="1" t="s">
        <v>174</v>
      </c>
      <c r="D334" s="9">
        <v>46539</v>
      </c>
      <c r="E334" s="10">
        <v>3968</v>
      </c>
      <c r="F334" s="10">
        <v>4864</v>
      </c>
      <c r="G334" s="10">
        <f>E334-F334</f>
        <v>-896</v>
      </c>
      <c r="H334" s="7">
        <f>IF(E334=0,0,F334/E334)</f>
        <v>1.2258064516129032</v>
      </c>
      <c r="I334" s="8" t="str">
        <f>IF(H334&gt;0.97,"Sold Out",IF(H334&gt;=0.85,"Critical",IF(H334&gt;=0.7,"Constrained","Healthy")))</f>
        <v>Sold Out</v>
      </c>
      <c r="J334" s="6">
        <v>0</v>
      </c>
      <c r="K334" s="9"/>
    </row>
    <row r="335" spans="1:11">
      <c r="A335" s="1" t="s">
        <v>146</v>
      </c>
      <c r="B335" s="1" t="s">
        <v>147</v>
      </c>
      <c r="C335" s="1" t="s">
        <v>174</v>
      </c>
      <c r="D335" s="9">
        <v>46569</v>
      </c>
      <c r="E335" s="10">
        <v>3968</v>
      </c>
      <c r="F335" s="10">
        <v>5120</v>
      </c>
      <c r="G335" s="10">
        <f>E335-F335</f>
        <v>-1152</v>
      </c>
      <c r="H335" s="7">
        <f>IF(E335=0,0,F335/E335)</f>
        <v>1.2903225806451613</v>
      </c>
      <c r="I335" s="8" t="str">
        <f>IF(H335&gt;0.97,"Sold Out",IF(H335&gt;=0.85,"Critical",IF(H335&gt;=0.7,"Constrained","Healthy")))</f>
        <v>Sold Out</v>
      </c>
      <c r="J335" s="6">
        <v>0</v>
      </c>
      <c r="K335" s="9"/>
    </row>
    <row r="336" spans="1:11">
      <c r="A336" s="1" t="s">
        <v>146</v>
      </c>
      <c r="B336" s="1" t="s">
        <v>147</v>
      </c>
      <c r="C336" s="1" t="s">
        <v>174</v>
      </c>
      <c r="D336" s="9">
        <v>46600</v>
      </c>
      <c r="E336" s="10">
        <v>3968</v>
      </c>
      <c r="F336" s="10">
        <v>5376</v>
      </c>
      <c r="G336" s="10">
        <f>E336-F336</f>
        <v>-1408</v>
      </c>
      <c r="H336" s="7">
        <f>IF(E336=0,0,F336/E336)</f>
        <v>1.3548387096774193</v>
      </c>
      <c r="I336" s="8" t="str">
        <f>IF(H336&gt;0.97,"Sold Out",IF(H336&gt;=0.85,"Critical",IF(H336&gt;=0.7,"Constrained","Healthy")))</f>
        <v>Sold Out</v>
      </c>
      <c r="J336" s="6">
        <v>0</v>
      </c>
      <c r="K336" s="9"/>
    </row>
    <row r="337" spans="1:11">
      <c r="A337" s="1" t="s">
        <v>146</v>
      </c>
      <c r="B337" s="1" t="s">
        <v>147</v>
      </c>
      <c r="C337" s="1" t="s">
        <v>174</v>
      </c>
      <c r="D337" s="9">
        <v>46631</v>
      </c>
      <c r="E337" s="10">
        <v>3968</v>
      </c>
      <c r="F337" s="10">
        <v>5632</v>
      </c>
      <c r="G337" s="10">
        <f>E337-F337</f>
        <v>-1664</v>
      </c>
      <c r="H337" s="7">
        <f>IF(E337=0,0,F337/E337)</f>
        <v>1.4193548387096775</v>
      </c>
      <c r="I337" s="8" t="str">
        <f>IF(H337&gt;0.97,"Sold Out",IF(H337&gt;=0.85,"Critical",IF(H337&gt;=0.7,"Constrained","Healthy")))</f>
        <v>Sold Out</v>
      </c>
      <c r="J337" s="6">
        <v>0</v>
      </c>
      <c r="K337" s="9"/>
    </row>
    <row r="338" spans="1:11">
      <c r="A338" s="1" t="s">
        <v>220</v>
      </c>
      <c r="B338" s="1" t="s">
        <v>147</v>
      </c>
      <c r="C338" s="1" t="s">
        <v>174</v>
      </c>
      <c r="D338" s="9">
        <v>46296</v>
      </c>
      <c r="E338" s="10">
        <v>2944</v>
      </c>
      <c r="F338" s="10">
        <v>2816</v>
      </c>
      <c r="G338" s="10">
        <f>E338-F338</f>
        <v>128</v>
      </c>
      <c r="H338" s="7">
        <f>IF(E338=0,0,F338/E338)</f>
        <v>0.95652173913043481</v>
      </c>
      <c r="I338" s="8" t="str">
        <f>IF(H338&gt;0.97,"Sold Out",IF(H338&gt;=0.85,"Critical",IF(H338&gt;=0.7,"Constrained","Healthy")))</f>
        <v>Critical</v>
      </c>
      <c r="J338" s="6">
        <v>0</v>
      </c>
      <c r="K338" s="9"/>
    </row>
    <row r="339" spans="1:11">
      <c r="A339" s="1" t="s">
        <v>220</v>
      </c>
      <c r="B339" s="1" t="s">
        <v>147</v>
      </c>
      <c r="C339" s="1" t="s">
        <v>174</v>
      </c>
      <c r="D339" s="9">
        <v>46327</v>
      </c>
      <c r="E339" s="10">
        <v>2944</v>
      </c>
      <c r="F339" s="10">
        <v>2944</v>
      </c>
      <c r="G339" s="10">
        <f>E339-F339</f>
        <v>0</v>
      </c>
      <c r="H339" s="7">
        <f>IF(E339=0,0,F339/E339)</f>
        <v>1</v>
      </c>
      <c r="I339" s="8" t="str">
        <f>IF(H339&gt;0.97,"Sold Out",IF(H339&gt;=0.85,"Critical",IF(H339&gt;=0.7,"Constrained","Healthy")))</f>
        <v>Sold Out</v>
      </c>
      <c r="J339" s="6">
        <v>0</v>
      </c>
      <c r="K339" s="9"/>
    </row>
    <row r="340" spans="1:11">
      <c r="A340" s="1" t="s">
        <v>220</v>
      </c>
      <c r="B340" s="1" t="s">
        <v>147</v>
      </c>
      <c r="C340" s="1" t="s">
        <v>174</v>
      </c>
      <c r="D340" s="9">
        <v>46357</v>
      </c>
      <c r="E340" s="10">
        <v>2944</v>
      </c>
      <c r="F340" s="10">
        <v>3072</v>
      </c>
      <c r="G340" s="10">
        <f>E340-F340</f>
        <v>-128</v>
      </c>
      <c r="H340" s="7">
        <f>IF(E340=0,0,F340/E340)</f>
        <v>1.0434782608695652</v>
      </c>
      <c r="I340" s="8" t="str">
        <f>IF(H340&gt;0.97,"Sold Out",IF(H340&gt;=0.85,"Critical",IF(H340&gt;=0.7,"Constrained","Healthy")))</f>
        <v>Sold Out</v>
      </c>
      <c r="J340" s="6">
        <v>0</v>
      </c>
      <c r="K340" s="9"/>
    </row>
    <row r="341" spans="1:11">
      <c r="A341" s="1" t="s">
        <v>220</v>
      </c>
      <c r="B341" s="1" t="s">
        <v>147</v>
      </c>
      <c r="C341" s="1" t="s">
        <v>174</v>
      </c>
      <c r="D341" s="9">
        <v>46388</v>
      </c>
      <c r="E341" s="10">
        <v>2944</v>
      </c>
      <c r="F341" s="10">
        <v>3200</v>
      </c>
      <c r="G341" s="10">
        <f>E341-F341</f>
        <v>-256</v>
      </c>
      <c r="H341" s="7">
        <f>IF(E341=0,0,F341/E341)</f>
        <v>1.0869565217391304</v>
      </c>
      <c r="I341" s="8" t="str">
        <f>IF(H341&gt;0.97,"Sold Out",IF(H341&gt;=0.85,"Critical",IF(H341&gt;=0.7,"Constrained","Healthy")))</f>
        <v>Sold Out</v>
      </c>
      <c r="J341" s="6">
        <v>0</v>
      </c>
      <c r="K341" s="9"/>
    </row>
    <row r="342" spans="1:11">
      <c r="A342" s="1" t="s">
        <v>220</v>
      </c>
      <c r="B342" s="1" t="s">
        <v>147</v>
      </c>
      <c r="C342" s="1" t="s">
        <v>174</v>
      </c>
      <c r="D342" s="9">
        <v>46419</v>
      </c>
      <c r="E342" s="10">
        <v>2944</v>
      </c>
      <c r="F342" s="10">
        <v>3328</v>
      </c>
      <c r="G342" s="10">
        <f>E342-F342</f>
        <v>-384</v>
      </c>
      <c r="H342" s="7">
        <f>IF(E342=0,0,F342/E342)</f>
        <v>1.1304347826086956</v>
      </c>
      <c r="I342" s="8" t="str">
        <f>IF(H342&gt;0.97,"Sold Out",IF(H342&gt;=0.85,"Critical",IF(H342&gt;=0.7,"Constrained","Healthy")))</f>
        <v>Sold Out</v>
      </c>
      <c r="J342" s="6">
        <v>0</v>
      </c>
      <c r="K342" s="9"/>
    </row>
    <row r="343" spans="1:11">
      <c r="A343" s="1" t="s">
        <v>220</v>
      </c>
      <c r="B343" s="1" t="s">
        <v>147</v>
      </c>
      <c r="C343" s="1" t="s">
        <v>174</v>
      </c>
      <c r="D343" s="9">
        <v>46447</v>
      </c>
      <c r="E343" s="10">
        <v>2944</v>
      </c>
      <c r="F343" s="10">
        <v>3456</v>
      </c>
      <c r="G343" s="10">
        <f>E343-F343</f>
        <v>-512</v>
      </c>
      <c r="H343" s="7">
        <f>IF(E343=0,0,F343/E343)</f>
        <v>1.173913043478261</v>
      </c>
      <c r="I343" s="8" t="str">
        <f>IF(H343&gt;0.97,"Sold Out",IF(H343&gt;=0.85,"Critical",IF(H343&gt;=0.7,"Constrained","Healthy")))</f>
        <v>Sold Out</v>
      </c>
      <c r="J343" s="6">
        <v>0</v>
      </c>
      <c r="K343" s="9"/>
    </row>
    <row r="344" spans="1:11">
      <c r="A344" s="1" t="s">
        <v>220</v>
      </c>
      <c r="B344" s="1" t="s">
        <v>147</v>
      </c>
      <c r="C344" s="1" t="s">
        <v>174</v>
      </c>
      <c r="D344" s="9">
        <v>46478</v>
      </c>
      <c r="E344" s="10">
        <v>3840</v>
      </c>
      <c r="F344" s="10">
        <v>3584</v>
      </c>
      <c r="G344" s="10">
        <f>E344-F344</f>
        <v>256</v>
      </c>
      <c r="H344" s="7">
        <f>IF(E344=0,0,F344/E344)</f>
        <v>0.93333333333333335</v>
      </c>
      <c r="I344" s="8" t="str">
        <f>IF(H344&gt;0.97,"Sold Out",IF(H344&gt;=0.85,"Critical",IF(H344&gt;=0.7,"Constrained","Healthy")))</f>
        <v>Critical</v>
      </c>
      <c r="J344" s="6">
        <v>896</v>
      </c>
      <c r="K344" s="9">
        <v>46478</v>
      </c>
    </row>
    <row r="345" spans="1:11">
      <c r="A345" s="1" t="s">
        <v>220</v>
      </c>
      <c r="B345" s="1" t="s">
        <v>147</v>
      </c>
      <c r="C345" s="1" t="s">
        <v>174</v>
      </c>
      <c r="D345" s="9">
        <v>46508</v>
      </c>
      <c r="E345" s="10">
        <v>3840</v>
      </c>
      <c r="F345" s="10">
        <v>3840</v>
      </c>
      <c r="G345" s="10">
        <f>E345-F345</f>
        <v>0</v>
      </c>
      <c r="H345" s="7">
        <f>IF(E345=0,0,F345/E345)</f>
        <v>1</v>
      </c>
      <c r="I345" s="8" t="str">
        <f>IF(H345&gt;0.97,"Sold Out",IF(H345&gt;=0.85,"Critical",IF(H345&gt;=0.7,"Constrained","Healthy")))</f>
        <v>Sold Out</v>
      </c>
      <c r="J345" s="6">
        <v>0</v>
      </c>
      <c r="K345" s="9"/>
    </row>
    <row r="346" spans="1:11">
      <c r="A346" s="1" t="s">
        <v>220</v>
      </c>
      <c r="B346" s="1" t="s">
        <v>147</v>
      </c>
      <c r="C346" s="1" t="s">
        <v>174</v>
      </c>
      <c r="D346" s="9">
        <v>46539</v>
      </c>
      <c r="E346" s="10">
        <v>3840</v>
      </c>
      <c r="F346" s="10">
        <v>4096</v>
      </c>
      <c r="G346" s="10">
        <f>E346-F346</f>
        <v>-256</v>
      </c>
      <c r="H346" s="7">
        <f>IF(E346=0,0,F346/E346)</f>
        <v>1.0666666666666667</v>
      </c>
      <c r="I346" s="8" t="str">
        <f>IF(H346&gt;0.97,"Sold Out",IF(H346&gt;=0.85,"Critical",IF(H346&gt;=0.7,"Constrained","Healthy")))</f>
        <v>Sold Out</v>
      </c>
      <c r="J346" s="6">
        <v>0</v>
      </c>
      <c r="K346" s="9"/>
    </row>
    <row r="347" spans="1:11">
      <c r="A347" s="1" t="s">
        <v>220</v>
      </c>
      <c r="B347" s="1" t="s">
        <v>147</v>
      </c>
      <c r="C347" s="1" t="s">
        <v>174</v>
      </c>
      <c r="D347" s="9">
        <v>46569</v>
      </c>
      <c r="E347" s="10">
        <v>3840</v>
      </c>
      <c r="F347" s="10">
        <v>4352</v>
      </c>
      <c r="G347" s="10">
        <f>E347-F347</f>
        <v>-512</v>
      </c>
      <c r="H347" s="7">
        <f>IF(E347=0,0,F347/E347)</f>
        <v>1.1333333333333333</v>
      </c>
      <c r="I347" s="8" t="str">
        <f>IF(H347&gt;0.97,"Sold Out",IF(H347&gt;=0.85,"Critical",IF(H347&gt;=0.7,"Constrained","Healthy")))</f>
        <v>Sold Out</v>
      </c>
      <c r="J347" s="6">
        <v>0</v>
      </c>
      <c r="K347" s="9"/>
    </row>
    <row r="348" spans="1:11">
      <c r="A348" s="1" t="s">
        <v>220</v>
      </c>
      <c r="B348" s="1" t="s">
        <v>147</v>
      </c>
      <c r="C348" s="1" t="s">
        <v>174</v>
      </c>
      <c r="D348" s="9">
        <v>46600</v>
      </c>
      <c r="E348" s="10">
        <v>3840</v>
      </c>
      <c r="F348" s="10">
        <v>4608</v>
      </c>
      <c r="G348" s="10">
        <f>E348-F348</f>
        <v>-768</v>
      </c>
      <c r="H348" s="7">
        <f>IF(E348=0,0,F348/E348)</f>
        <v>1.2</v>
      </c>
      <c r="I348" s="8" t="str">
        <f>IF(H348&gt;0.97,"Sold Out",IF(H348&gt;=0.85,"Critical",IF(H348&gt;=0.7,"Constrained","Healthy")))</f>
        <v>Sold Out</v>
      </c>
      <c r="J348" s="6">
        <v>0</v>
      </c>
      <c r="K348" s="9"/>
    </row>
    <row r="349" spans="1:11">
      <c r="A349" s="1" t="s">
        <v>220</v>
      </c>
      <c r="B349" s="1" t="s">
        <v>147</v>
      </c>
      <c r="C349" s="1" t="s">
        <v>174</v>
      </c>
      <c r="D349" s="9">
        <v>46631</v>
      </c>
      <c r="E349" s="10">
        <v>3840</v>
      </c>
      <c r="F349" s="10">
        <v>4864</v>
      </c>
      <c r="G349" s="10">
        <f>E349-F349</f>
        <v>-1024</v>
      </c>
      <c r="H349" s="7">
        <f>IF(E349=0,0,F349/E349)</f>
        <v>1.2666666666666666</v>
      </c>
      <c r="I349" s="8" t="str">
        <f>IF(H349&gt;0.97,"Sold Out",IF(H349&gt;=0.85,"Critical",IF(H349&gt;=0.7,"Constrained","Healthy")))</f>
        <v>Sold Out</v>
      </c>
      <c r="J349" s="6">
        <v>0</v>
      </c>
      <c r="K349" s="9"/>
    </row>
    <row r="350" spans="1:11">
      <c r="A350" s="1" t="s">
        <v>259</v>
      </c>
      <c r="B350" s="1" t="s">
        <v>147</v>
      </c>
      <c r="C350" s="1" t="s">
        <v>174</v>
      </c>
      <c r="D350" s="9">
        <v>46296</v>
      </c>
      <c r="E350" s="10">
        <v>3712</v>
      </c>
      <c r="F350" s="10">
        <v>3968</v>
      </c>
      <c r="G350" s="10">
        <f>E350-F350</f>
        <v>-256</v>
      </c>
      <c r="H350" s="7">
        <f>IF(E350=0,0,F350/E350)</f>
        <v>1.0689655172413792</v>
      </c>
      <c r="I350" s="8" t="str">
        <f>IF(H350&gt;0.97,"Sold Out",IF(H350&gt;=0.85,"Critical",IF(H350&gt;=0.7,"Constrained","Healthy")))</f>
        <v>Sold Out</v>
      </c>
      <c r="J350" s="6">
        <v>0</v>
      </c>
      <c r="K350" s="9"/>
    </row>
    <row r="351" spans="1:11">
      <c r="A351" s="1" t="s">
        <v>259</v>
      </c>
      <c r="B351" s="1" t="s">
        <v>147</v>
      </c>
      <c r="C351" s="1" t="s">
        <v>174</v>
      </c>
      <c r="D351" s="9">
        <v>46327</v>
      </c>
      <c r="E351" s="10">
        <v>3712</v>
      </c>
      <c r="F351" s="10">
        <v>4224</v>
      </c>
      <c r="G351" s="10">
        <f>E351-F351</f>
        <v>-512</v>
      </c>
      <c r="H351" s="7">
        <f>IF(E351=0,0,F351/E351)</f>
        <v>1.1379310344827587</v>
      </c>
      <c r="I351" s="8" t="str">
        <f>IF(H351&gt;0.97,"Sold Out",IF(H351&gt;=0.85,"Critical",IF(H351&gt;=0.7,"Constrained","Healthy")))</f>
        <v>Sold Out</v>
      </c>
      <c r="J351" s="6">
        <v>0</v>
      </c>
      <c r="K351" s="9"/>
    </row>
    <row r="352" spans="1:11">
      <c r="A352" s="1" t="s">
        <v>259</v>
      </c>
      <c r="B352" s="1" t="s">
        <v>147</v>
      </c>
      <c r="C352" s="1" t="s">
        <v>174</v>
      </c>
      <c r="D352" s="9">
        <v>46357</v>
      </c>
      <c r="E352" s="10">
        <v>3712</v>
      </c>
      <c r="F352" s="10">
        <v>4480</v>
      </c>
      <c r="G352" s="10">
        <f>E352-F352</f>
        <v>-768</v>
      </c>
      <c r="H352" s="7">
        <f>IF(E352=0,0,F352/E352)</f>
        <v>1.2068965517241379</v>
      </c>
      <c r="I352" s="8" t="str">
        <f>IF(H352&gt;0.97,"Sold Out",IF(H352&gt;=0.85,"Critical",IF(H352&gt;=0.7,"Constrained","Healthy")))</f>
        <v>Sold Out</v>
      </c>
      <c r="J352" s="6">
        <v>0</v>
      </c>
      <c r="K352" s="9"/>
    </row>
    <row r="353" spans="1:11">
      <c r="A353" s="1" t="s">
        <v>259</v>
      </c>
      <c r="B353" s="1" t="s">
        <v>147</v>
      </c>
      <c r="C353" s="1" t="s">
        <v>174</v>
      </c>
      <c r="D353" s="9">
        <v>46388</v>
      </c>
      <c r="E353" s="10">
        <v>3712</v>
      </c>
      <c r="F353" s="10">
        <v>4736</v>
      </c>
      <c r="G353" s="10">
        <f>E353-F353</f>
        <v>-1024</v>
      </c>
      <c r="H353" s="7">
        <f>IF(E353=0,0,F353/E353)</f>
        <v>1.2758620689655173</v>
      </c>
      <c r="I353" s="8" t="str">
        <f>IF(H353&gt;0.97,"Sold Out",IF(H353&gt;=0.85,"Critical",IF(H353&gt;=0.7,"Constrained","Healthy")))</f>
        <v>Sold Out</v>
      </c>
      <c r="J353" s="6">
        <v>0</v>
      </c>
      <c r="K353" s="9"/>
    </row>
    <row r="354" spans="1:11">
      <c r="A354" s="1" t="s">
        <v>259</v>
      </c>
      <c r="B354" s="1" t="s">
        <v>147</v>
      </c>
      <c r="C354" s="1" t="s">
        <v>174</v>
      </c>
      <c r="D354" s="9">
        <v>46419</v>
      </c>
      <c r="E354" s="10">
        <v>3712</v>
      </c>
      <c r="F354" s="10">
        <v>4992</v>
      </c>
      <c r="G354" s="10">
        <f>E354-F354</f>
        <v>-1280</v>
      </c>
      <c r="H354" s="7">
        <f>IF(E354=0,0,F354/E354)</f>
        <v>1.3448275862068966</v>
      </c>
      <c r="I354" s="8" t="str">
        <f>IF(H354&gt;0.97,"Sold Out",IF(H354&gt;=0.85,"Critical",IF(H354&gt;=0.7,"Constrained","Healthy")))</f>
        <v>Sold Out</v>
      </c>
      <c r="J354" s="6">
        <v>0</v>
      </c>
      <c r="K354" s="9"/>
    </row>
    <row r="355" spans="1:11">
      <c r="A355" s="1" t="s">
        <v>259</v>
      </c>
      <c r="B355" s="1" t="s">
        <v>147</v>
      </c>
      <c r="C355" s="1" t="s">
        <v>174</v>
      </c>
      <c r="D355" s="9">
        <v>46447</v>
      </c>
      <c r="E355" s="10">
        <v>3712</v>
      </c>
      <c r="F355" s="10">
        <v>5248</v>
      </c>
      <c r="G355" s="10">
        <f>E355-F355</f>
        <v>-1536</v>
      </c>
      <c r="H355" s="7">
        <f>IF(E355=0,0,F355/E355)</f>
        <v>1.4137931034482758</v>
      </c>
      <c r="I355" s="8" t="str">
        <f>IF(H355&gt;0.97,"Sold Out",IF(H355&gt;=0.85,"Critical",IF(H355&gt;=0.7,"Constrained","Healthy")))</f>
        <v>Sold Out</v>
      </c>
      <c r="J355" s="6">
        <v>0</v>
      </c>
      <c r="K355" s="9"/>
    </row>
    <row r="356" spans="1:11">
      <c r="A356" s="1" t="s">
        <v>259</v>
      </c>
      <c r="B356" s="1" t="s">
        <v>147</v>
      </c>
      <c r="C356" s="1" t="s">
        <v>174</v>
      </c>
      <c r="D356" s="9">
        <v>46478</v>
      </c>
      <c r="E356" s="10">
        <v>5120</v>
      </c>
      <c r="F356" s="10">
        <v>5504</v>
      </c>
      <c r="G356" s="10">
        <f>E356-F356</f>
        <v>-384</v>
      </c>
      <c r="H356" s="7">
        <f>IF(E356=0,0,F356/E356)</f>
        <v>1.075</v>
      </c>
      <c r="I356" s="8" t="str">
        <f>IF(H356&gt;0.97,"Sold Out",IF(H356&gt;=0.85,"Critical",IF(H356&gt;=0.7,"Constrained","Healthy")))</f>
        <v>Sold Out</v>
      </c>
      <c r="J356" s="6">
        <v>1408</v>
      </c>
      <c r="K356" s="9">
        <v>46478</v>
      </c>
    </row>
    <row r="357" spans="1:11">
      <c r="A357" s="1" t="s">
        <v>259</v>
      </c>
      <c r="B357" s="1" t="s">
        <v>147</v>
      </c>
      <c r="C357" s="1" t="s">
        <v>174</v>
      </c>
      <c r="D357" s="9">
        <v>46508</v>
      </c>
      <c r="E357" s="10">
        <v>5120</v>
      </c>
      <c r="F357" s="10">
        <v>5760</v>
      </c>
      <c r="G357" s="10">
        <f>E357-F357</f>
        <v>-640</v>
      </c>
      <c r="H357" s="7">
        <f>IF(E357=0,0,F357/E357)</f>
        <v>1.125</v>
      </c>
      <c r="I357" s="8" t="str">
        <f>IF(H357&gt;0.97,"Sold Out",IF(H357&gt;=0.85,"Critical",IF(H357&gt;=0.7,"Constrained","Healthy")))</f>
        <v>Sold Out</v>
      </c>
      <c r="J357" s="6">
        <v>0</v>
      </c>
      <c r="K357" s="9"/>
    </row>
    <row r="358" spans="1:11">
      <c r="A358" s="1" t="s">
        <v>259</v>
      </c>
      <c r="B358" s="1" t="s">
        <v>147</v>
      </c>
      <c r="C358" s="1" t="s">
        <v>174</v>
      </c>
      <c r="D358" s="9">
        <v>46539</v>
      </c>
      <c r="E358" s="10">
        <v>5120</v>
      </c>
      <c r="F358" s="10">
        <v>6016</v>
      </c>
      <c r="G358" s="10">
        <f>E358-F358</f>
        <v>-896</v>
      </c>
      <c r="H358" s="7">
        <f>IF(E358=0,0,F358/E358)</f>
        <v>1.175</v>
      </c>
      <c r="I358" s="8" t="str">
        <f>IF(H358&gt;0.97,"Sold Out",IF(H358&gt;=0.85,"Critical",IF(H358&gt;=0.7,"Constrained","Healthy")))</f>
        <v>Sold Out</v>
      </c>
      <c r="J358" s="6">
        <v>0</v>
      </c>
      <c r="K358" s="9"/>
    </row>
    <row r="359" spans="1:11">
      <c r="A359" s="1" t="s">
        <v>259</v>
      </c>
      <c r="B359" s="1" t="s">
        <v>147</v>
      </c>
      <c r="C359" s="1" t="s">
        <v>174</v>
      </c>
      <c r="D359" s="9">
        <v>46569</v>
      </c>
      <c r="E359" s="10">
        <v>5120</v>
      </c>
      <c r="F359" s="10">
        <v>6400</v>
      </c>
      <c r="G359" s="10">
        <f>E359-F359</f>
        <v>-1280</v>
      </c>
      <c r="H359" s="7">
        <f>IF(E359=0,0,F359/E359)</f>
        <v>1.25</v>
      </c>
      <c r="I359" s="8" t="str">
        <f>IF(H359&gt;0.97,"Sold Out",IF(H359&gt;=0.85,"Critical",IF(H359&gt;=0.7,"Constrained","Healthy")))</f>
        <v>Sold Out</v>
      </c>
      <c r="J359" s="6">
        <v>0</v>
      </c>
      <c r="K359" s="9"/>
    </row>
    <row r="360" spans="1:11">
      <c r="A360" s="1" t="s">
        <v>259</v>
      </c>
      <c r="B360" s="1" t="s">
        <v>147</v>
      </c>
      <c r="C360" s="1" t="s">
        <v>174</v>
      </c>
      <c r="D360" s="9">
        <v>46600</v>
      </c>
      <c r="E360" s="10">
        <v>5120</v>
      </c>
      <c r="F360" s="10">
        <v>6784</v>
      </c>
      <c r="G360" s="10">
        <f>E360-F360</f>
        <v>-1664</v>
      </c>
      <c r="H360" s="7">
        <f>IF(E360=0,0,F360/E360)</f>
        <v>1.325</v>
      </c>
      <c r="I360" s="8" t="str">
        <f>IF(H360&gt;0.97,"Sold Out",IF(H360&gt;=0.85,"Critical",IF(H360&gt;=0.7,"Constrained","Healthy")))</f>
        <v>Sold Out</v>
      </c>
      <c r="J360" s="6">
        <v>0</v>
      </c>
      <c r="K360" s="9"/>
    </row>
    <row r="361" spans="1:11">
      <c r="A361" s="1" t="s">
        <v>259</v>
      </c>
      <c r="B361" s="1" t="s">
        <v>147</v>
      </c>
      <c r="C361" s="1" t="s">
        <v>174</v>
      </c>
      <c r="D361" s="9">
        <v>46631</v>
      </c>
      <c r="E361" s="10">
        <v>5120</v>
      </c>
      <c r="F361" s="10">
        <v>7168</v>
      </c>
      <c r="G361" s="10">
        <f>E361-F361</f>
        <v>-2048</v>
      </c>
      <c r="H361" s="7">
        <f>IF(E361=0,0,F361/E361)</f>
        <v>1.4</v>
      </c>
      <c r="I361" s="8" t="str">
        <f>IF(H361&gt;0.97,"Sold Out",IF(H361&gt;=0.85,"Critical",IF(H361&gt;=0.7,"Constrained","Healthy")))</f>
        <v>Sold Out</v>
      </c>
      <c r="J361" s="6">
        <v>0</v>
      </c>
      <c r="K361" s="9"/>
    </row>
    <row r="362" spans="1:11">
      <c r="A362" s="1" t="s">
        <v>359</v>
      </c>
      <c r="B362" s="1" t="s">
        <v>147</v>
      </c>
      <c r="C362" s="1" t="s">
        <v>174</v>
      </c>
      <c r="D362" s="9">
        <v>46296</v>
      </c>
      <c r="E362" s="10">
        <v>1280</v>
      </c>
      <c r="F362" s="10">
        <v>1024</v>
      </c>
      <c r="G362" s="10">
        <f>E362-F362</f>
        <v>256</v>
      </c>
      <c r="H362" s="7">
        <f>IF(E362=0,0,F362/E362)</f>
        <v>0.8</v>
      </c>
      <c r="I362" s="8" t="str">
        <f>IF(H362&gt;0.97,"Sold Out",IF(H362&gt;=0.85,"Critical",IF(H362&gt;=0.7,"Constrained","Healthy")))</f>
        <v>Constrained</v>
      </c>
      <c r="J362" s="6">
        <v>0</v>
      </c>
      <c r="K362" s="9"/>
    </row>
    <row r="363" spans="1:11">
      <c r="A363" s="1" t="s">
        <v>359</v>
      </c>
      <c r="B363" s="1" t="s">
        <v>147</v>
      </c>
      <c r="C363" s="1" t="s">
        <v>174</v>
      </c>
      <c r="D363" s="9">
        <v>46327</v>
      </c>
      <c r="E363" s="10">
        <v>1280</v>
      </c>
      <c r="F363" s="10">
        <v>1024</v>
      </c>
      <c r="G363" s="10">
        <f>E363-F363</f>
        <v>256</v>
      </c>
      <c r="H363" s="7">
        <f>IF(E363=0,0,F363/E363)</f>
        <v>0.8</v>
      </c>
      <c r="I363" s="8" t="str">
        <f>IF(H363&gt;0.97,"Sold Out",IF(H363&gt;=0.85,"Critical",IF(H363&gt;=0.7,"Constrained","Healthy")))</f>
        <v>Constrained</v>
      </c>
      <c r="J363" s="6">
        <v>0</v>
      </c>
      <c r="K363" s="9"/>
    </row>
    <row r="364" spans="1:11">
      <c r="A364" s="1" t="s">
        <v>359</v>
      </c>
      <c r="B364" s="1" t="s">
        <v>147</v>
      </c>
      <c r="C364" s="1" t="s">
        <v>174</v>
      </c>
      <c r="D364" s="9">
        <v>46357</v>
      </c>
      <c r="E364" s="10">
        <v>1280</v>
      </c>
      <c r="F364" s="10">
        <v>1024</v>
      </c>
      <c r="G364" s="10">
        <f>E364-F364</f>
        <v>256</v>
      </c>
      <c r="H364" s="7">
        <f>IF(E364=0,0,F364/E364)</f>
        <v>0.8</v>
      </c>
      <c r="I364" s="8" t="str">
        <f>IF(H364&gt;0.97,"Sold Out",IF(H364&gt;=0.85,"Critical",IF(H364&gt;=0.7,"Constrained","Healthy")))</f>
        <v>Constrained</v>
      </c>
      <c r="J364" s="6">
        <v>0</v>
      </c>
      <c r="K364" s="9"/>
    </row>
    <row r="365" spans="1:11">
      <c r="A365" s="1" t="s">
        <v>359</v>
      </c>
      <c r="B365" s="1" t="s">
        <v>147</v>
      </c>
      <c r="C365" s="1" t="s">
        <v>174</v>
      </c>
      <c r="D365" s="9">
        <v>46388</v>
      </c>
      <c r="E365" s="10">
        <v>1280</v>
      </c>
      <c r="F365" s="10">
        <v>1024</v>
      </c>
      <c r="G365" s="10">
        <f>E365-F365</f>
        <v>256</v>
      </c>
      <c r="H365" s="7">
        <f>IF(E365=0,0,F365/E365)</f>
        <v>0.8</v>
      </c>
      <c r="I365" s="8" t="str">
        <f>IF(H365&gt;0.97,"Sold Out",IF(H365&gt;=0.85,"Critical",IF(H365&gt;=0.7,"Constrained","Healthy")))</f>
        <v>Constrained</v>
      </c>
      <c r="J365" s="6">
        <v>0</v>
      </c>
      <c r="K365" s="9"/>
    </row>
    <row r="366" spans="1:11">
      <c r="A366" s="1" t="s">
        <v>359</v>
      </c>
      <c r="B366" s="1" t="s">
        <v>147</v>
      </c>
      <c r="C366" s="1" t="s">
        <v>174</v>
      </c>
      <c r="D366" s="9">
        <v>46419</v>
      </c>
      <c r="E366" s="10">
        <v>1280</v>
      </c>
      <c r="F366" s="10">
        <v>1024</v>
      </c>
      <c r="G366" s="10">
        <f>E366-F366</f>
        <v>256</v>
      </c>
      <c r="H366" s="7">
        <f>IF(E366=0,0,F366/E366)</f>
        <v>0.8</v>
      </c>
      <c r="I366" s="8" t="str">
        <f>IF(H366&gt;0.97,"Sold Out",IF(H366&gt;=0.85,"Critical",IF(H366&gt;=0.7,"Constrained","Healthy")))</f>
        <v>Constrained</v>
      </c>
      <c r="J366" s="6">
        <v>0</v>
      </c>
      <c r="K366" s="9"/>
    </row>
    <row r="367" spans="1:11">
      <c r="A367" s="1" t="s">
        <v>359</v>
      </c>
      <c r="B367" s="1" t="s">
        <v>147</v>
      </c>
      <c r="C367" s="1" t="s">
        <v>174</v>
      </c>
      <c r="D367" s="9">
        <v>46447</v>
      </c>
      <c r="E367" s="10">
        <v>1280</v>
      </c>
      <c r="F367" s="10">
        <v>1024</v>
      </c>
      <c r="G367" s="10">
        <f>E367-F367</f>
        <v>256</v>
      </c>
      <c r="H367" s="7">
        <f>IF(E367=0,0,F367/E367)</f>
        <v>0.8</v>
      </c>
      <c r="I367" s="8" t="str">
        <f>IF(H367&gt;0.97,"Sold Out",IF(H367&gt;=0.85,"Critical",IF(H367&gt;=0.7,"Constrained","Healthy")))</f>
        <v>Constrained</v>
      </c>
      <c r="J367" s="6">
        <v>0</v>
      </c>
      <c r="K367" s="9"/>
    </row>
    <row r="368" spans="1:11">
      <c r="A368" s="1" t="s">
        <v>359</v>
      </c>
      <c r="B368" s="1" t="s">
        <v>147</v>
      </c>
      <c r="C368" s="1" t="s">
        <v>174</v>
      </c>
      <c r="D368" s="9">
        <v>46478</v>
      </c>
      <c r="E368" s="10">
        <v>1792</v>
      </c>
      <c r="F368" s="10">
        <v>1024</v>
      </c>
      <c r="G368" s="10">
        <f>E368-F368</f>
        <v>768</v>
      </c>
      <c r="H368" s="7">
        <f>IF(E368=0,0,F368/E368)</f>
        <v>0.5714285714285714</v>
      </c>
      <c r="I368" s="8" t="str">
        <f>IF(H368&gt;0.97,"Sold Out",IF(H368&gt;=0.85,"Critical",IF(H368&gt;=0.7,"Constrained","Healthy")))</f>
        <v>Healthy</v>
      </c>
      <c r="J368" s="6">
        <v>512</v>
      </c>
      <c r="K368" s="9">
        <v>46478</v>
      </c>
    </row>
    <row r="369" spans="1:11">
      <c r="A369" s="1" t="s">
        <v>359</v>
      </c>
      <c r="B369" s="1" t="s">
        <v>147</v>
      </c>
      <c r="C369" s="1" t="s">
        <v>174</v>
      </c>
      <c r="D369" s="9">
        <v>46508</v>
      </c>
      <c r="E369" s="10">
        <v>1792</v>
      </c>
      <c r="F369" s="10">
        <v>1024</v>
      </c>
      <c r="G369" s="10">
        <f>E369-F369</f>
        <v>768</v>
      </c>
      <c r="H369" s="7">
        <f>IF(E369=0,0,F369/E369)</f>
        <v>0.5714285714285714</v>
      </c>
      <c r="I369" s="8" t="str">
        <f>IF(H369&gt;0.97,"Sold Out",IF(H369&gt;=0.85,"Critical",IF(H369&gt;=0.7,"Constrained","Healthy")))</f>
        <v>Healthy</v>
      </c>
      <c r="J369" s="6">
        <v>0</v>
      </c>
      <c r="K369" s="9"/>
    </row>
    <row r="370" spans="1:11">
      <c r="A370" s="1" t="s">
        <v>359</v>
      </c>
      <c r="B370" s="1" t="s">
        <v>147</v>
      </c>
      <c r="C370" s="1" t="s">
        <v>174</v>
      </c>
      <c r="D370" s="9">
        <v>46539</v>
      </c>
      <c r="E370" s="10">
        <v>1792</v>
      </c>
      <c r="F370" s="10">
        <v>1024</v>
      </c>
      <c r="G370" s="10">
        <f>E370-F370</f>
        <v>768</v>
      </c>
      <c r="H370" s="7">
        <f>IF(E370=0,0,F370/E370)</f>
        <v>0.5714285714285714</v>
      </c>
      <c r="I370" s="8" t="str">
        <f>IF(H370&gt;0.97,"Sold Out",IF(H370&gt;=0.85,"Critical",IF(H370&gt;=0.7,"Constrained","Healthy")))</f>
        <v>Healthy</v>
      </c>
      <c r="J370" s="6">
        <v>0</v>
      </c>
      <c r="K370" s="9"/>
    </row>
    <row r="371" spans="1:11">
      <c r="A371" s="1" t="s">
        <v>359</v>
      </c>
      <c r="B371" s="1" t="s">
        <v>147</v>
      </c>
      <c r="C371" s="1" t="s">
        <v>174</v>
      </c>
      <c r="D371" s="9">
        <v>46569</v>
      </c>
      <c r="E371" s="10">
        <v>1792</v>
      </c>
      <c r="F371" s="10">
        <v>1024</v>
      </c>
      <c r="G371" s="10">
        <f>E371-F371</f>
        <v>768</v>
      </c>
      <c r="H371" s="7">
        <f>IF(E371=0,0,F371/E371)</f>
        <v>0.5714285714285714</v>
      </c>
      <c r="I371" s="8" t="str">
        <f>IF(H371&gt;0.97,"Sold Out",IF(H371&gt;=0.85,"Critical",IF(H371&gt;=0.7,"Constrained","Healthy")))</f>
        <v>Healthy</v>
      </c>
      <c r="J371" s="6">
        <v>0</v>
      </c>
      <c r="K371" s="9"/>
    </row>
    <row r="372" spans="1:11">
      <c r="A372" s="1" t="s">
        <v>359</v>
      </c>
      <c r="B372" s="1" t="s">
        <v>147</v>
      </c>
      <c r="C372" s="1" t="s">
        <v>174</v>
      </c>
      <c r="D372" s="9">
        <v>46600</v>
      </c>
      <c r="E372" s="10">
        <v>1792</v>
      </c>
      <c r="F372" s="10">
        <v>1024</v>
      </c>
      <c r="G372" s="10">
        <f>E372-F372</f>
        <v>768</v>
      </c>
      <c r="H372" s="7">
        <f>IF(E372=0,0,F372/E372)</f>
        <v>0.5714285714285714</v>
      </c>
      <c r="I372" s="8" t="str">
        <f>IF(H372&gt;0.97,"Sold Out",IF(H372&gt;=0.85,"Critical",IF(H372&gt;=0.7,"Constrained","Healthy")))</f>
        <v>Healthy</v>
      </c>
      <c r="J372" s="6">
        <v>0</v>
      </c>
      <c r="K372" s="9"/>
    </row>
    <row r="373" spans="1:11">
      <c r="A373" s="1" t="s">
        <v>359</v>
      </c>
      <c r="B373" s="1" t="s">
        <v>147</v>
      </c>
      <c r="C373" s="1" t="s">
        <v>174</v>
      </c>
      <c r="D373" s="9">
        <v>46631</v>
      </c>
      <c r="E373" s="10">
        <v>1792</v>
      </c>
      <c r="F373" s="10">
        <v>1024</v>
      </c>
      <c r="G373" s="10">
        <f>E373-F373</f>
        <v>768</v>
      </c>
      <c r="H373" s="7">
        <f>IF(E373=0,0,F373/E373)</f>
        <v>0.5714285714285714</v>
      </c>
      <c r="I373" s="8" t="str">
        <f>IF(H373&gt;0.97,"Sold Out",IF(H373&gt;=0.85,"Critical",IF(H373&gt;=0.7,"Constrained","Healthy")))</f>
        <v>Healthy</v>
      </c>
      <c r="J373" s="6">
        <v>0</v>
      </c>
      <c r="K373" s="9"/>
    </row>
    <row r="374" spans="1:11">
      <c r="A374" s="1" t="s">
        <v>146</v>
      </c>
      <c r="B374" s="1" t="s">
        <v>147</v>
      </c>
      <c r="C374" s="1" t="s">
        <v>189</v>
      </c>
      <c r="D374" s="9">
        <v>46296</v>
      </c>
      <c r="E374" s="10">
        <v>2208</v>
      </c>
      <c r="F374" s="10">
        <v>2112</v>
      </c>
      <c r="G374" s="10">
        <f>E374-F374</f>
        <v>96</v>
      </c>
      <c r="H374" s="7">
        <f>IF(E374=0,0,F374/E374)</f>
        <v>0.95652173913043481</v>
      </c>
      <c r="I374" s="8" t="str">
        <f>IF(H374&gt;0.97,"Sold Out",IF(H374&gt;=0.85,"Critical",IF(H374&gt;=0.7,"Constrained","Healthy")))</f>
        <v>Critical</v>
      </c>
      <c r="J374" s="6">
        <v>0</v>
      </c>
      <c r="K374" s="9"/>
    </row>
    <row r="375" spans="1:11">
      <c r="A375" s="1" t="s">
        <v>146</v>
      </c>
      <c r="B375" s="1" t="s">
        <v>147</v>
      </c>
      <c r="C375" s="1" t="s">
        <v>189</v>
      </c>
      <c r="D375" s="9">
        <v>46327</v>
      </c>
      <c r="E375" s="10">
        <v>2208</v>
      </c>
      <c r="F375" s="10">
        <v>2208</v>
      </c>
      <c r="G375" s="10">
        <f>E375-F375</f>
        <v>0</v>
      </c>
      <c r="H375" s="7">
        <f>IF(E375=0,0,F375/E375)</f>
        <v>1</v>
      </c>
      <c r="I375" s="8" t="str">
        <f>IF(H375&gt;0.97,"Sold Out",IF(H375&gt;=0.85,"Critical",IF(H375&gt;=0.7,"Constrained","Healthy")))</f>
        <v>Sold Out</v>
      </c>
      <c r="J375" s="6">
        <v>0</v>
      </c>
      <c r="K375" s="9"/>
    </row>
    <row r="376" spans="1:11">
      <c r="A376" s="1" t="s">
        <v>146</v>
      </c>
      <c r="B376" s="1" t="s">
        <v>147</v>
      </c>
      <c r="C376" s="1" t="s">
        <v>189</v>
      </c>
      <c r="D376" s="9">
        <v>46357</v>
      </c>
      <c r="E376" s="10">
        <v>2208</v>
      </c>
      <c r="F376" s="10">
        <v>2304</v>
      </c>
      <c r="G376" s="10">
        <f>E376-F376</f>
        <v>-96</v>
      </c>
      <c r="H376" s="7">
        <f>IF(E376=0,0,F376/E376)</f>
        <v>1.0434782608695652</v>
      </c>
      <c r="I376" s="8" t="str">
        <f>IF(H376&gt;0.97,"Sold Out",IF(H376&gt;=0.85,"Critical",IF(H376&gt;=0.7,"Constrained","Healthy")))</f>
        <v>Sold Out</v>
      </c>
      <c r="J376" s="6">
        <v>0</v>
      </c>
      <c r="K376" s="9"/>
    </row>
    <row r="377" spans="1:11">
      <c r="A377" s="1" t="s">
        <v>146</v>
      </c>
      <c r="B377" s="1" t="s">
        <v>147</v>
      </c>
      <c r="C377" s="1" t="s">
        <v>189</v>
      </c>
      <c r="D377" s="9">
        <v>46388</v>
      </c>
      <c r="E377" s="10">
        <v>2208</v>
      </c>
      <c r="F377" s="10">
        <v>2400</v>
      </c>
      <c r="G377" s="10">
        <f>E377-F377</f>
        <v>-192</v>
      </c>
      <c r="H377" s="7">
        <f>IF(E377=0,0,F377/E377)</f>
        <v>1.0869565217391304</v>
      </c>
      <c r="I377" s="8" t="str">
        <f>IF(H377&gt;0.97,"Sold Out",IF(H377&gt;=0.85,"Critical",IF(H377&gt;=0.7,"Constrained","Healthy")))</f>
        <v>Sold Out</v>
      </c>
      <c r="J377" s="6">
        <v>0</v>
      </c>
      <c r="K377" s="9"/>
    </row>
    <row r="378" spans="1:11">
      <c r="A378" s="1" t="s">
        <v>146</v>
      </c>
      <c r="B378" s="1" t="s">
        <v>147</v>
      </c>
      <c r="C378" s="1" t="s">
        <v>189</v>
      </c>
      <c r="D378" s="9">
        <v>46419</v>
      </c>
      <c r="E378" s="10">
        <v>2208</v>
      </c>
      <c r="F378" s="10">
        <v>2496</v>
      </c>
      <c r="G378" s="10">
        <f>E378-F378</f>
        <v>-288</v>
      </c>
      <c r="H378" s="7">
        <f>IF(E378=0,0,F378/E378)</f>
        <v>1.1304347826086956</v>
      </c>
      <c r="I378" s="8" t="str">
        <f>IF(H378&gt;0.97,"Sold Out",IF(H378&gt;=0.85,"Critical",IF(H378&gt;=0.7,"Constrained","Healthy")))</f>
        <v>Sold Out</v>
      </c>
      <c r="J378" s="6">
        <v>0</v>
      </c>
      <c r="K378" s="9"/>
    </row>
    <row r="379" spans="1:11">
      <c r="A379" s="1" t="s">
        <v>146</v>
      </c>
      <c r="B379" s="1" t="s">
        <v>147</v>
      </c>
      <c r="C379" s="1" t="s">
        <v>189</v>
      </c>
      <c r="D379" s="9">
        <v>46447</v>
      </c>
      <c r="E379" s="10">
        <v>2208</v>
      </c>
      <c r="F379" s="10">
        <v>2592</v>
      </c>
      <c r="G379" s="10">
        <f>E379-F379</f>
        <v>-384</v>
      </c>
      <c r="H379" s="7">
        <f>IF(E379=0,0,F379/E379)</f>
        <v>1.173913043478261</v>
      </c>
      <c r="I379" s="8" t="str">
        <f>IF(H379&gt;0.97,"Sold Out",IF(H379&gt;=0.85,"Critical",IF(H379&gt;=0.7,"Constrained","Healthy")))</f>
        <v>Sold Out</v>
      </c>
      <c r="J379" s="6">
        <v>0</v>
      </c>
      <c r="K379" s="9"/>
    </row>
    <row r="380" spans="1:11">
      <c r="A380" s="1" t="s">
        <v>146</v>
      </c>
      <c r="B380" s="1" t="s">
        <v>147</v>
      </c>
      <c r="C380" s="1" t="s">
        <v>189</v>
      </c>
      <c r="D380" s="9">
        <v>46478</v>
      </c>
      <c r="E380" s="10">
        <v>2208</v>
      </c>
      <c r="F380" s="10">
        <v>2688</v>
      </c>
      <c r="G380" s="10">
        <f>E380-F380</f>
        <v>-480</v>
      </c>
      <c r="H380" s="7">
        <f>IF(E380=0,0,F380/E380)</f>
        <v>1.2173913043478262</v>
      </c>
      <c r="I380" s="8" t="str">
        <f>IF(H380&gt;0.97,"Sold Out",IF(H380&gt;=0.85,"Critical",IF(H380&gt;=0.7,"Constrained","Healthy")))</f>
        <v>Sold Out</v>
      </c>
      <c r="J380" s="6">
        <v>0</v>
      </c>
      <c r="K380" s="9"/>
    </row>
    <row r="381" spans="1:11">
      <c r="A381" s="1" t="s">
        <v>146</v>
      </c>
      <c r="B381" s="1" t="s">
        <v>147</v>
      </c>
      <c r="C381" s="1" t="s">
        <v>189</v>
      </c>
      <c r="D381" s="9">
        <v>46508</v>
      </c>
      <c r="E381" s="10">
        <v>2880</v>
      </c>
      <c r="F381" s="10">
        <v>2880</v>
      </c>
      <c r="G381" s="10">
        <f>E381-F381</f>
        <v>0</v>
      </c>
      <c r="H381" s="7">
        <f>IF(E381=0,0,F381/E381)</f>
        <v>1</v>
      </c>
      <c r="I381" s="8" t="str">
        <f>IF(H381&gt;0.97,"Sold Out",IF(H381&gt;=0.85,"Critical",IF(H381&gt;=0.7,"Constrained","Healthy")))</f>
        <v>Sold Out</v>
      </c>
      <c r="J381" s="6">
        <v>672</v>
      </c>
      <c r="K381" s="9">
        <v>46508</v>
      </c>
    </row>
    <row r="382" spans="1:11">
      <c r="A382" s="1" t="s">
        <v>146</v>
      </c>
      <c r="B382" s="1" t="s">
        <v>147</v>
      </c>
      <c r="C382" s="1" t="s">
        <v>189</v>
      </c>
      <c r="D382" s="9">
        <v>46539</v>
      </c>
      <c r="E382" s="10">
        <v>2880</v>
      </c>
      <c r="F382" s="10">
        <v>3072</v>
      </c>
      <c r="G382" s="10">
        <f>E382-F382</f>
        <v>-192</v>
      </c>
      <c r="H382" s="7">
        <f>IF(E382=0,0,F382/E382)</f>
        <v>1.0666666666666667</v>
      </c>
      <c r="I382" s="8" t="str">
        <f>IF(H382&gt;0.97,"Sold Out",IF(H382&gt;=0.85,"Critical",IF(H382&gt;=0.7,"Constrained","Healthy")))</f>
        <v>Sold Out</v>
      </c>
      <c r="J382" s="6">
        <v>0</v>
      </c>
      <c r="K382" s="9"/>
    </row>
    <row r="383" spans="1:11">
      <c r="A383" s="1" t="s">
        <v>146</v>
      </c>
      <c r="B383" s="1" t="s">
        <v>147</v>
      </c>
      <c r="C383" s="1" t="s">
        <v>189</v>
      </c>
      <c r="D383" s="9">
        <v>46569</v>
      </c>
      <c r="E383" s="10">
        <v>2880</v>
      </c>
      <c r="F383" s="10">
        <v>3264</v>
      </c>
      <c r="G383" s="10">
        <f>E383-F383</f>
        <v>-384</v>
      </c>
      <c r="H383" s="7">
        <f>IF(E383=0,0,F383/E383)</f>
        <v>1.1333333333333333</v>
      </c>
      <c r="I383" s="8" t="str">
        <f>IF(H383&gt;0.97,"Sold Out",IF(H383&gt;=0.85,"Critical",IF(H383&gt;=0.7,"Constrained","Healthy")))</f>
        <v>Sold Out</v>
      </c>
      <c r="J383" s="6">
        <v>0</v>
      </c>
      <c r="K383" s="9"/>
    </row>
    <row r="384" spans="1:11">
      <c r="A384" s="1" t="s">
        <v>146</v>
      </c>
      <c r="B384" s="1" t="s">
        <v>147</v>
      </c>
      <c r="C384" s="1" t="s">
        <v>189</v>
      </c>
      <c r="D384" s="9">
        <v>46600</v>
      </c>
      <c r="E384" s="10">
        <v>2880</v>
      </c>
      <c r="F384" s="10">
        <v>3456</v>
      </c>
      <c r="G384" s="10">
        <f>E384-F384</f>
        <v>-576</v>
      </c>
      <c r="H384" s="7">
        <f>IF(E384=0,0,F384/E384)</f>
        <v>1.2</v>
      </c>
      <c r="I384" s="8" t="str">
        <f>IF(H384&gt;0.97,"Sold Out",IF(H384&gt;=0.85,"Critical",IF(H384&gt;=0.7,"Constrained","Healthy")))</f>
        <v>Sold Out</v>
      </c>
      <c r="J384" s="6">
        <v>0</v>
      </c>
      <c r="K384" s="9"/>
    </row>
    <row r="385" spans="1:11">
      <c r="A385" s="1" t="s">
        <v>146</v>
      </c>
      <c r="B385" s="1" t="s">
        <v>147</v>
      </c>
      <c r="C385" s="1" t="s">
        <v>189</v>
      </c>
      <c r="D385" s="9">
        <v>46631</v>
      </c>
      <c r="E385" s="10">
        <v>2880</v>
      </c>
      <c r="F385" s="10">
        <v>3648</v>
      </c>
      <c r="G385" s="10">
        <f>E385-F385</f>
        <v>-768</v>
      </c>
      <c r="H385" s="7">
        <f>IF(E385=0,0,F385/E385)</f>
        <v>1.2666666666666666</v>
      </c>
      <c r="I385" s="8" t="str">
        <f>IF(H385&gt;0.97,"Sold Out",IF(H385&gt;=0.85,"Critical",IF(H385&gt;=0.7,"Constrained","Healthy")))</f>
        <v>Sold Out</v>
      </c>
      <c r="J385" s="6">
        <v>0</v>
      </c>
      <c r="K385" s="9"/>
    </row>
    <row r="386" spans="1:11">
      <c r="A386" s="1" t="s">
        <v>220</v>
      </c>
      <c r="B386" s="1" t="s">
        <v>147</v>
      </c>
      <c r="C386" s="1" t="s">
        <v>189</v>
      </c>
      <c r="D386" s="9">
        <v>46296</v>
      </c>
      <c r="E386" s="10">
        <v>768</v>
      </c>
      <c r="F386" s="10">
        <v>768</v>
      </c>
      <c r="G386" s="10">
        <f>E386-F386</f>
        <v>0</v>
      </c>
      <c r="H386" s="7">
        <f>IF(E386=0,0,F386/E386)</f>
        <v>1</v>
      </c>
      <c r="I386" s="8" t="str">
        <f>IF(H386&gt;0.97,"Sold Out",IF(H386&gt;=0.85,"Critical",IF(H386&gt;=0.7,"Constrained","Healthy")))</f>
        <v>Sold Out</v>
      </c>
      <c r="J386" s="6">
        <v>0</v>
      </c>
      <c r="K386" s="9"/>
    </row>
    <row r="387" spans="1:11">
      <c r="A387" s="1" t="s">
        <v>220</v>
      </c>
      <c r="B387" s="1" t="s">
        <v>147</v>
      </c>
      <c r="C387" s="1" t="s">
        <v>189</v>
      </c>
      <c r="D387" s="9">
        <v>46327</v>
      </c>
      <c r="E387" s="10">
        <v>768</v>
      </c>
      <c r="F387" s="10">
        <v>768</v>
      </c>
      <c r="G387" s="10">
        <f>E387-F387</f>
        <v>0</v>
      </c>
      <c r="H387" s="7">
        <f>IF(E387=0,0,F387/E387)</f>
        <v>1</v>
      </c>
      <c r="I387" s="8" t="str">
        <f>IF(H387&gt;0.97,"Sold Out",IF(H387&gt;=0.85,"Critical",IF(H387&gt;=0.7,"Constrained","Healthy")))</f>
        <v>Sold Out</v>
      </c>
      <c r="J387" s="6">
        <v>0</v>
      </c>
      <c r="K387" s="9"/>
    </row>
    <row r="388" spans="1:11">
      <c r="A388" s="1" t="s">
        <v>220</v>
      </c>
      <c r="B388" s="1" t="s">
        <v>147</v>
      </c>
      <c r="C388" s="1" t="s">
        <v>189</v>
      </c>
      <c r="D388" s="9">
        <v>46357</v>
      </c>
      <c r="E388" s="10">
        <v>768</v>
      </c>
      <c r="F388" s="10">
        <v>768</v>
      </c>
      <c r="G388" s="10">
        <f>E388-F388</f>
        <v>0</v>
      </c>
      <c r="H388" s="7">
        <f>IF(E388=0,0,F388/E388)</f>
        <v>1</v>
      </c>
      <c r="I388" s="8" t="str">
        <f>IF(H388&gt;0.97,"Sold Out",IF(H388&gt;=0.85,"Critical",IF(H388&gt;=0.7,"Constrained","Healthy")))</f>
        <v>Sold Out</v>
      </c>
      <c r="J388" s="6">
        <v>0</v>
      </c>
      <c r="K388" s="9"/>
    </row>
    <row r="389" spans="1:11">
      <c r="A389" s="1" t="s">
        <v>220</v>
      </c>
      <c r="B389" s="1" t="s">
        <v>147</v>
      </c>
      <c r="C389" s="1" t="s">
        <v>189</v>
      </c>
      <c r="D389" s="9">
        <v>46388</v>
      </c>
      <c r="E389" s="10">
        <v>768</v>
      </c>
      <c r="F389" s="10">
        <v>768</v>
      </c>
      <c r="G389" s="10">
        <f>E389-F389</f>
        <v>0</v>
      </c>
      <c r="H389" s="7">
        <f>IF(E389=0,0,F389/E389)</f>
        <v>1</v>
      </c>
      <c r="I389" s="8" t="str">
        <f>IF(H389&gt;0.97,"Sold Out",IF(H389&gt;=0.85,"Critical",IF(H389&gt;=0.7,"Constrained","Healthy")))</f>
        <v>Sold Out</v>
      </c>
      <c r="J389" s="6">
        <v>0</v>
      </c>
      <c r="K389" s="9"/>
    </row>
    <row r="390" spans="1:11">
      <c r="A390" s="1" t="s">
        <v>220</v>
      </c>
      <c r="B390" s="1" t="s">
        <v>147</v>
      </c>
      <c r="C390" s="1" t="s">
        <v>189</v>
      </c>
      <c r="D390" s="9">
        <v>46419</v>
      </c>
      <c r="E390" s="10">
        <v>768</v>
      </c>
      <c r="F390" s="10">
        <v>768</v>
      </c>
      <c r="G390" s="10">
        <f>E390-F390</f>
        <v>0</v>
      </c>
      <c r="H390" s="7">
        <f>IF(E390=0,0,F390/E390)</f>
        <v>1</v>
      </c>
      <c r="I390" s="8" t="str">
        <f>IF(H390&gt;0.97,"Sold Out",IF(H390&gt;=0.85,"Critical",IF(H390&gt;=0.7,"Constrained","Healthy")))</f>
        <v>Sold Out</v>
      </c>
      <c r="J390" s="6">
        <v>0</v>
      </c>
      <c r="K390" s="9"/>
    </row>
    <row r="391" spans="1:11">
      <c r="A391" s="1" t="s">
        <v>220</v>
      </c>
      <c r="B391" s="1" t="s">
        <v>147</v>
      </c>
      <c r="C391" s="1" t="s">
        <v>189</v>
      </c>
      <c r="D391" s="9">
        <v>46447</v>
      </c>
      <c r="E391" s="10">
        <v>768</v>
      </c>
      <c r="F391" s="10">
        <v>768</v>
      </c>
      <c r="G391" s="10">
        <f>E391-F391</f>
        <v>0</v>
      </c>
      <c r="H391" s="7">
        <f>IF(E391=0,0,F391/E391)</f>
        <v>1</v>
      </c>
      <c r="I391" s="8" t="str">
        <f>IF(H391&gt;0.97,"Sold Out",IF(H391&gt;=0.85,"Critical",IF(H391&gt;=0.7,"Constrained","Healthy")))</f>
        <v>Sold Out</v>
      </c>
      <c r="J391" s="6">
        <v>0</v>
      </c>
      <c r="K391" s="9"/>
    </row>
    <row r="392" spans="1:11">
      <c r="A392" s="1" t="s">
        <v>220</v>
      </c>
      <c r="B392" s="1" t="s">
        <v>147</v>
      </c>
      <c r="C392" s="1" t="s">
        <v>189</v>
      </c>
      <c r="D392" s="9">
        <v>46478</v>
      </c>
      <c r="E392" s="10">
        <v>768</v>
      </c>
      <c r="F392" s="10">
        <v>768</v>
      </c>
      <c r="G392" s="10">
        <f>E392-F392</f>
        <v>0</v>
      </c>
      <c r="H392" s="7">
        <f>IF(E392=0,0,F392/E392)</f>
        <v>1</v>
      </c>
      <c r="I392" s="8" t="str">
        <f>IF(H392&gt;0.97,"Sold Out",IF(H392&gt;=0.85,"Critical",IF(H392&gt;=0.7,"Constrained","Healthy")))</f>
        <v>Sold Out</v>
      </c>
      <c r="J392" s="6">
        <v>0</v>
      </c>
      <c r="K392" s="9"/>
    </row>
    <row r="393" spans="1:11">
      <c r="A393" s="1" t="s">
        <v>220</v>
      </c>
      <c r="B393" s="1" t="s">
        <v>147</v>
      </c>
      <c r="C393" s="1" t="s">
        <v>189</v>
      </c>
      <c r="D393" s="9">
        <v>46508</v>
      </c>
      <c r="E393" s="10">
        <v>768</v>
      </c>
      <c r="F393" s="10">
        <v>768</v>
      </c>
      <c r="G393" s="10">
        <f>E393-F393</f>
        <v>0</v>
      </c>
      <c r="H393" s="7">
        <f>IF(E393=0,0,F393/E393)</f>
        <v>1</v>
      </c>
      <c r="I393" s="8" t="str">
        <f>IF(H393&gt;0.97,"Sold Out",IF(H393&gt;=0.85,"Critical",IF(H393&gt;=0.7,"Constrained","Healthy")))</f>
        <v>Sold Out</v>
      </c>
      <c r="J393" s="6">
        <v>0</v>
      </c>
      <c r="K393" s="9"/>
    </row>
    <row r="394" spans="1:11">
      <c r="A394" s="1" t="s">
        <v>220</v>
      </c>
      <c r="B394" s="1" t="s">
        <v>147</v>
      </c>
      <c r="C394" s="1" t="s">
        <v>189</v>
      </c>
      <c r="D394" s="9">
        <v>46539</v>
      </c>
      <c r="E394" s="10">
        <v>960</v>
      </c>
      <c r="F394" s="10">
        <v>768</v>
      </c>
      <c r="G394" s="10">
        <f>E394-F394</f>
        <v>192</v>
      </c>
      <c r="H394" s="7">
        <f>IF(E394=0,0,F394/E394)</f>
        <v>0.8</v>
      </c>
      <c r="I394" s="8" t="str">
        <f>IF(H394&gt;0.97,"Sold Out",IF(H394&gt;=0.85,"Critical",IF(H394&gt;=0.7,"Constrained","Healthy")))</f>
        <v>Constrained</v>
      </c>
      <c r="J394" s="6">
        <v>192</v>
      </c>
      <c r="K394" s="9">
        <v>46539</v>
      </c>
    </row>
    <row r="395" spans="1:11">
      <c r="A395" s="1" t="s">
        <v>220</v>
      </c>
      <c r="B395" s="1" t="s">
        <v>147</v>
      </c>
      <c r="C395" s="1" t="s">
        <v>189</v>
      </c>
      <c r="D395" s="9">
        <v>46569</v>
      </c>
      <c r="E395" s="10">
        <v>960</v>
      </c>
      <c r="F395" s="10">
        <v>768</v>
      </c>
      <c r="G395" s="10">
        <f>E395-F395</f>
        <v>192</v>
      </c>
      <c r="H395" s="7">
        <f>IF(E395=0,0,F395/E395)</f>
        <v>0.8</v>
      </c>
      <c r="I395" s="8" t="str">
        <f>IF(H395&gt;0.97,"Sold Out",IF(H395&gt;=0.85,"Critical",IF(H395&gt;=0.7,"Constrained","Healthy")))</f>
        <v>Constrained</v>
      </c>
      <c r="J395" s="6">
        <v>0</v>
      </c>
      <c r="K395" s="9"/>
    </row>
    <row r="396" spans="1:11">
      <c r="A396" s="1" t="s">
        <v>220</v>
      </c>
      <c r="B396" s="1" t="s">
        <v>147</v>
      </c>
      <c r="C396" s="1" t="s">
        <v>189</v>
      </c>
      <c r="D396" s="9">
        <v>46600</v>
      </c>
      <c r="E396" s="10">
        <v>960</v>
      </c>
      <c r="F396" s="10">
        <v>768</v>
      </c>
      <c r="G396" s="10">
        <f>E396-F396</f>
        <v>192</v>
      </c>
      <c r="H396" s="7">
        <f>IF(E396=0,0,F396/E396)</f>
        <v>0.8</v>
      </c>
      <c r="I396" s="8" t="str">
        <f>IF(H396&gt;0.97,"Sold Out",IF(H396&gt;=0.85,"Critical",IF(H396&gt;=0.7,"Constrained","Healthy")))</f>
        <v>Constrained</v>
      </c>
      <c r="J396" s="6">
        <v>0</v>
      </c>
      <c r="K396" s="9"/>
    </row>
    <row r="397" spans="1:11">
      <c r="A397" s="1" t="s">
        <v>220</v>
      </c>
      <c r="B397" s="1" t="s">
        <v>147</v>
      </c>
      <c r="C397" s="1" t="s">
        <v>189</v>
      </c>
      <c r="D397" s="9">
        <v>46631</v>
      </c>
      <c r="E397" s="10">
        <v>960</v>
      </c>
      <c r="F397" s="10">
        <v>768</v>
      </c>
      <c r="G397" s="10">
        <f>E397-F397</f>
        <v>192</v>
      </c>
      <c r="H397" s="7">
        <f>IF(E397=0,0,F397/E397)</f>
        <v>0.8</v>
      </c>
      <c r="I397" s="8" t="str">
        <f>IF(H397&gt;0.97,"Sold Out",IF(H397&gt;=0.85,"Critical",IF(H397&gt;=0.7,"Constrained","Healthy")))</f>
        <v>Constrained</v>
      </c>
      <c r="J397" s="6">
        <v>0</v>
      </c>
      <c r="K397" s="9"/>
    </row>
    <row r="398" spans="1:11">
      <c r="A398" s="1" t="s">
        <v>259</v>
      </c>
      <c r="B398" s="1" t="s">
        <v>147</v>
      </c>
      <c r="C398" s="1" t="s">
        <v>189</v>
      </c>
      <c r="D398" s="9">
        <v>46296</v>
      </c>
      <c r="E398" s="10">
        <v>1152</v>
      </c>
      <c r="F398" s="10">
        <v>1248</v>
      </c>
      <c r="G398" s="10">
        <f>E398-F398</f>
        <v>-96</v>
      </c>
      <c r="H398" s="7">
        <f>IF(E398=0,0,F398/E398)</f>
        <v>1.0833333333333333</v>
      </c>
      <c r="I398" s="8" t="str">
        <f>IF(H398&gt;0.97,"Sold Out",IF(H398&gt;=0.85,"Critical",IF(H398&gt;=0.7,"Constrained","Healthy")))</f>
        <v>Sold Out</v>
      </c>
      <c r="J398" s="6">
        <v>0</v>
      </c>
      <c r="K398" s="9"/>
    </row>
    <row r="399" spans="1:11">
      <c r="A399" s="1" t="s">
        <v>259</v>
      </c>
      <c r="B399" s="1" t="s">
        <v>147</v>
      </c>
      <c r="C399" s="1" t="s">
        <v>189</v>
      </c>
      <c r="D399" s="9">
        <v>46327</v>
      </c>
      <c r="E399" s="10">
        <v>1152</v>
      </c>
      <c r="F399" s="10">
        <v>1344</v>
      </c>
      <c r="G399" s="10">
        <f>E399-F399</f>
        <v>-192</v>
      </c>
      <c r="H399" s="7">
        <f>IF(E399=0,0,F399/E399)</f>
        <v>1.1666666666666667</v>
      </c>
      <c r="I399" s="8" t="str">
        <f>IF(H399&gt;0.97,"Sold Out",IF(H399&gt;=0.85,"Critical",IF(H399&gt;=0.7,"Constrained","Healthy")))</f>
        <v>Sold Out</v>
      </c>
      <c r="J399" s="6">
        <v>0</v>
      </c>
      <c r="K399" s="9"/>
    </row>
    <row r="400" spans="1:11">
      <c r="A400" s="1" t="s">
        <v>259</v>
      </c>
      <c r="B400" s="1" t="s">
        <v>147</v>
      </c>
      <c r="C400" s="1" t="s">
        <v>189</v>
      </c>
      <c r="D400" s="9">
        <v>46357</v>
      </c>
      <c r="E400" s="10">
        <v>1152</v>
      </c>
      <c r="F400" s="10">
        <v>1440</v>
      </c>
      <c r="G400" s="10">
        <f>E400-F400</f>
        <v>-288</v>
      </c>
      <c r="H400" s="7">
        <f>IF(E400=0,0,F400/E400)</f>
        <v>1.25</v>
      </c>
      <c r="I400" s="8" t="str">
        <f>IF(H400&gt;0.97,"Sold Out",IF(H400&gt;=0.85,"Critical",IF(H400&gt;=0.7,"Constrained","Healthy")))</f>
        <v>Sold Out</v>
      </c>
      <c r="J400" s="6">
        <v>0</v>
      </c>
      <c r="K400" s="9"/>
    </row>
    <row r="401" spans="1:11">
      <c r="A401" s="1" t="s">
        <v>259</v>
      </c>
      <c r="B401" s="1" t="s">
        <v>147</v>
      </c>
      <c r="C401" s="1" t="s">
        <v>189</v>
      </c>
      <c r="D401" s="9">
        <v>46388</v>
      </c>
      <c r="E401" s="10">
        <v>1152</v>
      </c>
      <c r="F401" s="10">
        <v>1536</v>
      </c>
      <c r="G401" s="10">
        <f>E401-F401</f>
        <v>-384</v>
      </c>
      <c r="H401" s="7">
        <f>IF(E401=0,0,F401/E401)</f>
        <v>1.3333333333333333</v>
      </c>
      <c r="I401" s="8" t="str">
        <f>IF(H401&gt;0.97,"Sold Out",IF(H401&gt;=0.85,"Critical",IF(H401&gt;=0.7,"Constrained","Healthy")))</f>
        <v>Sold Out</v>
      </c>
      <c r="J401" s="6">
        <v>0</v>
      </c>
      <c r="K401" s="9"/>
    </row>
    <row r="402" spans="1:11">
      <c r="A402" s="1" t="s">
        <v>259</v>
      </c>
      <c r="B402" s="1" t="s">
        <v>147</v>
      </c>
      <c r="C402" s="1" t="s">
        <v>189</v>
      </c>
      <c r="D402" s="9">
        <v>46419</v>
      </c>
      <c r="E402" s="10">
        <v>1152</v>
      </c>
      <c r="F402" s="10">
        <v>1632</v>
      </c>
      <c r="G402" s="10">
        <f>E402-F402</f>
        <v>-480</v>
      </c>
      <c r="H402" s="7">
        <f>IF(E402=0,0,F402/E402)</f>
        <v>1.4166666666666667</v>
      </c>
      <c r="I402" s="8" t="str">
        <f>IF(H402&gt;0.97,"Sold Out",IF(H402&gt;=0.85,"Critical",IF(H402&gt;=0.7,"Constrained","Healthy")))</f>
        <v>Sold Out</v>
      </c>
      <c r="J402" s="6">
        <v>0</v>
      </c>
      <c r="K402" s="9"/>
    </row>
    <row r="403" spans="1:11">
      <c r="A403" s="1" t="s">
        <v>259</v>
      </c>
      <c r="B403" s="1" t="s">
        <v>147</v>
      </c>
      <c r="C403" s="1" t="s">
        <v>189</v>
      </c>
      <c r="D403" s="9">
        <v>46447</v>
      </c>
      <c r="E403" s="10">
        <v>1152</v>
      </c>
      <c r="F403" s="10">
        <v>1728</v>
      </c>
      <c r="G403" s="10">
        <f>E403-F403</f>
        <v>-576</v>
      </c>
      <c r="H403" s="7">
        <f>IF(E403=0,0,F403/E403)</f>
        <v>1.5</v>
      </c>
      <c r="I403" s="8" t="str">
        <f>IF(H403&gt;0.97,"Sold Out",IF(H403&gt;=0.85,"Critical",IF(H403&gt;=0.7,"Constrained","Healthy")))</f>
        <v>Sold Out</v>
      </c>
      <c r="J403" s="6">
        <v>0</v>
      </c>
      <c r="K403" s="9"/>
    </row>
    <row r="404" spans="1:11">
      <c r="A404" s="1" t="s">
        <v>259</v>
      </c>
      <c r="B404" s="1" t="s">
        <v>147</v>
      </c>
      <c r="C404" s="1" t="s">
        <v>189</v>
      </c>
      <c r="D404" s="9">
        <v>46478</v>
      </c>
      <c r="E404" s="10">
        <v>1152</v>
      </c>
      <c r="F404" s="10">
        <v>1824</v>
      </c>
      <c r="G404" s="10">
        <f>E404-F404</f>
        <v>-672</v>
      </c>
      <c r="H404" s="7">
        <f>IF(E404=0,0,F404/E404)</f>
        <v>1.5833333333333333</v>
      </c>
      <c r="I404" s="8" t="str">
        <f>IF(H404&gt;0.97,"Sold Out",IF(H404&gt;=0.85,"Critical",IF(H404&gt;=0.7,"Constrained","Healthy")))</f>
        <v>Sold Out</v>
      </c>
      <c r="J404" s="6">
        <v>0</v>
      </c>
      <c r="K404" s="9"/>
    </row>
    <row r="405" spans="1:11">
      <c r="A405" s="1" t="s">
        <v>259</v>
      </c>
      <c r="B405" s="1" t="s">
        <v>147</v>
      </c>
      <c r="C405" s="1" t="s">
        <v>189</v>
      </c>
      <c r="D405" s="9">
        <v>46508</v>
      </c>
      <c r="E405" s="10">
        <v>1632</v>
      </c>
      <c r="F405" s="10">
        <v>1920</v>
      </c>
      <c r="G405" s="10">
        <f>E405-F405</f>
        <v>-288</v>
      </c>
      <c r="H405" s="7">
        <f>IF(E405=0,0,F405/E405)</f>
        <v>1.1764705882352942</v>
      </c>
      <c r="I405" s="8" t="str">
        <f>IF(H405&gt;0.97,"Sold Out",IF(H405&gt;=0.85,"Critical",IF(H405&gt;=0.7,"Constrained","Healthy")))</f>
        <v>Sold Out</v>
      </c>
      <c r="J405" s="6">
        <v>480</v>
      </c>
      <c r="K405" s="9">
        <v>46508</v>
      </c>
    </row>
    <row r="406" spans="1:11">
      <c r="A406" s="1" t="s">
        <v>259</v>
      </c>
      <c r="B406" s="1" t="s">
        <v>147</v>
      </c>
      <c r="C406" s="1" t="s">
        <v>189</v>
      </c>
      <c r="D406" s="9">
        <v>46539</v>
      </c>
      <c r="E406" s="10">
        <v>1632</v>
      </c>
      <c r="F406" s="10">
        <v>2016</v>
      </c>
      <c r="G406" s="10">
        <f>E406-F406</f>
        <v>-384</v>
      </c>
      <c r="H406" s="7">
        <f>IF(E406=0,0,F406/E406)</f>
        <v>1.2352941176470589</v>
      </c>
      <c r="I406" s="8" t="str">
        <f>IF(H406&gt;0.97,"Sold Out",IF(H406&gt;=0.85,"Critical",IF(H406&gt;=0.7,"Constrained","Healthy")))</f>
        <v>Sold Out</v>
      </c>
      <c r="J406" s="6">
        <v>0</v>
      </c>
      <c r="K406" s="9"/>
    </row>
    <row r="407" spans="1:11">
      <c r="A407" s="1" t="s">
        <v>259</v>
      </c>
      <c r="B407" s="1" t="s">
        <v>147</v>
      </c>
      <c r="C407" s="1" t="s">
        <v>189</v>
      </c>
      <c r="D407" s="9">
        <v>46569</v>
      </c>
      <c r="E407" s="10">
        <v>1632</v>
      </c>
      <c r="F407" s="10">
        <v>2112</v>
      </c>
      <c r="G407" s="10">
        <f>E407-F407</f>
        <v>-480</v>
      </c>
      <c r="H407" s="7">
        <f>IF(E407=0,0,F407/E407)</f>
        <v>1.2941176470588236</v>
      </c>
      <c r="I407" s="8" t="str">
        <f>IF(H407&gt;0.97,"Sold Out",IF(H407&gt;=0.85,"Critical",IF(H407&gt;=0.7,"Constrained","Healthy")))</f>
        <v>Sold Out</v>
      </c>
      <c r="J407" s="6">
        <v>0</v>
      </c>
      <c r="K407" s="9"/>
    </row>
    <row r="408" spans="1:11">
      <c r="A408" s="1" t="s">
        <v>259</v>
      </c>
      <c r="B408" s="1" t="s">
        <v>147</v>
      </c>
      <c r="C408" s="1" t="s">
        <v>189</v>
      </c>
      <c r="D408" s="9">
        <v>46600</v>
      </c>
      <c r="E408" s="10">
        <v>1632</v>
      </c>
      <c r="F408" s="10">
        <v>2208</v>
      </c>
      <c r="G408" s="10">
        <f>E408-F408</f>
        <v>-576</v>
      </c>
      <c r="H408" s="7">
        <f>IF(E408=0,0,F408/E408)</f>
        <v>1.3529411764705883</v>
      </c>
      <c r="I408" s="8" t="str">
        <f>IF(H408&gt;0.97,"Sold Out",IF(H408&gt;=0.85,"Critical",IF(H408&gt;=0.7,"Constrained","Healthy")))</f>
        <v>Sold Out</v>
      </c>
      <c r="J408" s="6">
        <v>0</v>
      </c>
      <c r="K408" s="9"/>
    </row>
    <row r="409" spans="1:11">
      <c r="A409" s="1" t="s">
        <v>259</v>
      </c>
      <c r="B409" s="1" t="s">
        <v>147</v>
      </c>
      <c r="C409" s="1" t="s">
        <v>189</v>
      </c>
      <c r="D409" s="9">
        <v>46631</v>
      </c>
      <c r="E409" s="10">
        <v>1632</v>
      </c>
      <c r="F409" s="10">
        <v>2304</v>
      </c>
      <c r="G409" s="10">
        <f>E409-F409</f>
        <v>-672</v>
      </c>
      <c r="H409" s="7">
        <f>IF(E409=0,0,F409/E409)</f>
        <v>1.411764705882353</v>
      </c>
      <c r="I409" s="8" t="str">
        <f>IF(H409&gt;0.97,"Sold Out",IF(H409&gt;=0.85,"Critical",IF(H409&gt;=0.7,"Constrained","Healthy")))</f>
        <v>Sold Out</v>
      </c>
      <c r="J409" s="6">
        <v>0</v>
      </c>
      <c r="K409" s="9"/>
    </row>
    <row r="410" spans="1:11">
      <c r="A410" s="1" t="s">
        <v>146</v>
      </c>
      <c r="B410" s="1" t="s">
        <v>147</v>
      </c>
      <c r="C410" s="1" t="s">
        <v>193</v>
      </c>
      <c r="D410" s="9">
        <v>46296</v>
      </c>
      <c r="E410" s="10">
        <v>1720</v>
      </c>
      <c r="F410" s="10">
        <v>1760</v>
      </c>
      <c r="G410" s="10">
        <f>E410-F410</f>
        <v>-40</v>
      </c>
      <c r="H410" s="7">
        <f>IF(E410=0,0,F410/E410)</f>
        <v>1.0232558139534884</v>
      </c>
      <c r="I410" s="8" t="str">
        <f>IF(H410&gt;0.97,"Sold Out",IF(H410&gt;=0.85,"Critical",IF(H410&gt;=0.7,"Constrained","Healthy")))</f>
        <v>Sold Out</v>
      </c>
      <c r="J410" s="6">
        <v>0</v>
      </c>
      <c r="K410" s="9"/>
    </row>
    <row r="411" spans="1:11">
      <c r="A411" s="1" t="s">
        <v>146</v>
      </c>
      <c r="B411" s="1" t="s">
        <v>147</v>
      </c>
      <c r="C411" s="1" t="s">
        <v>193</v>
      </c>
      <c r="D411" s="9">
        <v>46327</v>
      </c>
      <c r="E411" s="10">
        <v>1720</v>
      </c>
      <c r="F411" s="10">
        <v>1840</v>
      </c>
      <c r="G411" s="10">
        <f>E411-F411</f>
        <v>-120</v>
      </c>
      <c r="H411" s="7">
        <f>IF(E411=0,0,F411/E411)</f>
        <v>1.069767441860465</v>
      </c>
      <c r="I411" s="8" t="str">
        <f>IF(H411&gt;0.97,"Sold Out",IF(H411&gt;=0.85,"Critical",IF(H411&gt;=0.7,"Constrained","Healthy")))</f>
        <v>Sold Out</v>
      </c>
      <c r="J411" s="6">
        <v>0</v>
      </c>
      <c r="K411" s="9"/>
    </row>
    <row r="412" spans="1:11">
      <c r="A412" s="1" t="s">
        <v>146</v>
      </c>
      <c r="B412" s="1" t="s">
        <v>147</v>
      </c>
      <c r="C412" s="1" t="s">
        <v>193</v>
      </c>
      <c r="D412" s="9">
        <v>46357</v>
      </c>
      <c r="E412" s="10">
        <v>2160</v>
      </c>
      <c r="F412" s="10">
        <v>1960</v>
      </c>
      <c r="G412" s="10">
        <f>E412-F412</f>
        <v>200</v>
      </c>
      <c r="H412" s="7">
        <f>IF(E412=0,0,F412/E412)</f>
        <v>0.90740740740740744</v>
      </c>
      <c r="I412" s="8" t="str">
        <f>IF(H412&gt;0.97,"Sold Out",IF(H412&gt;=0.85,"Critical",IF(H412&gt;=0.7,"Constrained","Healthy")))</f>
        <v>Critical</v>
      </c>
      <c r="J412" s="6">
        <v>440</v>
      </c>
      <c r="K412" s="9">
        <v>46357</v>
      </c>
    </row>
    <row r="413" spans="1:11">
      <c r="A413" s="1" t="s">
        <v>146</v>
      </c>
      <c r="B413" s="1" t="s">
        <v>147</v>
      </c>
      <c r="C413" s="1" t="s">
        <v>193</v>
      </c>
      <c r="D413" s="9">
        <v>46388</v>
      </c>
      <c r="E413" s="10">
        <v>2160</v>
      </c>
      <c r="F413" s="10">
        <v>2080</v>
      </c>
      <c r="G413" s="10">
        <f>E413-F413</f>
        <v>80</v>
      </c>
      <c r="H413" s="7">
        <f>IF(E413=0,0,F413/E413)</f>
        <v>0.96296296296296291</v>
      </c>
      <c r="I413" s="8" t="str">
        <f>IF(H413&gt;0.97,"Sold Out",IF(H413&gt;=0.85,"Critical",IF(H413&gt;=0.7,"Constrained","Healthy")))</f>
        <v>Critical</v>
      </c>
      <c r="J413" s="6">
        <v>0</v>
      </c>
      <c r="K413" s="9"/>
    </row>
    <row r="414" spans="1:11">
      <c r="A414" s="1" t="s">
        <v>146</v>
      </c>
      <c r="B414" s="1" t="s">
        <v>147</v>
      </c>
      <c r="C414" s="1" t="s">
        <v>193</v>
      </c>
      <c r="D414" s="9">
        <v>46419</v>
      </c>
      <c r="E414" s="10">
        <v>2160</v>
      </c>
      <c r="F414" s="10">
        <v>2200</v>
      </c>
      <c r="G414" s="10">
        <f>E414-F414</f>
        <v>-40</v>
      </c>
      <c r="H414" s="7">
        <f>IF(E414=0,0,F414/E414)</f>
        <v>1.0185185185185186</v>
      </c>
      <c r="I414" s="8" t="str">
        <f>IF(H414&gt;0.97,"Sold Out",IF(H414&gt;=0.85,"Critical",IF(H414&gt;=0.7,"Constrained","Healthy")))</f>
        <v>Sold Out</v>
      </c>
      <c r="J414" s="6">
        <v>0</v>
      </c>
      <c r="K414" s="9"/>
    </row>
    <row r="415" spans="1:11">
      <c r="A415" s="1" t="s">
        <v>146</v>
      </c>
      <c r="B415" s="1" t="s">
        <v>147</v>
      </c>
      <c r="C415" s="1" t="s">
        <v>193</v>
      </c>
      <c r="D415" s="9">
        <v>46447</v>
      </c>
      <c r="E415" s="10">
        <v>2160</v>
      </c>
      <c r="F415" s="10">
        <v>2320</v>
      </c>
      <c r="G415" s="10">
        <f>E415-F415</f>
        <v>-160</v>
      </c>
      <c r="H415" s="7">
        <f>IF(E415=0,0,F415/E415)</f>
        <v>1.0740740740740742</v>
      </c>
      <c r="I415" s="8" t="str">
        <f>IF(H415&gt;0.97,"Sold Out",IF(H415&gt;=0.85,"Critical",IF(H415&gt;=0.7,"Constrained","Healthy")))</f>
        <v>Sold Out</v>
      </c>
      <c r="J415" s="6">
        <v>0</v>
      </c>
      <c r="K415" s="9"/>
    </row>
    <row r="416" spans="1:11">
      <c r="A416" s="1" t="s">
        <v>146</v>
      </c>
      <c r="B416" s="1" t="s">
        <v>147</v>
      </c>
      <c r="C416" s="1" t="s">
        <v>193</v>
      </c>
      <c r="D416" s="9">
        <v>46478</v>
      </c>
      <c r="E416" s="10">
        <v>2160</v>
      </c>
      <c r="F416" s="10">
        <v>2440</v>
      </c>
      <c r="G416" s="10">
        <f>E416-F416</f>
        <v>-280</v>
      </c>
      <c r="H416" s="7">
        <f>IF(E416=0,0,F416/E416)</f>
        <v>1.1296296296296295</v>
      </c>
      <c r="I416" s="8" t="str">
        <f>IF(H416&gt;0.97,"Sold Out",IF(H416&gt;=0.85,"Critical",IF(H416&gt;=0.7,"Constrained","Healthy")))</f>
        <v>Sold Out</v>
      </c>
      <c r="J416" s="6">
        <v>0</v>
      </c>
      <c r="K416" s="9"/>
    </row>
    <row r="417" spans="1:11">
      <c r="A417" s="1" t="s">
        <v>146</v>
      </c>
      <c r="B417" s="1" t="s">
        <v>147</v>
      </c>
      <c r="C417" s="1" t="s">
        <v>193</v>
      </c>
      <c r="D417" s="9">
        <v>46508</v>
      </c>
      <c r="E417" s="10">
        <v>2160</v>
      </c>
      <c r="F417" s="10">
        <v>2560</v>
      </c>
      <c r="G417" s="10">
        <f>E417-F417</f>
        <v>-400</v>
      </c>
      <c r="H417" s="7">
        <f>IF(E417=0,0,F417/E417)</f>
        <v>1.1851851851851851</v>
      </c>
      <c r="I417" s="8" t="str">
        <f>IF(H417&gt;0.97,"Sold Out",IF(H417&gt;=0.85,"Critical",IF(H417&gt;=0.7,"Constrained","Healthy")))</f>
        <v>Sold Out</v>
      </c>
      <c r="J417" s="6">
        <v>0</v>
      </c>
      <c r="K417" s="9"/>
    </row>
    <row r="418" spans="1:11">
      <c r="A418" s="1" t="s">
        <v>146</v>
      </c>
      <c r="B418" s="1" t="s">
        <v>147</v>
      </c>
      <c r="C418" s="1" t="s">
        <v>193</v>
      </c>
      <c r="D418" s="9">
        <v>46539</v>
      </c>
      <c r="E418" s="10">
        <v>2160</v>
      </c>
      <c r="F418" s="10">
        <v>2720</v>
      </c>
      <c r="G418" s="10">
        <f>E418-F418</f>
        <v>-560</v>
      </c>
      <c r="H418" s="7">
        <f>IF(E418=0,0,F418/E418)</f>
        <v>1.2592592592592593</v>
      </c>
      <c r="I418" s="8" t="str">
        <f>IF(H418&gt;0.97,"Sold Out",IF(H418&gt;=0.85,"Critical",IF(H418&gt;=0.7,"Constrained","Healthy")))</f>
        <v>Sold Out</v>
      </c>
      <c r="J418" s="6">
        <v>0</v>
      </c>
      <c r="K418" s="9"/>
    </row>
    <row r="419" spans="1:11">
      <c r="A419" s="1" t="s">
        <v>146</v>
      </c>
      <c r="B419" s="1" t="s">
        <v>147</v>
      </c>
      <c r="C419" s="1" t="s">
        <v>193</v>
      </c>
      <c r="D419" s="9">
        <v>46569</v>
      </c>
      <c r="E419" s="10">
        <v>2160</v>
      </c>
      <c r="F419" s="10">
        <v>2880</v>
      </c>
      <c r="G419" s="10">
        <f>E419-F419</f>
        <v>-720</v>
      </c>
      <c r="H419" s="7">
        <f>IF(E419=0,0,F419/E419)</f>
        <v>1.3333333333333333</v>
      </c>
      <c r="I419" s="8" t="str">
        <f>IF(H419&gt;0.97,"Sold Out",IF(H419&gt;=0.85,"Critical",IF(H419&gt;=0.7,"Constrained","Healthy")))</f>
        <v>Sold Out</v>
      </c>
      <c r="J419" s="6">
        <v>0</v>
      </c>
      <c r="K419" s="9"/>
    </row>
    <row r="420" spans="1:11">
      <c r="A420" s="1" t="s">
        <v>146</v>
      </c>
      <c r="B420" s="1" t="s">
        <v>147</v>
      </c>
      <c r="C420" s="1" t="s">
        <v>193</v>
      </c>
      <c r="D420" s="9">
        <v>46600</v>
      </c>
      <c r="E420" s="10">
        <v>2160</v>
      </c>
      <c r="F420" s="10">
        <v>3040</v>
      </c>
      <c r="G420" s="10">
        <f>E420-F420</f>
        <v>-880</v>
      </c>
      <c r="H420" s="7">
        <f>IF(E420=0,0,F420/E420)</f>
        <v>1.4074074074074074</v>
      </c>
      <c r="I420" s="8" t="str">
        <f>IF(H420&gt;0.97,"Sold Out",IF(H420&gt;=0.85,"Critical",IF(H420&gt;=0.7,"Constrained","Healthy")))</f>
        <v>Sold Out</v>
      </c>
      <c r="J420" s="6">
        <v>0</v>
      </c>
      <c r="K420" s="9"/>
    </row>
    <row r="421" spans="1:11">
      <c r="A421" s="1" t="s">
        <v>146</v>
      </c>
      <c r="B421" s="1" t="s">
        <v>147</v>
      </c>
      <c r="C421" s="1" t="s">
        <v>193</v>
      </c>
      <c r="D421" s="9">
        <v>46631</v>
      </c>
      <c r="E421" s="10">
        <v>2160</v>
      </c>
      <c r="F421" s="10">
        <v>3200</v>
      </c>
      <c r="G421" s="10">
        <f>E421-F421</f>
        <v>-1040</v>
      </c>
      <c r="H421" s="7">
        <f>IF(E421=0,0,F421/E421)</f>
        <v>1.4814814814814814</v>
      </c>
      <c r="I421" s="8" t="str">
        <f>IF(H421&gt;0.97,"Sold Out",IF(H421&gt;=0.85,"Critical",IF(H421&gt;=0.7,"Constrained","Healthy")))</f>
        <v>Sold Out</v>
      </c>
      <c r="J421" s="6">
        <v>0</v>
      </c>
      <c r="K421" s="9"/>
    </row>
    <row r="422" spans="1:11">
      <c r="A422" s="1" t="s">
        <v>220</v>
      </c>
      <c r="B422" s="1" t="s">
        <v>147</v>
      </c>
      <c r="C422" s="1" t="s">
        <v>193</v>
      </c>
      <c r="D422" s="9">
        <v>46296</v>
      </c>
      <c r="E422" s="10">
        <v>920</v>
      </c>
      <c r="F422" s="10">
        <v>920</v>
      </c>
      <c r="G422" s="10">
        <f>E422-F422</f>
        <v>0</v>
      </c>
      <c r="H422" s="7">
        <f>IF(E422=0,0,F422/E422)</f>
        <v>1</v>
      </c>
      <c r="I422" s="8" t="str">
        <f>IF(H422&gt;0.97,"Sold Out",IF(H422&gt;=0.85,"Critical",IF(H422&gt;=0.7,"Constrained","Healthy")))</f>
        <v>Sold Out</v>
      </c>
      <c r="J422" s="6">
        <v>0</v>
      </c>
      <c r="K422" s="9"/>
    </row>
    <row r="423" spans="1:11">
      <c r="A423" s="1" t="s">
        <v>220</v>
      </c>
      <c r="B423" s="1" t="s">
        <v>147</v>
      </c>
      <c r="C423" s="1" t="s">
        <v>193</v>
      </c>
      <c r="D423" s="9">
        <v>46327</v>
      </c>
      <c r="E423" s="10">
        <v>920</v>
      </c>
      <c r="F423" s="10">
        <v>960</v>
      </c>
      <c r="G423" s="10">
        <f>E423-F423</f>
        <v>-40</v>
      </c>
      <c r="H423" s="7">
        <f>IF(E423=0,0,F423/E423)</f>
        <v>1.0434782608695652</v>
      </c>
      <c r="I423" s="8" t="str">
        <f>IF(H423&gt;0.97,"Sold Out",IF(H423&gt;=0.85,"Critical",IF(H423&gt;=0.7,"Constrained","Healthy")))</f>
        <v>Sold Out</v>
      </c>
      <c r="J423" s="6">
        <v>0</v>
      </c>
      <c r="K423" s="9"/>
    </row>
    <row r="424" spans="1:11">
      <c r="A424" s="1" t="s">
        <v>220</v>
      </c>
      <c r="B424" s="1" t="s">
        <v>147</v>
      </c>
      <c r="C424" s="1" t="s">
        <v>193</v>
      </c>
      <c r="D424" s="9">
        <v>46357</v>
      </c>
      <c r="E424" s="10">
        <v>920</v>
      </c>
      <c r="F424" s="10">
        <v>1000</v>
      </c>
      <c r="G424" s="10">
        <f>E424-F424</f>
        <v>-80</v>
      </c>
      <c r="H424" s="7">
        <f>IF(E424=0,0,F424/E424)</f>
        <v>1.0869565217391304</v>
      </c>
      <c r="I424" s="8" t="str">
        <f>IF(H424&gt;0.97,"Sold Out",IF(H424&gt;=0.85,"Critical",IF(H424&gt;=0.7,"Constrained","Healthy")))</f>
        <v>Sold Out</v>
      </c>
      <c r="J424" s="6">
        <v>0</v>
      </c>
      <c r="K424" s="9"/>
    </row>
    <row r="425" spans="1:11">
      <c r="A425" s="1" t="s">
        <v>220</v>
      </c>
      <c r="B425" s="1" t="s">
        <v>147</v>
      </c>
      <c r="C425" s="1" t="s">
        <v>193</v>
      </c>
      <c r="D425" s="9">
        <v>46388</v>
      </c>
      <c r="E425" s="10">
        <v>920</v>
      </c>
      <c r="F425" s="10">
        <v>1040</v>
      </c>
      <c r="G425" s="10">
        <f>E425-F425</f>
        <v>-120</v>
      </c>
      <c r="H425" s="7">
        <f>IF(E425=0,0,F425/E425)</f>
        <v>1.1304347826086956</v>
      </c>
      <c r="I425" s="8" t="str">
        <f>IF(H425&gt;0.97,"Sold Out",IF(H425&gt;=0.85,"Critical",IF(H425&gt;=0.7,"Constrained","Healthy")))</f>
        <v>Sold Out</v>
      </c>
      <c r="J425" s="6">
        <v>0</v>
      </c>
      <c r="K425" s="9"/>
    </row>
    <row r="426" spans="1:11">
      <c r="A426" s="1" t="s">
        <v>220</v>
      </c>
      <c r="B426" s="1" t="s">
        <v>147</v>
      </c>
      <c r="C426" s="1" t="s">
        <v>193</v>
      </c>
      <c r="D426" s="9">
        <v>46419</v>
      </c>
      <c r="E426" s="10">
        <v>920</v>
      </c>
      <c r="F426" s="10">
        <v>1080</v>
      </c>
      <c r="G426" s="10">
        <f>E426-F426</f>
        <v>-160</v>
      </c>
      <c r="H426" s="7">
        <f>IF(E426=0,0,F426/E426)</f>
        <v>1.173913043478261</v>
      </c>
      <c r="I426" s="8" t="str">
        <f>IF(H426&gt;0.97,"Sold Out",IF(H426&gt;=0.85,"Critical",IF(H426&gt;=0.7,"Constrained","Healthy")))</f>
        <v>Sold Out</v>
      </c>
      <c r="J426" s="6">
        <v>0</v>
      </c>
      <c r="K426" s="9"/>
    </row>
    <row r="427" spans="1:11">
      <c r="A427" s="1" t="s">
        <v>220</v>
      </c>
      <c r="B427" s="1" t="s">
        <v>147</v>
      </c>
      <c r="C427" s="1" t="s">
        <v>193</v>
      </c>
      <c r="D427" s="9">
        <v>46447</v>
      </c>
      <c r="E427" s="10">
        <v>920</v>
      </c>
      <c r="F427" s="10">
        <v>1120</v>
      </c>
      <c r="G427" s="10">
        <f>E427-F427</f>
        <v>-200</v>
      </c>
      <c r="H427" s="7">
        <f>IF(E427=0,0,F427/E427)</f>
        <v>1.2173913043478262</v>
      </c>
      <c r="I427" s="8" t="str">
        <f>IF(H427&gt;0.97,"Sold Out",IF(H427&gt;=0.85,"Critical",IF(H427&gt;=0.7,"Constrained","Healthy")))</f>
        <v>Sold Out</v>
      </c>
      <c r="J427" s="6">
        <v>0</v>
      </c>
      <c r="K427" s="9"/>
    </row>
    <row r="428" spans="1:11">
      <c r="A428" s="1" t="s">
        <v>220</v>
      </c>
      <c r="B428" s="1" t="s">
        <v>147</v>
      </c>
      <c r="C428" s="1" t="s">
        <v>193</v>
      </c>
      <c r="D428" s="9">
        <v>46478</v>
      </c>
      <c r="E428" s="10">
        <v>920</v>
      </c>
      <c r="F428" s="10">
        <v>1200</v>
      </c>
      <c r="G428" s="10">
        <f>E428-F428</f>
        <v>-280</v>
      </c>
      <c r="H428" s="7">
        <f>IF(E428=0,0,F428/E428)</f>
        <v>1.3043478260869565</v>
      </c>
      <c r="I428" s="8" t="str">
        <f>IF(H428&gt;0.97,"Sold Out",IF(H428&gt;=0.85,"Critical",IF(H428&gt;=0.7,"Constrained","Healthy")))</f>
        <v>Sold Out</v>
      </c>
      <c r="J428" s="6">
        <v>0</v>
      </c>
      <c r="K428" s="9"/>
    </row>
    <row r="429" spans="1:11">
      <c r="A429" s="1" t="s">
        <v>220</v>
      </c>
      <c r="B429" s="1" t="s">
        <v>147</v>
      </c>
      <c r="C429" s="1" t="s">
        <v>193</v>
      </c>
      <c r="D429" s="9">
        <v>46508</v>
      </c>
      <c r="E429" s="10">
        <v>920</v>
      </c>
      <c r="F429" s="10">
        <v>1280</v>
      </c>
      <c r="G429" s="10">
        <f>E429-F429</f>
        <v>-360</v>
      </c>
      <c r="H429" s="7">
        <f>IF(E429=0,0,F429/E429)</f>
        <v>1.3913043478260869</v>
      </c>
      <c r="I429" s="8" t="str">
        <f>IF(H429&gt;0.97,"Sold Out",IF(H429&gt;=0.85,"Critical",IF(H429&gt;=0.7,"Constrained","Healthy")))</f>
        <v>Sold Out</v>
      </c>
      <c r="J429" s="6">
        <v>0</v>
      </c>
      <c r="K429" s="9"/>
    </row>
    <row r="430" spans="1:11">
      <c r="A430" s="1" t="s">
        <v>220</v>
      </c>
      <c r="B430" s="1" t="s">
        <v>147</v>
      </c>
      <c r="C430" s="1" t="s">
        <v>193</v>
      </c>
      <c r="D430" s="9">
        <v>46539</v>
      </c>
      <c r="E430" s="10">
        <v>1160</v>
      </c>
      <c r="F430" s="10">
        <v>1360</v>
      </c>
      <c r="G430" s="10">
        <f>E430-F430</f>
        <v>-200</v>
      </c>
      <c r="H430" s="7">
        <f>IF(E430=0,0,F430/E430)</f>
        <v>1.1724137931034482</v>
      </c>
      <c r="I430" s="8" t="str">
        <f>IF(H430&gt;0.97,"Sold Out",IF(H430&gt;=0.85,"Critical",IF(H430&gt;=0.7,"Constrained","Healthy")))</f>
        <v>Sold Out</v>
      </c>
      <c r="J430" s="6">
        <v>240</v>
      </c>
      <c r="K430" s="9">
        <v>46539</v>
      </c>
    </row>
    <row r="431" spans="1:11">
      <c r="A431" s="1" t="s">
        <v>220</v>
      </c>
      <c r="B431" s="1" t="s">
        <v>147</v>
      </c>
      <c r="C431" s="1" t="s">
        <v>193</v>
      </c>
      <c r="D431" s="9">
        <v>46569</v>
      </c>
      <c r="E431" s="10">
        <v>1160</v>
      </c>
      <c r="F431" s="10">
        <v>1440</v>
      </c>
      <c r="G431" s="10">
        <f>E431-F431</f>
        <v>-280</v>
      </c>
      <c r="H431" s="7">
        <f>IF(E431=0,0,F431/E431)</f>
        <v>1.2413793103448276</v>
      </c>
      <c r="I431" s="8" t="str">
        <f>IF(H431&gt;0.97,"Sold Out",IF(H431&gt;=0.85,"Critical",IF(H431&gt;=0.7,"Constrained","Healthy")))</f>
        <v>Sold Out</v>
      </c>
      <c r="J431" s="6">
        <v>0</v>
      </c>
      <c r="K431" s="9"/>
    </row>
    <row r="432" spans="1:11">
      <c r="A432" s="1" t="s">
        <v>220</v>
      </c>
      <c r="B432" s="1" t="s">
        <v>147</v>
      </c>
      <c r="C432" s="1" t="s">
        <v>193</v>
      </c>
      <c r="D432" s="9">
        <v>46600</v>
      </c>
      <c r="E432" s="10">
        <v>1160</v>
      </c>
      <c r="F432" s="10">
        <v>1520</v>
      </c>
      <c r="G432" s="10">
        <f>E432-F432</f>
        <v>-360</v>
      </c>
      <c r="H432" s="7">
        <f>IF(E432=0,0,F432/E432)</f>
        <v>1.3103448275862069</v>
      </c>
      <c r="I432" s="8" t="str">
        <f>IF(H432&gt;0.97,"Sold Out",IF(H432&gt;=0.85,"Critical",IF(H432&gt;=0.7,"Constrained","Healthy")))</f>
        <v>Sold Out</v>
      </c>
      <c r="J432" s="6">
        <v>0</v>
      </c>
      <c r="K432" s="9"/>
    </row>
    <row r="433" spans="1:11">
      <c r="A433" s="1" t="s">
        <v>220</v>
      </c>
      <c r="B433" s="1" t="s">
        <v>147</v>
      </c>
      <c r="C433" s="1" t="s">
        <v>193</v>
      </c>
      <c r="D433" s="9">
        <v>46631</v>
      </c>
      <c r="E433" s="10">
        <v>1160</v>
      </c>
      <c r="F433" s="10">
        <v>1600</v>
      </c>
      <c r="G433" s="10">
        <f>E433-F433</f>
        <v>-440</v>
      </c>
      <c r="H433" s="7">
        <f>IF(E433=0,0,F433/E433)</f>
        <v>1.3793103448275863</v>
      </c>
      <c r="I433" s="8" t="str">
        <f>IF(H433&gt;0.97,"Sold Out",IF(H433&gt;=0.85,"Critical",IF(H433&gt;=0.7,"Constrained","Healthy")))</f>
        <v>Sold Out</v>
      </c>
      <c r="J433" s="6">
        <v>0</v>
      </c>
      <c r="K433" s="9"/>
    </row>
    <row r="434" spans="1:11">
      <c r="A434" s="1" t="s">
        <v>259</v>
      </c>
      <c r="B434" s="1" t="s">
        <v>147</v>
      </c>
      <c r="C434" s="1" t="s">
        <v>193</v>
      </c>
      <c r="D434" s="9">
        <v>46296</v>
      </c>
      <c r="E434" s="10">
        <v>1440</v>
      </c>
      <c r="F434" s="10">
        <v>1400</v>
      </c>
      <c r="G434" s="10">
        <f>E434-F434</f>
        <v>40</v>
      </c>
      <c r="H434" s="7">
        <f>IF(E434=0,0,F434/E434)</f>
        <v>0.97222222222222221</v>
      </c>
      <c r="I434" s="8" t="str">
        <f>IF(H434&gt;0.97,"Sold Out",IF(H434&gt;=0.85,"Critical",IF(H434&gt;=0.7,"Constrained","Healthy")))</f>
        <v>Sold Out</v>
      </c>
      <c r="J434" s="6">
        <v>0</v>
      </c>
      <c r="K434" s="9"/>
    </row>
    <row r="435" spans="1:11">
      <c r="A435" s="1" t="s">
        <v>259</v>
      </c>
      <c r="B435" s="1" t="s">
        <v>147</v>
      </c>
      <c r="C435" s="1" t="s">
        <v>193</v>
      </c>
      <c r="D435" s="9">
        <v>46327</v>
      </c>
      <c r="E435" s="10">
        <v>1440</v>
      </c>
      <c r="F435" s="10">
        <v>1480</v>
      </c>
      <c r="G435" s="10">
        <f>E435-F435</f>
        <v>-40</v>
      </c>
      <c r="H435" s="7">
        <f>IF(E435=0,0,F435/E435)</f>
        <v>1.0277777777777777</v>
      </c>
      <c r="I435" s="8" t="str">
        <f>IF(H435&gt;0.97,"Sold Out",IF(H435&gt;=0.85,"Critical",IF(H435&gt;=0.7,"Constrained","Healthy")))</f>
        <v>Sold Out</v>
      </c>
      <c r="J435" s="6">
        <v>0</v>
      </c>
      <c r="K435" s="9"/>
    </row>
    <row r="436" spans="1:11">
      <c r="A436" s="1" t="s">
        <v>259</v>
      </c>
      <c r="B436" s="1" t="s">
        <v>147</v>
      </c>
      <c r="C436" s="1" t="s">
        <v>193</v>
      </c>
      <c r="D436" s="9">
        <v>46357</v>
      </c>
      <c r="E436" s="10">
        <v>1440</v>
      </c>
      <c r="F436" s="10">
        <v>1560</v>
      </c>
      <c r="G436" s="10">
        <f>E436-F436</f>
        <v>-120</v>
      </c>
      <c r="H436" s="7">
        <f>IF(E436=0,0,F436/E436)</f>
        <v>1.0833333333333333</v>
      </c>
      <c r="I436" s="8" t="str">
        <f>IF(H436&gt;0.97,"Sold Out",IF(H436&gt;=0.85,"Critical",IF(H436&gt;=0.7,"Constrained","Healthy")))</f>
        <v>Sold Out</v>
      </c>
      <c r="J436" s="6">
        <v>0</v>
      </c>
      <c r="K436" s="9"/>
    </row>
    <row r="437" spans="1:11">
      <c r="A437" s="1" t="s">
        <v>259</v>
      </c>
      <c r="B437" s="1" t="s">
        <v>147</v>
      </c>
      <c r="C437" s="1" t="s">
        <v>193</v>
      </c>
      <c r="D437" s="9">
        <v>46388</v>
      </c>
      <c r="E437" s="10">
        <v>1440</v>
      </c>
      <c r="F437" s="10">
        <v>1640</v>
      </c>
      <c r="G437" s="10">
        <f>E437-F437</f>
        <v>-200</v>
      </c>
      <c r="H437" s="7">
        <f>IF(E437=0,0,F437/E437)</f>
        <v>1.1388888888888888</v>
      </c>
      <c r="I437" s="8" t="str">
        <f>IF(H437&gt;0.97,"Sold Out",IF(H437&gt;=0.85,"Critical",IF(H437&gt;=0.7,"Constrained","Healthy")))</f>
        <v>Sold Out</v>
      </c>
      <c r="J437" s="6">
        <v>0</v>
      </c>
      <c r="K437" s="9"/>
    </row>
    <row r="438" spans="1:11">
      <c r="A438" s="1" t="s">
        <v>259</v>
      </c>
      <c r="B438" s="1" t="s">
        <v>147</v>
      </c>
      <c r="C438" s="1" t="s">
        <v>193</v>
      </c>
      <c r="D438" s="9">
        <v>46419</v>
      </c>
      <c r="E438" s="10">
        <v>1440</v>
      </c>
      <c r="F438" s="10">
        <v>1720</v>
      </c>
      <c r="G438" s="10">
        <f>E438-F438</f>
        <v>-280</v>
      </c>
      <c r="H438" s="7">
        <f>IF(E438=0,0,F438/E438)</f>
        <v>1.1944444444444444</v>
      </c>
      <c r="I438" s="8" t="str">
        <f>IF(H438&gt;0.97,"Sold Out",IF(H438&gt;=0.85,"Critical",IF(H438&gt;=0.7,"Constrained","Healthy")))</f>
        <v>Sold Out</v>
      </c>
      <c r="J438" s="6">
        <v>0</v>
      </c>
      <c r="K438" s="9"/>
    </row>
    <row r="439" spans="1:11">
      <c r="A439" s="1" t="s">
        <v>259</v>
      </c>
      <c r="B439" s="1" t="s">
        <v>147</v>
      </c>
      <c r="C439" s="1" t="s">
        <v>193</v>
      </c>
      <c r="D439" s="9">
        <v>46447</v>
      </c>
      <c r="E439" s="10">
        <v>1440</v>
      </c>
      <c r="F439" s="10">
        <v>1800</v>
      </c>
      <c r="G439" s="10">
        <f>E439-F439</f>
        <v>-360</v>
      </c>
      <c r="H439" s="7">
        <f>IF(E439=0,0,F439/E439)</f>
        <v>1.25</v>
      </c>
      <c r="I439" s="8" t="str">
        <f>IF(H439&gt;0.97,"Sold Out",IF(H439&gt;=0.85,"Critical",IF(H439&gt;=0.7,"Constrained","Healthy")))</f>
        <v>Sold Out</v>
      </c>
      <c r="J439" s="6">
        <v>0</v>
      </c>
      <c r="K439" s="9"/>
    </row>
    <row r="440" spans="1:11">
      <c r="A440" s="1" t="s">
        <v>259</v>
      </c>
      <c r="B440" s="1" t="s">
        <v>147</v>
      </c>
      <c r="C440" s="1" t="s">
        <v>193</v>
      </c>
      <c r="D440" s="9">
        <v>46478</v>
      </c>
      <c r="E440" s="10">
        <v>1440</v>
      </c>
      <c r="F440" s="10">
        <v>1880</v>
      </c>
      <c r="G440" s="10">
        <f>E440-F440</f>
        <v>-440</v>
      </c>
      <c r="H440" s="7">
        <f>IF(E440=0,0,F440/E440)</f>
        <v>1.3055555555555556</v>
      </c>
      <c r="I440" s="8" t="str">
        <f>IF(H440&gt;0.97,"Sold Out",IF(H440&gt;=0.85,"Critical",IF(H440&gt;=0.7,"Constrained","Healthy")))</f>
        <v>Sold Out</v>
      </c>
      <c r="J440" s="6">
        <v>0</v>
      </c>
      <c r="K440" s="9"/>
    </row>
    <row r="441" spans="1:11">
      <c r="A441" s="1" t="s">
        <v>259</v>
      </c>
      <c r="B441" s="1" t="s">
        <v>147</v>
      </c>
      <c r="C441" s="1" t="s">
        <v>193</v>
      </c>
      <c r="D441" s="9">
        <v>46508</v>
      </c>
      <c r="E441" s="10">
        <v>1760</v>
      </c>
      <c r="F441" s="10">
        <v>2000</v>
      </c>
      <c r="G441" s="10">
        <f>E441-F441</f>
        <v>-240</v>
      </c>
      <c r="H441" s="7">
        <f>IF(E441=0,0,F441/E441)</f>
        <v>1.1363636363636365</v>
      </c>
      <c r="I441" s="8" t="str">
        <f>IF(H441&gt;0.97,"Sold Out",IF(H441&gt;=0.85,"Critical",IF(H441&gt;=0.7,"Constrained","Healthy")))</f>
        <v>Sold Out</v>
      </c>
      <c r="J441" s="6">
        <v>320</v>
      </c>
      <c r="K441" s="9">
        <v>46508</v>
      </c>
    </row>
    <row r="442" spans="1:11">
      <c r="A442" s="1" t="s">
        <v>259</v>
      </c>
      <c r="B442" s="1" t="s">
        <v>147</v>
      </c>
      <c r="C442" s="1" t="s">
        <v>193</v>
      </c>
      <c r="D442" s="9">
        <v>46539</v>
      </c>
      <c r="E442" s="10">
        <v>1760</v>
      </c>
      <c r="F442" s="10">
        <v>2120</v>
      </c>
      <c r="G442" s="10">
        <f>E442-F442</f>
        <v>-360</v>
      </c>
      <c r="H442" s="7">
        <f>IF(E442=0,0,F442/E442)</f>
        <v>1.2045454545454546</v>
      </c>
      <c r="I442" s="8" t="str">
        <f>IF(H442&gt;0.97,"Sold Out",IF(H442&gt;=0.85,"Critical",IF(H442&gt;=0.7,"Constrained","Healthy")))</f>
        <v>Sold Out</v>
      </c>
      <c r="J442" s="6">
        <v>0</v>
      </c>
      <c r="K442" s="9"/>
    </row>
    <row r="443" spans="1:11">
      <c r="A443" s="1" t="s">
        <v>259</v>
      </c>
      <c r="B443" s="1" t="s">
        <v>147</v>
      </c>
      <c r="C443" s="1" t="s">
        <v>193</v>
      </c>
      <c r="D443" s="9">
        <v>46569</v>
      </c>
      <c r="E443" s="10">
        <v>1760</v>
      </c>
      <c r="F443" s="10">
        <v>2240</v>
      </c>
      <c r="G443" s="10">
        <f>E443-F443</f>
        <v>-480</v>
      </c>
      <c r="H443" s="7">
        <f>IF(E443=0,0,F443/E443)</f>
        <v>1.2727272727272727</v>
      </c>
      <c r="I443" s="8" t="str">
        <f>IF(H443&gt;0.97,"Sold Out",IF(H443&gt;=0.85,"Critical",IF(H443&gt;=0.7,"Constrained","Healthy")))</f>
        <v>Sold Out</v>
      </c>
      <c r="J443" s="6">
        <v>0</v>
      </c>
      <c r="K443" s="9"/>
    </row>
    <row r="444" spans="1:11">
      <c r="A444" s="1" t="s">
        <v>259</v>
      </c>
      <c r="B444" s="1" t="s">
        <v>147</v>
      </c>
      <c r="C444" s="1" t="s">
        <v>193</v>
      </c>
      <c r="D444" s="9">
        <v>46600</v>
      </c>
      <c r="E444" s="10">
        <v>1760</v>
      </c>
      <c r="F444" s="10">
        <v>2360</v>
      </c>
      <c r="G444" s="10">
        <f>E444-F444</f>
        <v>-600</v>
      </c>
      <c r="H444" s="7">
        <f>IF(E444=0,0,F444/E444)</f>
        <v>1.3409090909090908</v>
      </c>
      <c r="I444" s="8" t="str">
        <f>IF(H444&gt;0.97,"Sold Out",IF(H444&gt;=0.85,"Critical",IF(H444&gt;=0.7,"Constrained","Healthy")))</f>
        <v>Sold Out</v>
      </c>
      <c r="J444" s="6">
        <v>0</v>
      </c>
      <c r="K444" s="9"/>
    </row>
    <row r="445" spans="1:11">
      <c r="A445" s="1" t="s">
        <v>259</v>
      </c>
      <c r="B445" s="1" t="s">
        <v>147</v>
      </c>
      <c r="C445" s="1" t="s">
        <v>193</v>
      </c>
      <c r="D445" s="9">
        <v>46631</v>
      </c>
      <c r="E445" s="10">
        <v>1760</v>
      </c>
      <c r="F445" s="10">
        <v>2480</v>
      </c>
      <c r="G445" s="10">
        <f>E445-F445</f>
        <v>-720</v>
      </c>
      <c r="H445" s="7">
        <f>IF(E445=0,0,F445/E445)</f>
        <v>1.4090909090909092</v>
      </c>
      <c r="I445" s="8" t="str">
        <f>IF(H445&gt;0.97,"Sold Out",IF(H445&gt;=0.85,"Critical",IF(H445&gt;=0.7,"Constrained","Healthy")))</f>
        <v>Sold Out</v>
      </c>
      <c r="J445" s="6">
        <v>0</v>
      </c>
      <c r="K445" s="9"/>
    </row>
    <row r="446" spans="1:11">
      <c r="A446" s="1" t="s">
        <v>359</v>
      </c>
      <c r="B446" s="1" t="s">
        <v>147</v>
      </c>
      <c r="C446" s="1" t="s">
        <v>193</v>
      </c>
      <c r="D446" s="9">
        <v>46296</v>
      </c>
      <c r="E446" s="10">
        <v>1080</v>
      </c>
      <c r="F446" s="10">
        <v>920</v>
      </c>
      <c r="G446" s="10">
        <f>E446-F446</f>
        <v>160</v>
      </c>
      <c r="H446" s="7">
        <f>IF(E446=0,0,F446/E446)</f>
        <v>0.85185185185185186</v>
      </c>
      <c r="I446" s="8" t="str">
        <f>IF(H446&gt;0.97,"Sold Out",IF(H446&gt;=0.85,"Critical",IF(H446&gt;=0.7,"Constrained","Healthy")))</f>
        <v>Critical</v>
      </c>
      <c r="J446" s="6">
        <v>0</v>
      </c>
      <c r="K446" s="9"/>
    </row>
    <row r="447" spans="1:11">
      <c r="A447" s="1" t="s">
        <v>359</v>
      </c>
      <c r="B447" s="1" t="s">
        <v>147</v>
      </c>
      <c r="C447" s="1" t="s">
        <v>193</v>
      </c>
      <c r="D447" s="9">
        <v>46327</v>
      </c>
      <c r="E447" s="10">
        <v>1080</v>
      </c>
      <c r="F447" s="10">
        <v>960</v>
      </c>
      <c r="G447" s="10">
        <f>E447-F447</f>
        <v>120</v>
      </c>
      <c r="H447" s="7">
        <f>IF(E447=0,0,F447/E447)</f>
        <v>0.88888888888888884</v>
      </c>
      <c r="I447" s="8" t="str">
        <f>IF(H447&gt;0.97,"Sold Out",IF(H447&gt;=0.85,"Critical",IF(H447&gt;=0.7,"Constrained","Healthy")))</f>
        <v>Critical</v>
      </c>
      <c r="J447" s="6">
        <v>0</v>
      </c>
      <c r="K447" s="9"/>
    </row>
    <row r="448" spans="1:11">
      <c r="A448" s="1" t="s">
        <v>359</v>
      </c>
      <c r="B448" s="1" t="s">
        <v>147</v>
      </c>
      <c r="C448" s="1" t="s">
        <v>193</v>
      </c>
      <c r="D448" s="9">
        <v>46357</v>
      </c>
      <c r="E448" s="10">
        <v>1280</v>
      </c>
      <c r="F448" s="10">
        <v>1000</v>
      </c>
      <c r="G448" s="10">
        <f>E448-F448</f>
        <v>280</v>
      </c>
      <c r="H448" s="7">
        <f>IF(E448=0,0,F448/E448)</f>
        <v>0.78125</v>
      </c>
      <c r="I448" s="8" t="str">
        <f>IF(H448&gt;0.97,"Sold Out",IF(H448&gt;=0.85,"Critical",IF(H448&gt;=0.7,"Constrained","Healthy")))</f>
        <v>Constrained</v>
      </c>
      <c r="J448" s="6">
        <v>200</v>
      </c>
      <c r="K448" s="9">
        <v>46357</v>
      </c>
    </row>
    <row r="449" spans="1:11">
      <c r="A449" s="1" t="s">
        <v>359</v>
      </c>
      <c r="B449" s="1" t="s">
        <v>147</v>
      </c>
      <c r="C449" s="1" t="s">
        <v>193</v>
      </c>
      <c r="D449" s="9">
        <v>46388</v>
      </c>
      <c r="E449" s="10">
        <v>1280</v>
      </c>
      <c r="F449" s="10">
        <v>1040</v>
      </c>
      <c r="G449" s="10">
        <f>E449-F449</f>
        <v>240</v>
      </c>
      <c r="H449" s="7">
        <f>IF(E449=0,0,F449/E449)</f>
        <v>0.8125</v>
      </c>
      <c r="I449" s="8" t="str">
        <f>IF(H449&gt;0.97,"Sold Out",IF(H449&gt;=0.85,"Critical",IF(H449&gt;=0.7,"Constrained","Healthy")))</f>
        <v>Constrained</v>
      </c>
      <c r="J449" s="6">
        <v>0</v>
      </c>
      <c r="K449" s="9"/>
    </row>
    <row r="450" spans="1:11">
      <c r="A450" s="1" t="s">
        <v>359</v>
      </c>
      <c r="B450" s="1" t="s">
        <v>147</v>
      </c>
      <c r="C450" s="1" t="s">
        <v>193</v>
      </c>
      <c r="D450" s="9">
        <v>46419</v>
      </c>
      <c r="E450" s="10">
        <v>1280</v>
      </c>
      <c r="F450" s="10">
        <v>1080</v>
      </c>
      <c r="G450" s="10">
        <f>E450-F450</f>
        <v>200</v>
      </c>
      <c r="H450" s="7">
        <f>IF(E450=0,0,F450/E450)</f>
        <v>0.84375</v>
      </c>
      <c r="I450" s="8" t="str">
        <f>IF(H450&gt;0.97,"Sold Out",IF(H450&gt;=0.85,"Critical",IF(H450&gt;=0.7,"Constrained","Healthy")))</f>
        <v>Constrained</v>
      </c>
      <c r="J450" s="6">
        <v>0</v>
      </c>
      <c r="K450" s="9"/>
    </row>
    <row r="451" spans="1:11">
      <c r="A451" s="1" t="s">
        <v>359</v>
      </c>
      <c r="B451" s="1" t="s">
        <v>147</v>
      </c>
      <c r="C451" s="1" t="s">
        <v>193</v>
      </c>
      <c r="D451" s="9">
        <v>46447</v>
      </c>
      <c r="E451" s="10">
        <v>1280</v>
      </c>
      <c r="F451" s="10">
        <v>1120</v>
      </c>
      <c r="G451" s="10">
        <f>E451-F451</f>
        <v>160</v>
      </c>
      <c r="H451" s="7">
        <f>IF(E451=0,0,F451/E451)</f>
        <v>0.875</v>
      </c>
      <c r="I451" s="8" t="str">
        <f>IF(H451&gt;0.97,"Sold Out",IF(H451&gt;=0.85,"Critical",IF(H451&gt;=0.7,"Constrained","Healthy")))</f>
        <v>Critical</v>
      </c>
      <c r="J451" s="6">
        <v>0</v>
      </c>
      <c r="K451" s="9"/>
    </row>
    <row r="452" spans="1:11">
      <c r="A452" s="1" t="s">
        <v>359</v>
      </c>
      <c r="B452" s="1" t="s">
        <v>147</v>
      </c>
      <c r="C452" s="1" t="s">
        <v>193</v>
      </c>
      <c r="D452" s="9">
        <v>46478</v>
      </c>
      <c r="E452" s="10">
        <v>1280</v>
      </c>
      <c r="F452" s="10">
        <v>1200</v>
      </c>
      <c r="G452" s="10">
        <f>E452-F452</f>
        <v>80</v>
      </c>
      <c r="H452" s="7">
        <f>IF(E452=0,0,F452/E452)</f>
        <v>0.9375</v>
      </c>
      <c r="I452" s="8" t="str">
        <f>IF(H452&gt;0.97,"Sold Out",IF(H452&gt;=0.85,"Critical",IF(H452&gt;=0.7,"Constrained","Healthy")))</f>
        <v>Critical</v>
      </c>
      <c r="J452" s="6">
        <v>0</v>
      </c>
      <c r="K452" s="9"/>
    </row>
    <row r="453" spans="1:11">
      <c r="A453" s="1" t="s">
        <v>359</v>
      </c>
      <c r="B453" s="1" t="s">
        <v>147</v>
      </c>
      <c r="C453" s="1" t="s">
        <v>193</v>
      </c>
      <c r="D453" s="9">
        <v>46508</v>
      </c>
      <c r="E453" s="10">
        <v>1280</v>
      </c>
      <c r="F453" s="10">
        <v>1280</v>
      </c>
      <c r="G453" s="10">
        <f>E453-F453</f>
        <v>0</v>
      </c>
      <c r="H453" s="7">
        <f>IF(E453=0,0,F453/E453)</f>
        <v>1</v>
      </c>
      <c r="I453" s="8" t="str">
        <f>IF(H453&gt;0.97,"Sold Out",IF(H453&gt;=0.85,"Critical",IF(H453&gt;=0.7,"Constrained","Healthy")))</f>
        <v>Sold Out</v>
      </c>
      <c r="J453" s="6">
        <v>0</v>
      </c>
      <c r="K453" s="9"/>
    </row>
    <row r="454" spans="1:11">
      <c r="A454" s="1" t="s">
        <v>359</v>
      </c>
      <c r="B454" s="1" t="s">
        <v>147</v>
      </c>
      <c r="C454" s="1" t="s">
        <v>193</v>
      </c>
      <c r="D454" s="9">
        <v>46539</v>
      </c>
      <c r="E454" s="10">
        <v>1280</v>
      </c>
      <c r="F454" s="10">
        <v>1360</v>
      </c>
      <c r="G454" s="10">
        <f>E454-F454</f>
        <v>-80</v>
      </c>
      <c r="H454" s="7">
        <f>IF(E454=0,0,F454/E454)</f>
        <v>1.0625</v>
      </c>
      <c r="I454" s="8" t="str">
        <f>IF(H454&gt;0.97,"Sold Out",IF(H454&gt;=0.85,"Critical",IF(H454&gt;=0.7,"Constrained","Healthy")))</f>
        <v>Sold Out</v>
      </c>
      <c r="J454" s="6">
        <v>0</v>
      </c>
      <c r="K454" s="9"/>
    </row>
    <row r="455" spans="1:11">
      <c r="A455" s="1" t="s">
        <v>359</v>
      </c>
      <c r="B455" s="1" t="s">
        <v>147</v>
      </c>
      <c r="C455" s="1" t="s">
        <v>193</v>
      </c>
      <c r="D455" s="9">
        <v>46569</v>
      </c>
      <c r="E455" s="10">
        <v>1280</v>
      </c>
      <c r="F455" s="10">
        <v>1440</v>
      </c>
      <c r="G455" s="10">
        <f>E455-F455</f>
        <v>-160</v>
      </c>
      <c r="H455" s="7">
        <f>IF(E455=0,0,F455/E455)</f>
        <v>1.125</v>
      </c>
      <c r="I455" s="8" t="str">
        <f>IF(H455&gt;0.97,"Sold Out",IF(H455&gt;=0.85,"Critical",IF(H455&gt;=0.7,"Constrained","Healthy")))</f>
        <v>Sold Out</v>
      </c>
      <c r="J455" s="6">
        <v>0</v>
      </c>
      <c r="K455" s="9"/>
    </row>
    <row r="456" spans="1:11">
      <c r="A456" s="1" t="s">
        <v>359</v>
      </c>
      <c r="B456" s="1" t="s">
        <v>147</v>
      </c>
      <c r="C456" s="1" t="s">
        <v>193</v>
      </c>
      <c r="D456" s="9">
        <v>46600</v>
      </c>
      <c r="E456" s="10">
        <v>1280</v>
      </c>
      <c r="F456" s="10">
        <v>1520</v>
      </c>
      <c r="G456" s="10">
        <f>E456-F456</f>
        <v>-240</v>
      </c>
      <c r="H456" s="7">
        <f>IF(E456=0,0,F456/E456)</f>
        <v>1.1875</v>
      </c>
      <c r="I456" s="8" t="str">
        <f>IF(H456&gt;0.97,"Sold Out",IF(H456&gt;=0.85,"Critical",IF(H456&gt;=0.7,"Constrained","Healthy")))</f>
        <v>Sold Out</v>
      </c>
      <c r="J456" s="6">
        <v>0</v>
      </c>
      <c r="K456" s="9"/>
    </row>
    <row r="457" spans="1:11">
      <c r="A457" s="1" t="s">
        <v>359</v>
      </c>
      <c r="B457" s="1" t="s">
        <v>147</v>
      </c>
      <c r="C457" s="1" t="s">
        <v>193</v>
      </c>
      <c r="D457" s="9">
        <v>46631</v>
      </c>
      <c r="E457" s="10">
        <v>1280</v>
      </c>
      <c r="F457" s="10">
        <v>1600</v>
      </c>
      <c r="G457" s="10">
        <f>E457-F457</f>
        <v>-320</v>
      </c>
      <c r="H457" s="7">
        <f>IF(E457=0,0,F457/E457)</f>
        <v>1.25</v>
      </c>
      <c r="I457" s="8" t="str">
        <f>IF(H457&gt;0.97,"Sold Out",IF(H457&gt;=0.85,"Critical",IF(H457&gt;=0.7,"Constrained","Healthy")))</f>
        <v>Sold Out</v>
      </c>
      <c r="J457" s="6">
        <v>0</v>
      </c>
      <c r="K457" s="9"/>
    </row>
    <row r="458" spans="1:11">
      <c r="A458" s="1" t="s">
        <v>146</v>
      </c>
      <c r="B458" s="1" t="s">
        <v>147</v>
      </c>
      <c r="C458" s="1" t="s">
        <v>186</v>
      </c>
      <c r="D458" s="9">
        <v>46296</v>
      </c>
      <c r="E458" s="10">
        <v>504</v>
      </c>
      <c r="F458" s="10">
        <v>480</v>
      </c>
      <c r="G458" s="10">
        <f>E458-F458</f>
        <v>24</v>
      </c>
      <c r="H458" s="7">
        <f>IF(E458=0,0,F458/E458)</f>
        <v>0.95238095238095233</v>
      </c>
      <c r="I458" s="8" t="str">
        <f>IF(H458&gt;0.97,"Sold Out",IF(H458&gt;=0.85,"Critical",IF(H458&gt;=0.7,"Constrained","Healthy")))</f>
        <v>Critical</v>
      </c>
      <c r="J458" s="6">
        <v>0</v>
      </c>
      <c r="K458" s="9"/>
    </row>
    <row r="459" spans="1:11">
      <c r="A459" s="1" t="s">
        <v>146</v>
      </c>
      <c r="B459" s="1" t="s">
        <v>147</v>
      </c>
      <c r="C459" s="1" t="s">
        <v>186</v>
      </c>
      <c r="D459" s="9">
        <v>46327</v>
      </c>
      <c r="E459" s="10">
        <v>504</v>
      </c>
      <c r="F459" s="10">
        <v>504</v>
      </c>
      <c r="G459" s="10">
        <f>E459-F459</f>
        <v>0</v>
      </c>
      <c r="H459" s="7">
        <f>IF(E459=0,0,F459/E459)</f>
        <v>1</v>
      </c>
      <c r="I459" s="8" t="str">
        <f>IF(H459&gt;0.97,"Sold Out",IF(H459&gt;=0.85,"Critical",IF(H459&gt;=0.7,"Constrained","Healthy")))</f>
        <v>Sold Out</v>
      </c>
      <c r="J459" s="6">
        <v>0</v>
      </c>
      <c r="K459" s="9"/>
    </row>
    <row r="460" spans="1:11">
      <c r="A460" s="1" t="s">
        <v>146</v>
      </c>
      <c r="B460" s="1" t="s">
        <v>147</v>
      </c>
      <c r="C460" s="1" t="s">
        <v>186</v>
      </c>
      <c r="D460" s="9">
        <v>46357</v>
      </c>
      <c r="E460" s="10">
        <v>600</v>
      </c>
      <c r="F460" s="10">
        <v>528</v>
      </c>
      <c r="G460" s="10">
        <f>E460-F460</f>
        <v>72</v>
      </c>
      <c r="H460" s="7">
        <f>IF(E460=0,0,F460/E460)</f>
        <v>0.88</v>
      </c>
      <c r="I460" s="8" t="str">
        <f>IF(H460&gt;0.97,"Sold Out",IF(H460&gt;=0.85,"Critical",IF(H460&gt;=0.7,"Constrained","Healthy")))</f>
        <v>Critical</v>
      </c>
      <c r="J460" s="6">
        <v>96</v>
      </c>
      <c r="K460" s="9">
        <v>46357</v>
      </c>
    </row>
    <row r="461" spans="1:11">
      <c r="A461" s="1" t="s">
        <v>146</v>
      </c>
      <c r="B461" s="1" t="s">
        <v>147</v>
      </c>
      <c r="C461" s="1" t="s">
        <v>186</v>
      </c>
      <c r="D461" s="9">
        <v>46388</v>
      </c>
      <c r="E461" s="10">
        <v>600</v>
      </c>
      <c r="F461" s="10">
        <v>552</v>
      </c>
      <c r="G461" s="10">
        <f>E461-F461</f>
        <v>48</v>
      </c>
      <c r="H461" s="7">
        <f>IF(E461=0,0,F461/E461)</f>
        <v>0.92</v>
      </c>
      <c r="I461" s="8" t="str">
        <f>IF(H461&gt;0.97,"Sold Out",IF(H461&gt;=0.85,"Critical",IF(H461&gt;=0.7,"Constrained","Healthy")))</f>
        <v>Critical</v>
      </c>
      <c r="J461" s="6">
        <v>0</v>
      </c>
      <c r="K461" s="9"/>
    </row>
    <row r="462" spans="1:11">
      <c r="A462" s="1" t="s">
        <v>146</v>
      </c>
      <c r="B462" s="1" t="s">
        <v>147</v>
      </c>
      <c r="C462" s="1" t="s">
        <v>186</v>
      </c>
      <c r="D462" s="9">
        <v>46419</v>
      </c>
      <c r="E462" s="10">
        <v>600</v>
      </c>
      <c r="F462" s="10">
        <v>576</v>
      </c>
      <c r="G462" s="10">
        <f>E462-F462</f>
        <v>24</v>
      </c>
      <c r="H462" s="7">
        <f>IF(E462=0,0,F462/E462)</f>
        <v>0.96</v>
      </c>
      <c r="I462" s="8" t="str">
        <f>IF(H462&gt;0.97,"Sold Out",IF(H462&gt;=0.85,"Critical",IF(H462&gt;=0.7,"Constrained","Healthy")))</f>
        <v>Critical</v>
      </c>
      <c r="J462" s="6">
        <v>0</v>
      </c>
      <c r="K462" s="9"/>
    </row>
    <row r="463" spans="1:11">
      <c r="A463" s="1" t="s">
        <v>146</v>
      </c>
      <c r="B463" s="1" t="s">
        <v>147</v>
      </c>
      <c r="C463" s="1" t="s">
        <v>186</v>
      </c>
      <c r="D463" s="9">
        <v>46447</v>
      </c>
      <c r="E463" s="10">
        <v>600</v>
      </c>
      <c r="F463" s="10">
        <v>600</v>
      </c>
      <c r="G463" s="10">
        <f>E463-F463</f>
        <v>0</v>
      </c>
      <c r="H463" s="7">
        <f>IF(E463=0,0,F463/E463)</f>
        <v>1</v>
      </c>
      <c r="I463" s="8" t="str">
        <f>IF(H463&gt;0.97,"Sold Out",IF(H463&gt;=0.85,"Critical",IF(H463&gt;=0.7,"Constrained","Healthy")))</f>
        <v>Sold Out</v>
      </c>
      <c r="J463" s="6">
        <v>0</v>
      </c>
      <c r="K463" s="9"/>
    </row>
    <row r="464" spans="1:11">
      <c r="A464" s="1" t="s">
        <v>146</v>
      </c>
      <c r="B464" s="1" t="s">
        <v>147</v>
      </c>
      <c r="C464" s="1" t="s">
        <v>186</v>
      </c>
      <c r="D464" s="9">
        <v>46478</v>
      </c>
      <c r="E464" s="10">
        <v>600</v>
      </c>
      <c r="F464" s="10">
        <v>624</v>
      </c>
      <c r="G464" s="10">
        <f>E464-F464</f>
        <v>-24</v>
      </c>
      <c r="H464" s="7">
        <f>IF(E464=0,0,F464/E464)</f>
        <v>1.04</v>
      </c>
      <c r="I464" s="8" t="str">
        <f>IF(H464&gt;0.97,"Sold Out",IF(H464&gt;=0.85,"Critical",IF(H464&gt;=0.7,"Constrained","Healthy")))</f>
        <v>Sold Out</v>
      </c>
      <c r="J464" s="6">
        <v>0</v>
      </c>
      <c r="K464" s="9"/>
    </row>
    <row r="465" spans="1:11">
      <c r="A465" s="1" t="s">
        <v>146</v>
      </c>
      <c r="B465" s="1" t="s">
        <v>147</v>
      </c>
      <c r="C465" s="1" t="s">
        <v>186</v>
      </c>
      <c r="D465" s="9">
        <v>46508</v>
      </c>
      <c r="E465" s="10">
        <v>600</v>
      </c>
      <c r="F465" s="10">
        <v>648</v>
      </c>
      <c r="G465" s="10">
        <f>E465-F465</f>
        <v>-48</v>
      </c>
      <c r="H465" s="7">
        <f>IF(E465=0,0,F465/E465)</f>
        <v>1.08</v>
      </c>
      <c r="I465" s="8" t="str">
        <f>IF(H465&gt;0.97,"Sold Out",IF(H465&gt;=0.85,"Critical",IF(H465&gt;=0.7,"Constrained","Healthy")))</f>
        <v>Sold Out</v>
      </c>
      <c r="J465" s="6">
        <v>0</v>
      </c>
      <c r="K465" s="9"/>
    </row>
    <row r="466" spans="1:11">
      <c r="A466" s="1" t="s">
        <v>146</v>
      </c>
      <c r="B466" s="1" t="s">
        <v>147</v>
      </c>
      <c r="C466" s="1" t="s">
        <v>186</v>
      </c>
      <c r="D466" s="9">
        <v>46539</v>
      </c>
      <c r="E466" s="10">
        <v>600</v>
      </c>
      <c r="F466" s="10">
        <v>672</v>
      </c>
      <c r="G466" s="10">
        <f>E466-F466</f>
        <v>-72</v>
      </c>
      <c r="H466" s="7">
        <f>IF(E466=0,0,F466/E466)</f>
        <v>1.1200000000000001</v>
      </c>
      <c r="I466" s="8" t="str">
        <f>IF(H466&gt;0.97,"Sold Out",IF(H466&gt;=0.85,"Critical",IF(H466&gt;=0.7,"Constrained","Healthy")))</f>
        <v>Sold Out</v>
      </c>
      <c r="J466" s="6">
        <v>0</v>
      </c>
      <c r="K466" s="9"/>
    </row>
    <row r="467" spans="1:11">
      <c r="A467" s="1" t="s">
        <v>146</v>
      </c>
      <c r="B467" s="1" t="s">
        <v>147</v>
      </c>
      <c r="C467" s="1" t="s">
        <v>186</v>
      </c>
      <c r="D467" s="9">
        <v>46569</v>
      </c>
      <c r="E467" s="10">
        <v>600</v>
      </c>
      <c r="F467" s="10">
        <v>720</v>
      </c>
      <c r="G467" s="10">
        <f>E467-F467</f>
        <v>-120</v>
      </c>
      <c r="H467" s="7">
        <f>IF(E467=0,0,F467/E467)</f>
        <v>1.2</v>
      </c>
      <c r="I467" s="8" t="str">
        <f>IF(H467&gt;0.97,"Sold Out",IF(H467&gt;=0.85,"Critical",IF(H467&gt;=0.7,"Constrained","Healthy")))</f>
        <v>Sold Out</v>
      </c>
      <c r="J467" s="6">
        <v>0</v>
      </c>
      <c r="K467" s="9"/>
    </row>
    <row r="468" spans="1:11">
      <c r="A468" s="1" t="s">
        <v>146</v>
      </c>
      <c r="B468" s="1" t="s">
        <v>147</v>
      </c>
      <c r="C468" s="1" t="s">
        <v>186</v>
      </c>
      <c r="D468" s="9">
        <v>46600</v>
      </c>
      <c r="E468" s="10">
        <v>600</v>
      </c>
      <c r="F468" s="10">
        <v>768</v>
      </c>
      <c r="G468" s="10">
        <f>E468-F468</f>
        <v>-168</v>
      </c>
      <c r="H468" s="7">
        <f>IF(E468=0,0,F468/E468)</f>
        <v>1.28</v>
      </c>
      <c r="I468" s="8" t="str">
        <f>IF(H468&gt;0.97,"Sold Out",IF(H468&gt;=0.85,"Critical",IF(H468&gt;=0.7,"Constrained","Healthy")))</f>
        <v>Sold Out</v>
      </c>
      <c r="J468" s="6">
        <v>0</v>
      </c>
      <c r="K468" s="9"/>
    </row>
    <row r="469" spans="1:11">
      <c r="A469" s="1" t="s">
        <v>146</v>
      </c>
      <c r="B469" s="1" t="s">
        <v>147</v>
      </c>
      <c r="C469" s="1" t="s">
        <v>186</v>
      </c>
      <c r="D469" s="9">
        <v>46631</v>
      </c>
      <c r="E469" s="10">
        <v>600</v>
      </c>
      <c r="F469" s="10">
        <v>816</v>
      </c>
      <c r="G469" s="10">
        <f>E469-F469</f>
        <v>-216</v>
      </c>
      <c r="H469" s="7">
        <f>IF(E469=0,0,F469/E469)</f>
        <v>1.36</v>
      </c>
      <c r="I469" s="8" t="str">
        <f>IF(H469&gt;0.97,"Sold Out",IF(H469&gt;=0.85,"Critical",IF(H469&gt;=0.7,"Constrained","Healthy")))</f>
        <v>Sold Out</v>
      </c>
      <c r="J469" s="6">
        <v>0</v>
      </c>
      <c r="K469" s="9"/>
    </row>
    <row r="470" spans="1:11">
      <c r="A470" s="1" t="s">
        <v>220</v>
      </c>
      <c r="B470" s="1" t="s">
        <v>147</v>
      </c>
      <c r="C470" s="1" t="s">
        <v>186</v>
      </c>
      <c r="D470" s="9">
        <v>46296</v>
      </c>
      <c r="E470" s="10">
        <v>960</v>
      </c>
      <c r="F470" s="10">
        <v>1008</v>
      </c>
      <c r="G470" s="10">
        <f>E470-F470</f>
        <v>-48</v>
      </c>
      <c r="H470" s="7">
        <f>IF(E470=0,0,F470/E470)</f>
        <v>1.05</v>
      </c>
      <c r="I470" s="8" t="str">
        <f>IF(H470&gt;0.97,"Sold Out",IF(H470&gt;=0.85,"Critical",IF(H470&gt;=0.7,"Constrained","Healthy")))</f>
        <v>Sold Out</v>
      </c>
      <c r="J470" s="6">
        <v>0</v>
      </c>
      <c r="K470" s="9"/>
    </row>
    <row r="471" spans="1:11">
      <c r="A471" s="1" t="s">
        <v>220</v>
      </c>
      <c r="B471" s="1" t="s">
        <v>147</v>
      </c>
      <c r="C471" s="1" t="s">
        <v>186</v>
      </c>
      <c r="D471" s="9">
        <v>46327</v>
      </c>
      <c r="E471" s="10">
        <v>960</v>
      </c>
      <c r="F471" s="10">
        <v>1056</v>
      </c>
      <c r="G471" s="10">
        <f>E471-F471</f>
        <v>-96</v>
      </c>
      <c r="H471" s="7">
        <f>IF(E471=0,0,F471/E471)</f>
        <v>1.1000000000000001</v>
      </c>
      <c r="I471" s="8" t="str">
        <f>IF(H471&gt;0.97,"Sold Out",IF(H471&gt;=0.85,"Critical",IF(H471&gt;=0.7,"Constrained","Healthy")))</f>
        <v>Sold Out</v>
      </c>
      <c r="J471" s="6">
        <v>0</v>
      </c>
      <c r="K471" s="9"/>
    </row>
    <row r="472" spans="1:11">
      <c r="A472" s="1" t="s">
        <v>220</v>
      </c>
      <c r="B472" s="1" t="s">
        <v>147</v>
      </c>
      <c r="C472" s="1" t="s">
        <v>186</v>
      </c>
      <c r="D472" s="9">
        <v>46357</v>
      </c>
      <c r="E472" s="10">
        <v>960</v>
      </c>
      <c r="F472" s="10">
        <v>1104</v>
      </c>
      <c r="G472" s="10">
        <f>E472-F472</f>
        <v>-144</v>
      </c>
      <c r="H472" s="7">
        <f>IF(E472=0,0,F472/E472)</f>
        <v>1.1499999999999999</v>
      </c>
      <c r="I472" s="8" t="str">
        <f>IF(H472&gt;0.97,"Sold Out",IF(H472&gt;=0.85,"Critical",IF(H472&gt;=0.7,"Constrained","Healthy")))</f>
        <v>Sold Out</v>
      </c>
      <c r="J472" s="6">
        <v>0</v>
      </c>
      <c r="K472" s="9"/>
    </row>
    <row r="473" spans="1:11">
      <c r="A473" s="1" t="s">
        <v>220</v>
      </c>
      <c r="B473" s="1" t="s">
        <v>147</v>
      </c>
      <c r="C473" s="1" t="s">
        <v>186</v>
      </c>
      <c r="D473" s="9">
        <v>46388</v>
      </c>
      <c r="E473" s="10">
        <v>1200</v>
      </c>
      <c r="F473" s="10">
        <v>1176</v>
      </c>
      <c r="G473" s="10">
        <f>E473-F473</f>
        <v>24</v>
      </c>
      <c r="H473" s="7">
        <f>IF(E473=0,0,F473/E473)</f>
        <v>0.98</v>
      </c>
      <c r="I473" s="8" t="str">
        <f>IF(H473&gt;0.97,"Sold Out",IF(H473&gt;=0.85,"Critical",IF(H473&gt;=0.7,"Constrained","Healthy")))</f>
        <v>Sold Out</v>
      </c>
      <c r="J473" s="6">
        <v>240</v>
      </c>
      <c r="K473" s="9">
        <v>46388</v>
      </c>
    </row>
    <row r="474" spans="1:11">
      <c r="A474" s="1" t="s">
        <v>220</v>
      </c>
      <c r="B474" s="1" t="s">
        <v>147</v>
      </c>
      <c r="C474" s="1" t="s">
        <v>186</v>
      </c>
      <c r="D474" s="9">
        <v>46419</v>
      </c>
      <c r="E474" s="10">
        <v>1200</v>
      </c>
      <c r="F474" s="10">
        <v>1248</v>
      </c>
      <c r="G474" s="10">
        <f>E474-F474</f>
        <v>-48</v>
      </c>
      <c r="H474" s="7">
        <f>IF(E474=0,0,F474/E474)</f>
        <v>1.04</v>
      </c>
      <c r="I474" s="8" t="str">
        <f>IF(H474&gt;0.97,"Sold Out",IF(H474&gt;=0.85,"Critical",IF(H474&gt;=0.7,"Constrained","Healthy")))</f>
        <v>Sold Out</v>
      </c>
      <c r="J474" s="6">
        <v>0</v>
      </c>
      <c r="K474" s="9"/>
    </row>
    <row r="475" spans="1:11">
      <c r="A475" s="1" t="s">
        <v>220</v>
      </c>
      <c r="B475" s="1" t="s">
        <v>147</v>
      </c>
      <c r="C475" s="1" t="s">
        <v>186</v>
      </c>
      <c r="D475" s="9">
        <v>46447</v>
      </c>
      <c r="E475" s="10">
        <v>1200</v>
      </c>
      <c r="F475" s="10">
        <v>1320</v>
      </c>
      <c r="G475" s="10">
        <f>E475-F475</f>
        <v>-120</v>
      </c>
      <c r="H475" s="7">
        <f>IF(E475=0,0,F475/E475)</f>
        <v>1.1000000000000001</v>
      </c>
      <c r="I475" s="8" t="str">
        <f>IF(H475&gt;0.97,"Sold Out",IF(H475&gt;=0.85,"Critical",IF(H475&gt;=0.7,"Constrained","Healthy")))</f>
        <v>Sold Out</v>
      </c>
      <c r="J475" s="6">
        <v>0</v>
      </c>
      <c r="K475" s="9"/>
    </row>
    <row r="476" spans="1:11">
      <c r="A476" s="1" t="s">
        <v>220</v>
      </c>
      <c r="B476" s="1" t="s">
        <v>147</v>
      </c>
      <c r="C476" s="1" t="s">
        <v>186</v>
      </c>
      <c r="D476" s="9">
        <v>46478</v>
      </c>
      <c r="E476" s="10">
        <v>1200</v>
      </c>
      <c r="F476" s="10">
        <v>1392</v>
      </c>
      <c r="G476" s="10">
        <f>E476-F476</f>
        <v>-192</v>
      </c>
      <c r="H476" s="7">
        <f>IF(E476=0,0,F476/E476)</f>
        <v>1.1599999999999999</v>
      </c>
      <c r="I476" s="8" t="str">
        <f>IF(H476&gt;0.97,"Sold Out",IF(H476&gt;=0.85,"Critical",IF(H476&gt;=0.7,"Constrained","Healthy")))</f>
        <v>Sold Out</v>
      </c>
      <c r="J476" s="6">
        <v>0</v>
      </c>
      <c r="K476" s="9"/>
    </row>
    <row r="477" spans="1:11">
      <c r="A477" s="1" t="s">
        <v>220</v>
      </c>
      <c r="B477" s="1" t="s">
        <v>147</v>
      </c>
      <c r="C477" s="1" t="s">
        <v>186</v>
      </c>
      <c r="D477" s="9">
        <v>46508</v>
      </c>
      <c r="E477" s="10">
        <v>1200</v>
      </c>
      <c r="F477" s="10">
        <v>1464</v>
      </c>
      <c r="G477" s="10">
        <f>E477-F477</f>
        <v>-264</v>
      </c>
      <c r="H477" s="7">
        <f>IF(E477=0,0,F477/E477)</f>
        <v>1.22</v>
      </c>
      <c r="I477" s="8" t="str">
        <f>IF(H477&gt;0.97,"Sold Out",IF(H477&gt;=0.85,"Critical",IF(H477&gt;=0.7,"Constrained","Healthy")))</f>
        <v>Sold Out</v>
      </c>
      <c r="J477" s="6">
        <v>0</v>
      </c>
      <c r="K477" s="9"/>
    </row>
    <row r="478" spans="1:11">
      <c r="A478" s="1" t="s">
        <v>220</v>
      </c>
      <c r="B478" s="1" t="s">
        <v>147</v>
      </c>
      <c r="C478" s="1" t="s">
        <v>186</v>
      </c>
      <c r="D478" s="9">
        <v>46539</v>
      </c>
      <c r="E478" s="10">
        <v>1200</v>
      </c>
      <c r="F478" s="10">
        <v>1536</v>
      </c>
      <c r="G478" s="10">
        <f>E478-F478</f>
        <v>-336</v>
      </c>
      <c r="H478" s="7">
        <f>IF(E478=0,0,F478/E478)</f>
        <v>1.28</v>
      </c>
      <c r="I478" s="8" t="str">
        <f>IF(H478&gt;0.97,"Sold Out",IF(H478&gt;=0.85,"Critical",IF(H478&gt;=0.7,"Constrained","Healthy")))</f>
        <v>Sold Out</v>
      </c>
      <c r="J478" s="6">
        <v>0</v>
      </c>
      <c r="K478" s="9"/>
    </row>
    <row r="479" spans="1:11">
      <c r="A479" s="1" t="s">
        <v>220</v>
      </c>
      <c r="B479" s="1" t="s">
        <v>147</v>
      </c>
      <c r="C479" s="1" t="s">
        <v>186</v>
      </c>
      <c r="D479" s="9">
        <v>46569</v>
      </c>
      <c r="E479" s="10">
        <v>1200</v>
      </c>
      <c r="F479" s="10">
        <v>1632</v>
      </c>
      <c r="G479" s="10">
        <f>E479-F479</f>
        <v>-432</v>
      </c>
      <c r="H479" s="7">
        <f>IF(E479=0,0,F479/E479)</f>
        <v>1.36</v>
      </c>
      <c r="I479" s="8" t="str">
        <f>IF(H479&gt;0.97,"Sold Out",IF(H479&gt;=0.85,"Critical",IF(H479&gt;=0.7,"Constrained","Healthy")))</f>
        <v>Sold Out</v>
      </c>
      <c r="J479" s="6">
        <v>0</v>
      </c>
      <c r="K479" s="9"/>
    </row>
    <row r="480" spans="1:11">
      <c r="A480" s="1" t="s">
        <v>220</v>
      </c>
      <c r="B480" s="1" t="s">
        <v>147</v>
      </c>
      <c r="C480" s="1" t="s">
        <v>186</v>
      </c>
      <c r="D480" s="9">
        <v>46600</v>
      </c>
      <c r="E480" s="10">
        <v>1200</v>
      </c>
      <c r="F480" s="10">
        <v>1728</v>
      </c>
      <c r="G480" s="10">
        <f>E480-F480</f>
        <v>-528</v>
      </c>
      <c r="H480" s="7">
        <f>IF(E480=0,0,F480/E480)</f>
        <v>1.44</v>
      </c>
      <c r="I480" s="8" t="str">
        <f>IF(H480&gt;0.97,"Sold Out",IF(H480&gt;=0.85,"Critical",IF(H480&gt;=0.7,"Constrained","Healthy")))</f>
        <v>Sold Out</v>
      </c>
      <c r="J480" s="6">
        <v>0</v>
      </c>
      <c r="K480" s="9"/>
    </row>
    <row r="481" spans="1:11">
      <c r="A481" s="1" t="s">
        <v>220</v>
      </c>
      <c r="B481" s="1" t="s">
        <v>147</v>
      </c>
      <c r="C481" s="1" t="s">
        <v>186</v>
      </c>
      <c r="D481" s="9">
        <v>46631</v>
      </c>
      <c r="E481" s="10">
        <v>1200</v>
      </c>
      <c r="F481" s="10">
        <v>1824</v>
      </c>
      <c r="G481" s="10">
        <f>E481-F481</f>
        <v>-624</v>
      </c>
      <c r="H481" s="7">
        <f>IF(E481=0,0,F481/E481)</f>
        <v>1.52</v>
      </c>
      <c r="I481" s="8" t="str">
        <f>IF(H481&gt;0.97,"Sold Out",IF(H481&gt;=0.85,"Critical",IF(H481&gt;=0.7,"Constrained","Healthy")))</f>
        <v>Sold Out</v>
      </c>
      <c r="J481" s="6">
        <v>0</v>
      </c>
      <c r="K481" s="9"/>
    </row>
    <row r="482" spans="1:11">
      <c r="A482" s="1" t="s">
        <v>395</v>
      </c>
      <c r="B482" s="1" t="s">
        <v>147</v>
      </c>
      <c r="C482" s="1" t="s">
        <v>186</v>
      </c>
      <c r="D482" s="9">
        <v>46296</v>
      </c>
      <c r="E482" s="10">
        <v>792</v>
      </c>
      <c r="F482" s="10">
        <v>552</v>
      </c>
      <c r="G482" s="10">
        <f>E482-F482</f>
        <v>240</v>
      </c>
      <c r="H482" s="7">
        <f>IF(E482=0,0,F482/E482)</f>
        <v>0.69696969696969702</v>
      </c>
      <c r="I482" s="8" t="str">
        <f>IF(H482&gt;0.97,"Sold Out",IF(H482&gt;=0.85,"Critical",IF(H482&gt;=0.7,"Constrained","Healthy")))</f>
        <v>Healthy</v>
      </c>
      <c r="J482" s="6">
        <v>0</v>
      </c>
      <c r="K482" s="9"/>
    </row>
    <row r="483" spans="1:11">
      <c r="A483" s="1" t="s">
        <v>395</v>
      </c>
      <c r="B483" s="1" t="s">
        <v>147</v>
      </c>
      <c r="C483" s="1" t="s">
        <v>186</v>
      </c>
      <c r="D483" s="9">
        <v>46327</v>
      </c>
      <c r="E483" s="10">
        <v>792</v>
      </c>
      <c r="F483" s="10">
        <v>576</v>
      </c>
      <c r="G483" s="10">
        <f>E483-F483</f>
        <v>216</v>
      </c>
      <c r="H483" s="7">
        <f>IF(E483=0,0,F483/E483)</f>
        <v>0.72727272727272729</v>
      </c>
      <c r="I483" s="8" t="str">
        <f>IF(H483&gt;0.97,"Sold Out",IF(H483&gt;=0.85,"Critical",IF(H483&gt;=0.7,"Constrained","Healthy")))</f>
        <v>Constrained</v>
      </c>
      <c r="J483" s="6">
        <v>0</v>
      </c>
      <c r="K483" s="9"/>
    </row>
    <row r="484" spans="1:11">
      <c r="A484" s="1" t="s">
        <v>395</v>
      </c>
      <c r="B484" s="1" t="s">
        <v>147</v>
      </c>
      <c r="C484" s="1" t="s">
        <v>186</v>
      </c>
      <c r="D484" s="9">
        <v>46357</v>
      </c>
      <c r="E484" s="10">
        <v>792</v>
      </c>
      <c r="F484" s="10">
        <v>600</v>
      </c>
      <c r="G484" s="10">
        <f>E484-F484</f>
        <v>192</v>
      </c>
      <c r="H484" s="7">
        <f>IF(E484=0,0,F484/E484)</f>
        <v>0.75757575757575757</v>
      </c>
      <c r="I484" s="8" t="str">
        <f>IF(H484&gt;0.97,"Sold Out",IF(H484&gt;=0.85,"Critical",IF(H484&gt;=0.7,"Constrained","Healthy")))</f>
        <v>Constrained</v>
      </c>
      <c r="J484" s="6">
        <v>0</v>
      </c>
      <c r="K484" s="9"/>
    </row>
    <row r="485" spans="1:11">
      <c r="A485" s="1" t="s">
        <v>395</v>
      </c>
      <c r="B485" s="1" t="s">
        <v>147</v>
      </c>
      <c r="C485" s="1" t="s">
        <v>186</v>
      </c>
      <c r="D485" s="9">
        <v>46388</v>
      </c>
      <c r="E485" s="10">
        <v>792</v>
      </c>
      <c r="F485" s="10">
        <v>624</v>
      </c>
      <c r="G485" s="10">
        <f>E485-F485</f>
        <v>168</v>
      </c>
      <c r="H485" s="7">
        <f>IF(E485=0,0,F485/E485)</f>
        <v>0.78787878787878785</v>
      </c>
      <c r="I485" s="8" t="str">
        <f>IF(H485&gt;0.97,"Sold Out",IF(H485&gt;=0.85,"Critical",IF(H485&gt;=0.7,"Constrained","Healthy")))</f>
        <v>Constrained</v>
      </c>
      <c r="J485" s="6">
        <v>0</v>
      </c>
      <c r="K485" s="9"/>
    </row>
    <row r="486" spans="1:11">
      <c r="A486" s="1" t="s">
        <v>395</v>
      </c>
      <c r="B486" s="1" t="s">
        <v>147</v>
      </c>
      <c r="C486" s="1" t="s">
        <v>186</v>
      </c>
      <c r="D486" s="9">
        <v>46419</v>
      </c>
      <c r="E486" s="10">
        <v>1104</v>
      </c>
      <c r="F486" s="10">
        <v>648</v>
      </c>
      <c r="G486" s="10">
        <f>E486-F486</f>
        <v>456</v>
      </c>
      <c r="H486" s="7">
        <f>IF(E486=0,0,F486/E486)</f>
        <v>0.58695652173913049</v>
      </c>
      <c r="I486" s="8" t="str">
        <f>IF(H486&gt;0.97,"Sold Out",IF(H486&gt;=0.85,"Critical",IF(H486&gt;=0.7,"Constrained","Healthy")))</f>
        <v>Healthy</v>
      </c>
      <c r="J486" s="6">
        <v>312</v>
      </c>
      <c r="K486" s="9">
        <v>46419</v>
      </c>
    </row>
    <row r="487" spans="1:11">
      <c r="A487" s="1" t="s">
        <v>395</v>
      </c>
      <c r="B487" s="1" t="s">
        <v>147</v>
      </c>
      <c r="C487" s="1" t="s">
        <v>186</v>
      </c>
      <c r="D487" s="9">
        <v>46447</v>
      </c>
      <c r="E487" s="10">
        <v>1104</v>
      </c>
      <c r="F487" s="10">
        <v>672</v>
      </c>
      <c r="G487" s="10">
        <f>E487-F487</f>
        <v>432</v>
      </c>
      <c r="H487" s="7">
        <f>IF(E487=0,0,F487/E487)</f>
        <v>0.60869565217391308</v>
      </c>
      <c r="I487" s="8" t="str">
        <f>IF(H487&gt;0.97,"Sold Out",IF(H487&gt;=0.85,"Critical",IF(H487&gt;=0.7,"Constrained","Healthy")))</f>
        <v>Healthy</v>
      </c>
      <c r="J487" s="6">
        <v>0</v>
      </c>
      <c r="K487" s="9"/>
    </row>
    <row r="488" spans="1:11">
      <c r="A488" s="1" t="s">
        <v>395</v>
      </c>
      <c r="B488" s="1" t="s">
        <v>147</v>
      </c>
      <c r="C488" s="1" t="s">
        <v>186</v>
      </c>
      <c r="D488" s="9">
        <v>46478</v>
      </c>
      <c r="E488" s="10">
        <v>1104</v>
      </c>
      <c r="F488" s="10">
        <v>720</v>
      </c>
      <c r="G488" s="10">
        <f>E488-F488</f>
        <v>384</v>
      </c>
      <c r="H488" s="7">
        <f>IF(E488=0,0,F488/E488)</f>
        <v>0.65217391304347827</v>
      </c>
      <c r="I488" s="8" t="str">
        <f>IF(H488&gt;0.97,"Sold Out",IF(H488&gt;=0.85,"Critical",IF(H488&gt;=0.7,"Constrained","Healthy")))</f>
        <v>Healthy</v>
      </c>
      <c r="J488" s="6">
        <v>0</v>
      </c>
      <c r="K488" s="9"/>
    </row>
    <row r="489" spans="1:11">
      <c r="A489" s="1" t="s">
        <v>395</v>
      </c>
      <c r="B489" s="1" t="s">
        <v>147</v>
      </c>
      <c r="C489" s="1" t="s">
        <v>186</v>
      </c>
      <c r="D489" s="9">
        <v>46508</v>
      </c>
      <c r="E489" s="10">
        <v>1104</v>
      </c>
      <c r="F489" s="10">
        <v>768</v>
      </c>
      <c r="G489" s="10">
        <f>E489-F489</f>
        <v>336</v>
      </c>
      <c r="H489" s="7">
        <f>IF(E489=0,0,F489/E489)</f>
        <v>0.69565217391304346</v>
      </c>
      <c r="I489" s="8" t="str">
        <f>IF(H489&gt;0.97,"Sold Out",IF(H489&gt;=0.85,"Critical",IF(H489&gt;=0.7,"Constrained","Healthy")))</f>
        <v>Healthy</v>
      </c>
      <c r="J489" s="6">
        <v>0</v>
      </c>
      <c r="K489" s="9"/>
    </row>
    <row r="490" spans="1:11">
      <c r="A490" s="1" t="s">
        <v>395</v>
      </c>
      <c r="B490" s="1" t="s">
        <v>147</v>
      </c>
      <c r="C490" s="1" t="s">
        <v>186</v>
      </c>
      <c r="D490" s="9">
        <v>46539</v>
      </c>
      <c r="E490" s="10">
        <v>1104</v>
      </c>
      <c r="F490" s="10">
        <v>816</v>
      </c>
      <c r="G490" s="10">
        <f>E490-F490</f>
        <v>288</v>
      </c>
      <c r="H490" s="7">
        <f>IF(E490=0,0,F490/E490)</f>
        <v>0.73913043478260865</v>
      </c>
      <c r="I490" s="8" t="str">
        <f>IF(H490&gt;0.97,"Sold Out",IF(H490&gt;=0.85,"Critical",IF(H490&gt;=0.7,"Constrained","Healthy")))</f>
        <v>Constrained</v>
      </c>
      <c r="J490" s="6">
        <v>0</v>
      </c>
      <c r="K490" s="9"/>
    </row>
    <row r="491" spans="1:11">
      <c r="A491" s="1" t="s">
        <v>395</v>
      </c>
      <c r="B491" s="1" t="s">
        <v>147</v>
      </c>
      <c r="C491" s="1" t="s">
        <v>186</v>
      </c>
      <c r="D491" s="9">
        <v>46569</v>
      </c>
      <c r="E491" s="10">
        <v>1104</v>
      </c>
      <c r="F491" s="10">
        <v>864</v>
      </c>
      <c r="G491" s="10">
        <f>E491-F491</f>
        <v>240</v>
      </c>
      <c r="H491" s="7">
        <f>IF(E491=0,0,F491/E491)</f>
        <v>0.78260869565217395</v>
      </c>
      <c r="I491" s="8" t="str">
        <f>IF(H491&gt;0.97,"Sold Out",IF(H491&gt;=0.85,"Critical",IF(H491&gt;=0.7,"Constrained","Healthy")))</f>
        <v>Constrained</v>
      </c>
      <c r="J491" s="6">
        <v>0</v>
      </c>
      <c r="K491" s="9"/>
    </row>
    <row r="492" spans="1:11">
      <c r="A492" s="1" t="s">
        <v>395</v>
      </c>
      <c r="B492" s="1" t="s">
        <v>147</v>
      </c>
      <c r="C492" s="1" t="s">
        <v>186</v>
      </c>
      <c r="D492" s="9">
        <v>46600</v>
      </c>
      <c r="E492" s="10">
        <v>1104</v>
      </c>
      <c r="F492" s="10">
        <v>912</v>
      </c>
      <c r="G492" s="10">
        <f>E492-F492</f>
        <v>192</v>
      </c>
      <c r="H492" s="7">
        <f>IF(E492=0,0,F492/E492)</f>
        <v>0.82608695652173914</v>
      </c>
      <c r="I492" s="8" t="str">
        <f>IF(H492&gt;0.97,"Sold Out",IF(H492&gt;=0.85,"Critical",IF(H492&gt;=0.7,"Constrained","Healthy")))</f>
        <v>Constrained</v>
      </c>
      <c r="J492" s="6">
        <v>0</v>
      </c>
      <c r="K492" s="9"/>
    </row>
    <row r="493" spans="1:11">
      <c r="A493" s="1" t="s">
        <v>395</v>
      </c>
      <c r="B493" s="1" t="s">
        <v>147</v>
      </c>
      <c r="C493" s="1" t="s">
        <v>186</v>
      </c>
      <c r="D493" s="9">
        <v>46631</v>
      </c>
      <c r="E493" s="10">
        <v>1104</v>
      </c>
      <c r="F493" s="10">
        <v>960</v>
      </c>
      <c r="G493" s="10">
        <f>E493-F493</f>
        <v>144</v>
      </c>
      <c r="H493" s="7">
        <f>IF(E493=0,0,F493/E493)</f>
        <v>0.86956521739130432</v>
      </c>
      <c r="I493" s="8" t="str">
        <f>IF(H493&gt;0.97,"Sold Out",IF(H493&gt;=0.85,"Critical",IF(H493&gt;=0.7,"Constrained","Healthy")))</f>
        <v>Critical</v>
      </c>
      <c r="J493" s="6">
        <v>0</v>
      </c>
      <c r="K493" s="9"/>
    </row>
    <row r="494" spans="1:11">
      <c r="A494" s="1" t="s">
        <v>296</v>
      </c>
      <c r="B494" s="1" t="s">
        <v>147</v>
      </c>
      <c r="C494" s="1" t="s">
        <v>186</v>
      </c>
      <c r="D494" s="9">
        <v>46296</v>
      </c>
      <c r="E494" s="10">
        <v>1128</v>
      </c>
      <c r="F494" s="10">
        <v>960</v>
      </c>
      <c r="G494" s="10">
        <f>E494-F494</f>
        <v>168</v>
      </c>
      <c r="H494" s="7">
        <f>IF(E494=0,0,F494/E494)</f>
        <v>0.85106382978723405</v>
      </c>
      <c r="I494" s="8" t="str">
        <f>IF(H494&gt;0.97,"Sold Out",IF(H494&gt;=0.85,"Critical",IF(H494&gt;=0.7,"Constrained","Healthy")))</f>
        <v>Critical</v>
      </c>
      <c r="J494" s="6">
        <v>0</v>
      </c>
      <c r="K494" s="9"/>
    </row>
    <row r="495" spans="1:11">
      <c r="A495" s="1" t="s">
        <v>296</v>
      </c>
      <c r="B495" s="1" t="s">
        <v>147</v>
      </c>
      <c r="C495" s="1" t="s">
        <v>186</v>
      </c>
      <c r="D495" s="9">
        <v>46327</v>
      </c>
      <c r="E495" s="10">
        <v>1128</v>
      </c>
      <c r="F495" s="10">
        <v>1008</v>
      </c>
      <c r="G495" s="10">
        <f>E495-F495</f>
        <v>120</v>
      </c>
      <c r="H495" s="7">
        <f>IF(E495=0,0,F495/E495)</f>
        <v>0.8936170212765957</v>
      </c>
      <c r="I495" s="8" t="str">
        <f>IF(H495&gt;0.97,"Sold Out",IF(H495&gt;=0.85,"Critical",IF(H495&gt;=0.7,"Constrained","Healthy")))</f>
        <v>Critical</v>
      </c>
      <c r="J495" s="6">
        <v>0</v>
      </c>
      <c r="K495" s="9"/>
    </row>
    <row r="496" spans="1:11">
      <c r="A496" s="1" t="s">
        <v>296</v>
      </c>
      <c r="B496" s="1" t="s">
        <v>147</v>
      </c>
      <c r="C496" s="1" t="s">
        <v>186</v>
      </c>
      <c r="D496" s="9">
        <v>46357</v>
      </c>
      <c r="E496" s="10">
        <v>1128</v>
      </c>
      <c r="F496" s="10">
        <v>1056</v>
      </c>
      <c r="G496" s="10">
        <f>E496-F496</f>
        <v>72</v>
      </c>
      <c r="H496" s="7">
        <f>IF(E496=0,0,F496/E496)</f>
        <v>0.93617021276595747</v>
      </c>
      <c r="I496" s="8" t="str">
        <f>IF(H496&gt;0.97,"Sold Out",IF(H496&gt;=0.85,"Critical",IF(H496&gt;=0.7,"Constrained","Healthy")))</f>
        <v>Critical</v>
      </c>
      <c r="J496" s="6">
        <v>0</v>
      </c>
      <c r="K496" s="9"/>
    </row>
    <row r="497" spans="1:11">
      <c r="A497" s="1" t="s">
        <v>296</v>
      </c>
      <c r="B497" s="1" t="s">
        <v>147</v>
      </c>
      <c r="C497" s="1" t="s">
        <v>186</v>
      </c>
      <c r="D497" s="9">
        <v>46388</v>
      </c>
      <c r="E497" s="10">
        <v>1128</v>
      </c>
      <c r="F497" s="10">
        <v>1104</v>
      </c>
      <c r="G497" s="10">
        <f>E497-F497</f>
        <v>24</v>
      </c>
      <c r="H497" s="7">
        <f>IF(E497=0,0,F497/E497)</f>
        <v>0.97872340425531912</v>
      </c>
      <c r="I497" s="8" t="str">
        <f>IF(H497&gt;0.97,"Sold Out",IF(H497&gt;=0.85,"Critical",IF(H497&gt;=0.7,"Constrained","Healthy")))</f>
        <v>Sold Out</v>
      </c>
      <c r="J497" s="6">
        <v>0</v>
      </c>
      <c r="K497" s="9"/>
    </row>
    <row r="498" spans="1:11">
      <c r="A498" s="1" t="s">
        <v>296</v>
      </c>
      <c r="B498" s="1" t="s">
        <v>147</v>
      </c>
      <c r="C498" s="1" t="s">
        <v>186</v>
      </c>
      <c r="D498" s="9">
        <v>46419</v>
      </c>
      <c r="E498" s="10">
        <v>1512</v>
      </c>
      <c r="F498" s="10">
        <v>1176</v>
      </c>
      <c r="G498" s="10">
        <f>E498-F498</f>
        <v>336</v>
      </c>
      <c r="H498" s="7">
        <f>IF(E498=0,0,F498/E498)</f>
        <v>0.77777777777777779</v>
      </c>
      <c r="I498" s="8" t="str">
        <f>IF(H498&gt;0.97,"Sold Out",IF(H498&gt;=0.85,"Critical",IF(H498&gt;=0.7,"Constrained","Healthy")))</f>
        <v>Constrained</v>
      </c>
      <c r="J498" s="6">
        <v>384</v>
      </c>
      <c r="K498" s="9">
        <v>46419</v>
      </c>
    </row>
    <row r="499" spans="1:11">
      <c r="A499" s="1" t="s">
        <v>296</v>
      </c>
      <c r="B499" s="1" t="s">
        <v>147</v>
      </c>
      <c r="C499" s="1" t="s">
        <v>186</v>
      </c>
      <c r="D499" s="9">
        <v>46447</v>
      </c>
      <c r="E499" s="10">
        <v>1512</v>
      </c>
      <c r="F499" s="10">
        <v>1248</v>
      </c>
      <c r="G499" s="10">
        <f>E499-F499</f>
        <v>264</v>
      </c>
      <c r="H499" s="7">
        <f>IF(E499=0,0,F499/E499)</f>
        <v>0.82539682539682535</v>
      </c>
      <c r="I499" s="8" t="str">
        <f>IF(H499&gt;0.97,"Sold Out",IF(H499&gt;=0.85,"Critical",IF(H499&gt;=0.7,"Constrained","Healthy")))</f>
        <v>Constrained</v>
      </c>
      <c r="J499" s="6">
        <v>0</v>
      </c>
      <c r="K499" s="9"/>
    </row>
    <row r="500" spans="1:11">
      <c r="A500" s="1" t="s">
        <v>296</v>
      </c>
      <c r="B500" s="1" t="s">
        <v>147</v>
      </c>
      <c r="C500" s="1" t="s">
        <v>186</v>
      </c>
      <c r="D500" s="9">
        <v>46478</v>
      </c>
      <c r="E500" s="10">
        <v>1512</v>
      </c>
      <c r="F500" s="10">
        <v>1320</v>
      </c>
      <c r="G500" s="10">
        <f>E500-F500</f>
        <v>192</v>
      </c>
      <c r="H500" s="7">
        <f>IF(E500=0,0,F500/E500)</f>
        <v>0.87301587301587302</v>
      </c>
      <c r="I500" s="8" t="str">
        <f>IF(H500&gt;0.97,"Sold Out",IF(H500&gt;=0.85,"Critical",IF(H500&gt;=0.7,"Constrained","Healthy")))</f>
        <v>Critical</v>
      </c>
      <c r="J500" s="6">
        <v>0</v>
      </c>
      <c r="K500" s="9"/>
    </row>
    <row r="501" spans="1:11">
      <c r="A501" s="1" t="s">
        <v>296</v>
      </c>
      <c r="B501" s="1" t="s">
        <v>147</v>
      </c>
      <c r="C501" s="1" t="s">
        <v>186</v>
      </c>
      <c r="D501" s="9">
        <v>46508</v>
      </c>
      <c r="E501" s="10">
        <v>1512</v>
      </c>
      <c r="F501" s="10">
        <v>1392</v>
      </c>
      <c r="G501" s="10">
        <f>E501-F501</f>
        <v>120</v>
      </c>
      <c r="H501" s="7">
        <f>IF(E501=0,0,F501/E501)</f>
        <v>0.92063492063492058</v>
      </c>
      <c r="I501" s="8" t="str">
        <f>IF(H501&gt;0.97,"Sold Out",IF(H501&gt;=0.85,"Critical",IF(H501&gt;=0.7,"Constrained","Healthy")))</f>
        <v>Critical</v>
      </c>
      <c r="J501" s="6">
        <v>0</v>
      </c>
      <c r="K501" s="9"/>
    </row>
    <row r="502" spans="1:11">
      <c r="A502" s="1" t="s">
        <v>296</v>
      </c>
      <c r="B502" s="1" t="s">
        <v>147</v>
      </c>
      <c r="C502" s="1" t="s">
        <v>186</v>
      </c>
      <c r="D502" s="9">
        <v>46539</v>
      </c>
      <c r="E502" s="10">
        <v>1512</v>
      </c>
      <c r="F502" s="10">
        <v>1464</v>
      </c>
      <c r="G502" s="10">
        <f>E502-F502</f>
        <v>48</v>
      </c>
      <c r="H502" s="7">
        <f>IF(E502=0,0,F502/E502)</f>
        <v>0.96825396825396826</v>
      </c>
      <c r="I502" s="8" t="str">
        <f>IF(H502&gt;0.97,"Sold Out",IF(H502&gt;=0.85,"Critical",IF(H502&gt;=0.7,"Constrained","Healthy")))</f>
        <v>Critical</v>
      </c>
      <c r="J502" s="6">
        <v>0</v>
      </c>
      <c r="K502" s="9"/>
    </row>
    <row r="503" spans="1:11">
      <c r="A503" s="1" t="s">
        <v>296</v>
      </c>
      <c r="B503" s="1" t="s">
        <v>147</v>
      </c>
      <c r="C503" s="1" t="s">
        <v>186</v>
      </c>
      <c r="D503" s="9">
        <v>46569</v>
      </c>
      <c r="E503" s="10">
        <v>1512</v>
      </c>
      <c r="F503" s="10">
        <v>1536</v>
      </c>
      <c r="G503" s="10">
        <f>E503-F503</f>
        <v>-24</v>
      </c>
      <c r="H503" s="7">
        <f>IF(E503=0,0,F503/E503)</f>
        <v>1.0158730158730158</v>
      </c>
      <c r="I503" s="8" t="str">
        <f>IF(H503&gt;0.97,"Sold Out",IF(H503&gt;=0.85,"Critical",IF(H503&gt;=0.7,"Constrained","Healthy")))</f>
        <v>Sold Out</v>
      </c>
      <c r="J503" s="6">
        <v>0</v>
      </c>
      <c r="K503" s="9"/>
    </row>
    <row r="504" spans="1:11">
      <c r="A504" s="1" t="s">
        <v>296</v>
      </c>
      <c r="B504" s="1" t="s">
        <v>147</v>
      </c>
      <c r="C504" s="1" t="s">
        <v>186</v>
      </c>
      <c r="D504" s="9">
        <v>46600</v>
      </c>
      <c r="E504" s="10">
        <v>1512</v>
      </c>
      <c r="F504" s="10">
        <v>1632</v>
      </c>
      <c r="G504" s="10">
        <f>E504-F504</f>
        <v>-120</v>
      </c>
      <c r="H504" s="7">
        <f>IF(E504=0,0,F504/E504)</f>
        <v>1.0793650793650793</v>
      </c>
      <c r="I504" s="8" t="str">
        <f>IF(H504&gt;0.97,"Sold Out",IF(H504&gt;=0.85,"Critical",IF(H504&gt;=0.7,"Constrained","Healthy")))</f>
        <v>Sold Out</v>
      </c>
      <c r="J504" s="6">
        <v>0</v>
      </c>
      <c r="K504" s="9"/>
    </row>
    <row r="505" spans="1:11">
      <c r="A505" s="1" t="s">
        <v>296</v>
      </c>
      <c r="B505" s="1" t="s">
        <v>147</v>
      </c>
      <c r="C505" s="1" t="s">
        <v>186</v>
      </c>
      <c r="D505" s="9">
        <v>46631</v>
      </c>
      <c r="E505" s="10">
        <v>1512</v>
      </c>
      <c r="F505" s="10">
        <v>1728</v>
      </c>
      <c r="G505" s="10">
        <f>E505-F505</f>
        <v>-216</v>
      </c>
      <c r="H505" s="7">
        <f>IF(E505=0,0,F505/E505)</f>
        <v>1.1428571428571428</v>
      </c>
      <c r="I505" s="8" t="str">
        <f>IF(H505&gt;0.97,"Sold Out",IF(H505&gt;=0.85,"Critical",IF(H505&gt;=0.7,"Constrained","Healthy")))</f>
        <v>Sold Out</v>
      </c>
      <c r="J505" s="6">
        <v>0</v>
      </c>
      <c r="K505" s="9"/>
    </row>
  </sheetData>
  <conditionalFormatting sqref="H2:H505">
    <cfRule type="cellIs" dxfId="12" priority="1" operator="greaterThan">
      <formula>0.97</formula>
    </cfRule>
  </conditionalFormatting>
  <conditionalFormatting sqref="H2:H505">
    <cfRule type="cellIs" dxfId="11" priority="2" operator="greaterThan">
      <formula>0.8499</formula>
    </cfRule>
  </conditionalFormatting>
  <conditionalFormatting sqref="H2:H505">
    <cfRule type="cellIs" dxfId="10" priority="3" operator="greaterThan">
      <formula>0.6999</formula>
    </cfRule>
  </conditionalFormatting>
  <conditionalFormatting sqref="H2:H505">
    <cfRule type="cellIs" dxfId="9" priority="4" operator="lessThan">
      <formula>0.7</formula>
    </cfRule>
  </conditionalFormatting>
  <conditionalFormatting sqref="G2:G505">
    <cfRule type="cellIs" dxfId="8" priority="5" operator="lessThan">
      <formula>0</formula>
    </cfRule>
  </conditionalFormatting>
  <conditionalFormatting sqref="I2:I505">
    <cfRule type="containsText" dxfId="7" priority="6" operator="containsText" text="Sold Out">
      <formula>NOT(ISERROR(SEARCH("Sold Out",I2)))</formula>
    </cfRule>
  </conditionalFormatting>
  <conditionalFormatting sqref="I2:I505">
    <cfRule type="containsText" dxfId="6" priority="7" operator="containsText" text="Critical">
      <formula>NOT(ISERROR(SEARCH("Critical",I2)))</formula>
    </cfRule>
  </conditionalFormatting>
  <conditionalFormatting sqref="I2:I505">
    <cfRule type="containsText" dxfId="5" priority="8" operator="containsText" text="Constrained">
      <formula>NOT(ISERROR(SEARCH("Constrained",I2)))</formula>
    </cfRule>
  </conditionalFormatting>
  <conditionalFormatting sqref="I2:I505">
    <cfRule type="containsText" dxfId="4" priority="9" operator="containsText" text="Healthy">
      <formula>NOT(ISERROR(SEARCH("Healthy",I2)))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A022-8ED1-494A-ACDD-9A9FC7CC29CA}">
  <dimension ref="A1:I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7.7109375" customWidth="1"/>
    <col min="4" max="4" width="13.7109375" customWidth="1"/>
    <col min="5" max="5" width="16.7109375" customWidth="1"/>
    <col min="6" max="6" width="19.7109375" customWidth="1"/>
    <col min="7" max="7" width="12.7109375" customWidth="1"/>
    <col min="8" max="8" width="13.7109375" customWidth="1"/>
    <col min="9" max="9" width="56.7109375" customWidth="1"/>
  </cols>
  <sheetData>
    <row r="1" spans="1:9" ht="30" customHeight="1">
      <c r="A1" s="2" t="s">
        <v>496</v>
      </c>
      <c r="B1" s="2" t="s">
        <v>131</v>
      </c>
      <c r="C1" s="2" t="s">
        <v>132</v>
      </c>
      <c r="D1" s="2" t="s">
        <v>134</v>
      </c>
      <c r="E1" s="2" t="s">
        <v>497</v>
      </c>
      <c r="F1" s="2" t="s">
        <v>498</v>
      </c>
      <c r="G1" s="2" t="s">
        <v>499</v>
      </c>
      <c r="H1" s="2" t="s">
        <v>500</v>
      </c>
      <c r="I1" s="2" t="s">
        <v>501</v>
      </c>
    </row>
    <row r="2" spans="1:9">
      <c r="A2" s="1" t="s">
        <v>502</v>
      </c>
      <c r="B2" s="1" t="s">
        <v>146</v>
      </c>
      <c r="C2" s="1" t="s">
        <v>196</v>
      </c>
      <c r="D2" s="1" t="s">
        <v>163</v>
      </c>
      <c r="E2" s="6">
        <v>12288</v>
      </c>
      <c r="F2" s="9">
        <v>46569</v>
      </c>
      <c r="G2" s="8" t="s">
        <v>503</v>
      </c>
      <c r="H2" s="8" t="s">
        <v>504</v>
      </c>
      <c r="I2" s="3" t="s">
        <v>505</v>
      </c>
    </row>
    <row r="3" spans="1:9">
      <c r="A3" s="1" t="s">
        <v>506</v>
      </c>
      <c r="B3" s="1" t="s">
        <v>220</v>
      </c>
      <c r="C3" s="1" t="s">
        <v>196</v>
      </c>
      <c r="D3" s="1" t="s">
        <v>163</v>
      </c>
      <c r="E3" s="6">
        <v>6144</v>
      </c>
      <c r="F3" s="9">
        <v>46235</v>
      </c>
      <c r="G3" s="8" t="s">
        <v>507</v>
      </c>
      <c r="H3" s="8" t="s">
        <v>508</v>
      </c>
      <c r="I3" s="3" t="s">
        <v>509</v>
      </c>
    </row>
    <row r="4" spans="1:9">
      <c r="A4" s="1" t="s">
        <v>510</v>
      </c>
      <c r="B4" s="1" t="s">
        <v>259</v>
      </c>
      <c r="C4" s="1" t="s">
        <v>196</v>
      </c>
      <c r="D4" s="1" t="s">
        <v>149</v>
      </c>
      <c r="E4" s="6">
        <v>4096</v>
      </c>
      <c r="F4" s="9">
        <v>46419</v>
      </c>
      <c r="G4" s="8" t="s">
        <v>511</v>
      </c>
      <c r="H4" s="8" t="s">
        <v>512</v>
      </c>
      <c r="I4" s="3" t="s">
        <v>513</v>
      </c>
    </row>
    <row r="5" spans="1:9">
      <c r="A5" s="1" t="s">
        <v>514</v>
      </c>
      <c r="B5" s="1" t="s">
        <v>296</v>
      </c>
      <c r="C5" s="1" t="s">
        <v>196</v>
      </c>
      <c r="D5" s="1" t="s">
        <v>149</v>
      </c>
      <c r="E5" s="6">
        <v>4096</v>
      </c>
      <c r="F5" s="9">
        <v>46357</v>
      </c>
      <c r="G5" s="8" t="s">
        <v>507</v>
      </c>
      <c r="H5" s="8" t="s">
        <v>515</v>
      </c>
      <c r="I5" s="3" t="s">
        <v>516</v>
      </c>
    </row>
    <row r="6" spans="1:9">
      <c r="A6" s="1" t="s">
        <v>517</v>
      </c>
      <c r="B6" s="1" t="s">
        <v>330</v>
      </c>
      <c r="C6" s="1" t="s">
        <v>196</v>
      </c>
      <c r="D6" s="1" t="s">
        <v>194</v>
      </c>
      <c r="E6" s="6">
        <v>1920</v>
      </c>
      <c r="F6" s="9">
        <v>46174</v>
      </c>
      <c r="G6" s="8" t="s">
        <v>507</v>
      </c>
      <c r="H6" s="8" t="s">
        <v>508</v>
      </c>
      <c r="I6" s="3" t="s">
        <v>509</v>
      </c>
    </row>
    <row r="7" spans="1:9">
      <c r="A7" s="1" t="s">
        <v>518</v>
      </c>
      <c r="B7" s="1" t="s">
        <v>359</v>
      </c>
      <c r="C7" s="1" t="s">
        <v>212</v>
      </c>
      <c r="D7" s="1" t="s">
        <v>190</v>
      </c>
      <c r="E7" s="6">
        <v>2880</v>
      </c>
      <c r="F7" s="9">
        <v>46447</v>
      </c>
      <c r="G7" s="8" t="s">
        <v>511</v>
      </c>
      <c r="H7" s="8" t="s">
        <v>512</v>
      </c>
      <c r="I7" s="3" t="s">
        <v>513</v>
      </c>
    </row>
    <row r="8" spans="1:9">
      <c r="A8" s="1" t="s">
        <v>519</v>
      </c>
      <c r="B8" s="1" t="s">
        <v>395</v>
      </c>
      <c r="C8" s="1" t="s">
        <v>196</v>
      </c>
      <c r="D8" s="1" t="s">
        <v>184</v>
      </c>
      <c r="E8" s="6">
        <v>2112</v>
      </c>
      <c r="F8" s="9">
        <v>46296</v>
      </c>
      <c r="G8" s="8" t="s">
        <v>511</v>
      </c>
      <c r="H8" s="8" t="s">
        <v>512</v>
      </c>
      <c r="I8" s="3" t="s">
        <v>513</v>
      </c>
    </row>
    <row r="9" spans="1:9">
      <c r="A9" s="1" t="s">
        <v>520</v>
      </c>
      <c r="B9" s="1" t="s">
        <v>429</v>
      </c>
      <c r="C9" s="1" t="s">
        <v>196</v>
      </c>
      <c r="D9" s="1" t="s">
        <v>149</v>
      </c>
      <c r="E9" s="6">
        <v>6144</v>
      </c>
      <c r="F9" s="9">
        <v>46478</v>
      </c>
      <c r="G9" s="8" t="s">
        <v>511</v>
      </c>
      <c r="H9" s="8" t="s">
        <v>512</v>
      </c>
      <c r="I9" s="3" t="s">
        <v>513</v>
      </c>
    </row>
    <row r="10" spans="1:9">
      <c r="A10" s="1" t="s">
        <v>521</v>
      </c>
      <c r="B10" s="1" t="s">
        <v>451</v>
      </c>
      <c r="C10" s="1" t="s">
        <v>147</v>
      </c>
      <c r="D10" s="1" t="s">
        <v>194</v>
      </c>
      <c r="E10" s="6">
        <v>1920</v>
      </c>
      <c r="F10" s="9">
        <v>46661</v>
      </c>
      <c r="G10" s="8" t="s">
        <v>503</v>
      </c>
      <c r="H10" s="8" t="s">
        <v>504</v>
      </c>
      <c r="I10" s="3" t="s">
        <v>505</v>
      </c>
    </row>
    <row r="11" spans="1:9">
      <c r="A11" s="1" t="s">
        <v>522</v>
      </c>
      <c r="B11" s="1" t="s">
        <v>476</v>
      </c>
      <c r="C11" s="1" t="s">
        <v>147</v>
      </c>
      <c r="D11" s="1" t="s">
        <v>175</v>
      </c>
      <c r="E11" s="6">
        <v>1536</v>
      </c>
      <c r="F11" s="9">
        <v>46388</v>
      </c>
      <c r="G11" s="8" t="s">
        <v>503</v>
      </c>
      <c r="H11" s="8" t="s">
        <v>512</v>
      </c>
      <c r="I11" s="3" t="s">
        <v>513</v>
      </c>
    </row>
    <row r="12" spans="1:9">
      <c r="A12" s="1" t="s">
        <v>523</v>
      </c>
      <c r="B12" s="1" t="s">
        <v>146</v>
      </c>
      <c r="C12" s="1" t="s">
        <v>196</v>
      </c>
      <c r="D12" s="1" t="s">
        <v>194</v>
      </c>
      <c r="E12" s="6">
        <v>3840</v>
      </c>
      <c r="F12" s="9">
        <v>46419</v>
      </c>
      <c r="G12" s="8" t="s">
        <v>511</v>
      </c>
      <c r="H12" s="8" t="s">
        <v>512</v>
      </c>
      <c r="I12" s="3" t="s">
        <v>513</v>
      </c>
    </row>
    <row r="13" spans="1:9">
      <c r="A13" s="1" t="s">
        <v>524</v>
      </c>
      <c r="B13" s="1" t="s">
        <v>220</v>
      </c>
      <c r="C13" s="1" t="s">
        <v>196</v>
      </c>
      <c r="D13" s="1" t="s">
        <v>190</v>
      </c>
      <c r="E13" s="6">
        <v>1920</v>
      </c>
      <c r="F13" s="9">
        <v>46357</v>
      </c>
      <c r="G13" s="8" t="s">
        <v>507</v>
      </c>
      <c r="H13" s="8" t="s">
        <v>515</v>
      </c>
      <c r="I13" s="3" t="s">
        <v>516</v>
      </c>
    </row>
    <row r="14" spans="1:9">
      <c r="A14" s="1" t="s">
        <v>525</v>
      </c>
      <c r="B14" s="1" t="s">
        <v>259</v>
      </c>
      <c r="C14" s="1" t="s">
        <v>196</v>
      </c>
      <c r="D14" s="1" t="s">
        <v>190</v>
      </c>
      <c r="E14" s="6">
        <v>960</v>
      </c>
      <c r="F14" s="9">
        <v>46174</v>
      </c>
      <c r="G14" s="8" t="s">
        <v>507</v>
      </c>
      <c r="H14" s="8" t="s">
        <v>508</v>
      </c>
      <c r="I14" s="3" t="s">
        <v>509</v>
      </c>
    </row>
    <row r="15" spans="1:9">
      <c r="A15" s="1" t="s">
        <v>526</v>
      </c>
      <c r="B15" s="1" t="s">
        <v>146</v>
      </c>
      <c r="C15" s="1" t="s">
        <v>196</v>
      </c>
      <c r="D15" s="1" t="s">
        <v>175</v>
      </c>
      <c r="E15" s="6">
        <v>1024</v>
      </c>
      <c r="F15" s="9">
        <v>46692</v>
      </c>
      <c r="G15" s="8" t="s">
        <v>511</v>
      </c>
      <c r="H15" s="8" t="s">
        <v>504</v>
      </c>
      <c r="I15" s="3" t="s">
        <v>505</v>
      </c>
    </row>
    <row r="16" spans="1:9">
      <c r="A16" s="1" t="s">
        <v>527</v>
      </c>
      <c r="B16" s="1" t="s">
        <v>220</v>
      </c>
      <c r="C16" s="1" t="s">
        <v>212</v>
      </c>
      <c r="D16" s="1" t="s">
        <v>149</v>
      </c>
      <c r="E16" s="6">
        <v>8192</v>
      </c>
      <c r="F16" s="9">
        <v>46447</v>
      </c>
      <c r="G16" s="8" t="s">
        <v>507</v>
      </c>
      <c r="H16" s="8" t="s">
        <v>515</v>
      </c>
      <c r="I16" s="3" t="s">
        <v>516</v>
      </c>
    </row>
    <row r="17" spans="1:9">
      <c r="A17" s="1" t="s">
        <v>528</v>
      </c>
      <c r="B17" s="1" t="s">
        <v>259</v>
      </c>
      <c r="C17" s="1" t="s">
        <v>147</v>
      </c>
      <c r="D17" s="1" t="s">
        <v>163</v>
      </c>
      <c r="E17" s="6">
        <v>16384</v>
      </c>
      <c r="F17" s="9">
        <v>46419</v>
      </c>
      <c r="G17" s="8" t="s">
        <v>507</v>
      </c>
      <c r="H17" s="8" t="s">
        <v>512</v>
      </c>
      <c r="I17" s="3" t="s">
        <v>513</v>
      </c>
    </row>
    <row r="18" spans="1:9">
      <c r="A18" s="1" t="s">
        <v>529</v>
      </c>
      <c r="B18" s="1" t="s">
        <v>146</v>
      </c>
      <c r="C18" s="1" t="s">
        <v>212</v>
      </c>
      <c r="D18" s="1" t="s">
        <v>175</v>
      </c>
      <c r="E18" s="6">
        <v>2112</v>
      </c>
      <c r="F18" s="9">
        <v>46569</v>
      </c>
      <c r="G18" s="8" t="s">
        <v>511</v>
      </c>
      <c r="H18" s="8" t="s">
        <v>512</v>
      </c>
      <c r="I18" s="3" t="s">
        <v>513</v>
      </c>
    </row>
    <row r="19" spans="1:9">
      <c r="A19" s="1" t="s">
        <v>530</v>
      </c>
      <c r="B19" s="1" t="s">
        <v>220</v>
      </c>
      <c r="C19" s="1" t="s">
        <v>212</v>
      </c>
      <c r="D19" s="1" t="s">
        <v>175</v>
      </c>
      <c r="E19" s="6">
        <v>1536</v>
      </c>
      <c r="F19" s="9">
        <v>46478</v>
      </c>
      <c r="G19" s="8" t="s">
        <v>511</v>
      </c>
      <c r="H19" s="8" t="s">
        <v>512</v>
      </c>
      <c r="I19" s="3" t="s">
        <v>513</v>
      </c>
    </row>
    <row r="20" spans="1:9">
      <c r="A20" s="1" t="s">
        <v>531</v>
      </c>
      <c r="B20" s="1" t="s">
        <v>359</v>
      </c>
      <c r="C20" s="1" t="s">
        <v>147</v>
      </c>
      <c r="D20" s="1" t="s">
        <v>149</v>
      </c>
      <c r="E20" s="6">
        <v>6144</v>
      </c>
      <c r="F20" s="9">
        <v>46447</v>
      </c>
      <c r="G20" s="8" t="s">
        <v>507</v>
      </c>
      <c r="H20" s="8" t="s">
        <v>512</v>
      </c>
      <c r="I20" s="3" t="s">
        <v>513</v>
      </c>
    </row>
    <row r="21" spans="1:9">
      <c r="A21" s="1" t="s">
        <v>532</v>
      </c>
      <c r="B21" s="1" t="s">
        <v>451</v>
      </c>
      <c r="C21" s="1" t="s">
        <v>212</v>
      </c>
      <c r="D21" s="1" t="s">
        <v>175</v>
      </c>
      <c r="E21" s="6">
        <v>1024</v>
      </c>
      <c r="F21" s="9">
        <v>46478</v>
      </c>
      <c r="G21" s="8" t="s">
        <v>503</v>
      </c>
      <c r="H21" s="8" t="s">
        <v>504</v>
      </c>
      <c r="I21" s="3" t="s">
        <v>505</v>
      </c>
    </row>
    <row r="22" spans="1:9">
      <c r="A22" s="1" t="s">
        <v>533</v>
      </c>
      <c r="B22" s="1" t="s">
        <v>330</v>
      </c>
      <c r="C22" s="1" t="s">
        <v>196</v>
      </c>
      <c r="D22" s="1" t="s">
        <v>187</v>
      </c>
      <c r="E22" s="6">
        <v>960</v>
      </c>
      <c r="F22" s="9">
        <v>46388</v>
      </c>
      <c r="G22" s="8" t="s">
        <v>503</v>
      </c>
      <c r="H22" s="8" t="s">
        <v>512</v>
      </c>
      <c r="I22" s="3" t="s">
        <v>513</v>
      </c>
    </row>
    <row r="23" spans="1:9">
      <c r="A23" s="1" t="s">
        <v>534</v>
      </c>
      <c r="B23" s="1" t="s">
        <v>395</v>
      </c>
      <c r="C23" s="1" t="s">
        <v>147</v>
      </c>
      <c r="D23" s="1" t="s">
        <v>181</v>
      </c>
      <c r="E23" s="6">
        <v>4096</v>
      </c>
      <c r="F23" s="9">
        <v>46569</v>
      </c>
      <c r="G23" s="8" t="s">
        <v>511</v>
      </c>
      <c r="H23" s="8" t="s">
        <v>512</v>
      </c>
      <c r="I23" s="3" t="s">
        <v>513</v>
      </c>
    </row>
    <row r="24" spans="1:9">
      <c r="A24" s="1" t="s">
        <v>535</v>
      </c>
      <c r="B24" s="1" t="s">
        <v>296</v>
      </c>
      <c r="C24" s="1" t="s">
        <v>196</v>
      </c>
      <c r="D24" s="1" t="s">
        <v>190</v>
      </c>
      <c r="E24" s="6">
        <v>960</v>
      </c>
      <c r="F24" s="9">
        <v>46143</v>
      </c>
      <c r="G24" s="8" t="s">
        <v>507</v>
      </c>
      <c r="H24" s="8" t="s">
        <v>508</v>
      </c>
      <c r="I24" s="3" t="s">
        <v>509</v>
      </c>
    </row>
    <row r="25" spans="1:9">
      <c r="A25" s="1" t="s">
        <v>536</v>
      </c>
      <c r="B25" s="1" t="s">
        <v>259</v>
      </c>
      <c r="C25" s="1" t="s">
        <v>212</v>
      </c>
      <c r="D25" s="1" t="s">
        <v>149</v>
      </c>
      <c r="E25" s="6">
        <v>16384</v>
      </c>
      <c r="F25" s="9">
        <v>46357</v>
      </c>
      <c r="G25" s="8" t="s">
        <v>507</v>
      </c>
      <c r="H25" s="8" t="s">
        <v>512</v>
      </c>
      <c r="I25" s="3" t="s">
        <v>513</v>
      </c>
    </row>
    <row r="26" spans="1:9">
      <c r="A26" s="1" t="s">
        <v>537</v>
      </c>
      <c r="B26" s="1" t="s">
        <v>146</v>
      </c>
      <c r="C26" s="1" t="s">
        <v>196</v>
      </c>
      <c r="D26" s="1" t="s">
        <v>175</v>
      </c>
      <c r="E26" s="6">
        <v>3520</v>
      </c>
      <c r="F26" s="9">
        <v>46447</v>
      </c>
      <c r="G26" s="8" t="s">
        <v>507</v>
      </c>
      <c r="H26" s="8" t="s">
        <v>512</v>
      </c>
      <c r="I26" s="3" t="s">
        <v>513</v>
      </c>
    </row>
    <row r="27" spans="1:9">
      <c r="A27" s="1" t="s">
        <v>538</v>
      </c>
      <c r="B27" s="1" t="s">
        <v>220</v>
      </c>
      <c r="C27" s="1" t="s">
        <v>196</v>
      </c>
      <c r="D27" s="1" t="s">
        <v>194</v>
      </c>
      <c r="E27" s="6">
        <v>1920</v>
      </c>
      <c r="F27" s="9">
        <v>46388</v>
      </c>
      <c r="G27" s="8" t="s">
        <v>507</v>
      </c>
      <c r="H27" s="8" t="s">
        <v>515</v>
      </c>
      <c r="I27" s="3" t="s">
        <v>516</v>
      </c>
    </row>
    <row r="28" spans="1:9">
      <c r="A28" s="1" t="s">
        <v>539</v>
      </c>
      <c r="B28" s="1" t="s">
        <v>476</v>
      </c>
      <c r="C28" s="1" t="s">
        <v>196</v>
      </c>
      <c r="D28" s="1" t="s">
        <v>178</v>
      </c>
      <c r="E28" s="6">
        <v>8192</v>
      </c>
      <c r="F28" s="9">
        <v>46357</v>
      </c>
      <c r="G28" s="8" t="s">
        <v>507</v>
      </c>
      <c r="H28" s="8" t="s">
        <v>512</v>
      </c>
      <c r="I28" s="3" t="s">
        <v>513</v>
      </c>
    </row>
    <row r="29" spans="1:9">
      <c r="A29" s="1" t="s">
        <v>540</v>
      </c>
      <c r="B29" s="1" t="s">
        <v>429</v>
      </c>
      <c r="C29" s="1" t="s">
        <v>196</v>
      </c>
      <c r="D29" s="1" t="s">
        <v>184</v>
      </c>
      <c r="E29" s="6">
        <v>1536</v>
      </c>
      <c r="F29" s="9">
        <v>46235</v>
      </c>
      <c r="G29" s="8" t="s">
        <v>507</v>
      </c>
      <c r="H29" s="8" t="s">
        <v>508</v>
      </c>
      <c r="I29" s="3" t="s">
        <v>509</v>
      </c>
    </row>
    <row r="30" spans="1:9">
      <c r="A30" s="1" t="s">
        <v>541</v>
      </c>
      <c r="B30" s="1" t="s">
        <v>451</v>
      </c>
      <c r="C30" s="1" t="s">
        <v>212</v>
      </c>
      <c r="D30" s="1" t="s">
        <v>181</v>
      </c>
      <c r="E30" s="6">
        <v>16384</v>
      </c>
      <c r="F30" s="9">
        <v>46357</v>
      </c>
      <c r="G30" s="8" t="s">
        <v>503</v>
      </c>
      <c r="H30" s="8" t="s">
        <v>515</v>
      </c>
      <c r="I30" s="3" t="s">
        <v>516</v>
      </c>
    </row>
    <row r="31" spans="1:9">
      <c r="A31" s="1" t="s">
        <v>542</v>
      </c>
      <c r="B31" s="1" t="s">
        <v>359</v>
      </c>
      <c r="C31" s="1" t="s">
        <v>212</v>
      </c>
      <c r="D31" s="1" t="s">
        <v>163</v>
      </c>
      <c r="E31" s="6">
        <v>6144</v>
      </c>
      <c r="F31" s="9">
        <v>46539</v>
      </c>
      <c r="G31" s="8" t="s">
        <v>503</v>
      </c>
      <c r="H31" s="8" t="s">
        <v>504</v>
      </c>
      <c r="I31" s="3" t="s">
        <v>505</v>
      </c>
    </row>
  </sheetData>
  <conditionalFormatting sqref="H2:H31">
    <cfRule type="containsText" dxfId="3" priority="1" operator="containsText" text="Delayed">
      <formula>NOT(ISERROR(SEARCH("Delayed",H2)))</formula>
    </cfRule>
  </conditionalFormatting>
  <conditionalFormatting sqref="H2:H31">
    <cfRule type="containsText" dxfId="2" priority="2" operator="containsText" text="Complete">
      <formula>NOT(ISERROR(SEARCH("Complete",H2)))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0FD5B-9644-488D-8B40-FED3B7497EFE}">
  <dimension ref="A1:H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28.7109375" customWidth="1"/>
    <col min="3" max="3" width="22.7109375" customWidth="1"/>
    <col min="4" max="4" width="27.7109375" customWidth="1"/>
    <col min="5" max="5" width="21.7109375" customWidth="1"/>
    <col min="6" max="6" width="15.7109375" customWidth="1"/>
    <col min="7" max="7" width="21.7109375" customWidth="1"/>
    <col min="8" max="8" width="62.7109375" customWidth="1"/>
  </cols>
  <sheetData>
    <row r="1" spans="1:8" ht="30" customHeight="1">
      <c r="A1" s="2" t="s">
        <v>543</v>
      </c>
      <c r="B1" s="2" t="s">
        <v>544</v>
      </c>
      <c r="C1" s="2" t="s">
        <v>545</v>
      </c>
      <c r="D1" s="2" t="s">
        <v>546</v>
      </c>
      <c r="E1" s="2" t="s">
        <v>547</v>
      </c>
      <c r="F1" s="2" t="s">
        <v>548</v>
      </c>
      <c r="G1" s="2" t="s">
        <v>549</v>
      </c>
      <c r="H1" s="2" t="s">
        <v>501</v>
      </c>
    </row>
    <row r="2" spans="1:8">
      <c r="A2" s="1" t="s">
        <v>177</v>
      </c>
      <c r="B2" s="1" t="s">
        <v>152</v>
      </c>
      <c r="C2" s="1" t="s">
        <v>451</v>
      </c>
      <c r="D2" s="1" t="s">
        <v>212</v>
      </c>
      <c r="E2" s="11">
        <v>0.06</v>
      </c>
      <c r="F2" s="11">
        <v>0.14000000000000001</v>
      </c>
      <c r="G2" s="8" t="s">
        <v>511</v>
      </c>
      <c r="H2" s="3" t="s">
        <v>550</v>
      </c>
    </row>
    <row r="3" spans="1:8">
      <c r="A3" s="1" t="s">
        <v>165</v>
      </c>
      <c r="B3" s="1" t="s">
        <v>162</v>
      </c>
      <c r="C3" s="1" t="s">
        <v>429</v>
      </c>
      <c r="D3" s="1" t="s">
        <v>196</v>
      </c>
      <c r="E3" s="11">
        <v>-0.48</v>
      </c>
      <c r="F3" s="11">
        <v>-0.5</v>
      </c>
      <c r="G3" s="8" t="s">
        <v>511</v>
      </c>
      <c r="H3" s="3" t="s">
        <v>551</v>
      </c>
    </row>
    <row r="4" spans="1:8">
      <c r="A4" s="1" t="s">
        <v>165</v>
      </c>
      <c r="B4" s="1" t="s">
        <v>180</v>
      </c>
      <c r="C4" s="1" t="s">
        <v>451</v>
      </c>
      <c r="D4" s="1" t="s">
        <v>147</v>
      </c>
      <c r="E4" s="11">
        <v>-0.42</v>
      </c>
      <c r="F4" s="11">
        <v>-0.54</v>
      </c>
      <c r="G4" s="8" t="s">
        <v>503</v>
      </c>
      <c r="H4" s="3" t="s">
        <v>552</v>
      </c>
    </row>
    <row r="5" spans="1:8">
      <c r="A5" s="1" t="s">
        <v>183</v>
      </c>
      <c r="B5" s="1" t="s">
        <v>183</v>
      </c>
      <c r="C5" s="1" t="s">
        <v>330</v>
      </c>
      <c r="D5" s="1" t="s">
        <v>147</v>
      </c>
      <c r="E5" s="11">
        <v>0</v>
      </c>
      <c r="F5" s="11">
        <v>0</v>
      </c>
      <c r="G5" s="8" t="s">
        <v>503</v>
      </c>
      <c r="H5" s="3" t="s">
        <v>553</v>
      </c>
    </row>
    <row r="6" spans="1:8">
      <c r="A6" s="1" t="s">
        <v>183</v>
      </c>
      <c r="B6" s="1" t="s">
        <v>168</v>
      </c>
      <c r="C6" s="1" t="s">
        <v>330</v>
      </c>
      <c r="D6" s="1" t="s">
        <v>196</v>
      </c>
      <c r="E6" s="11">
        <v>-0.64</v>
      </c>
      <c r="F6" s="11">
        <v>-0.7</v>
      </c>
      <c r="G6" s="8" t="s">
        <v>507</v>
      </c>
      <c r="H6" s="3" t="s">
        <v>554</v>
      </c>
    </row>
    <row r="7" spans="1:8">
      <c r="A7" s="1" t="s">
        <v>174</v>
      </c>
      <c r="B7" s="1" t="s">
        <v>165</v>
      </c>
      <c r="C7" s="1" t="s">
        <v>330</v>
      </c>
      <c r="D7" s="1" t="s">
        <v>196</v>
      </c>
      <c r="E7" s="11">
        <v>-0.62</v>
      </c>
      <c r="F7" s="11">
        <v>-0.71</v>
      </c>
      <c r="G7" s="8" t="s">
        <v>507</v>
      </c>
      <c r="H7" s="3" t="s">
        <v>555</v>
      </c>
    </row>
    <row r="8" spans="1:8">
      <c r="A8" s="1" t="s">
        <v>174</v>
      </c>
      <c r="B8" s="1" t="s">
        <v>174</v>
      </c>
      <c r="C8" s="1" t="s">
        <v>330</v>
      </c>
      <c r="D8" s="1" t="s">
        <v>147</v>
      </c>
      <c r="E8" s="11">
        <v>0</v>
      </c>
      <c r="F8" s="11">
        <v>0.02</v>
      </c>
      <c r="G8" s="8" t="s">
        <v>503</v>
      </c>
      <c r="H8" s="3" t="s">
        <v>556</v>
      </c>
    </row>
    <row r="9" spans="1:8">
      <c r="A9" s="1" t="s">
        <v>186</v>
      </c>
      <c r="B9" s="1" t="s">
        <v>186</v>
      </c>
      <c r="C9" s="1" t="s">
        <v>395</v>
      </c>
      <c r="D9" s="1" t="s">
        <v>147</v>
      </c>
      <c r="E9" s="11">
        <v>0</v>
      </c>
      <c r="F9" s="11">
        <v>0.03</v>
      </c>
      <c r="G9" s="8" t="s">
        <v>511</v>
      </c>
      <c r="H9" s="3" t="s">
        <v>557</v>
      </c>
    </row>
    <row r="10" spans="1:8">
      <c r="A10" s="1" t="s">
        <v>186</v>
      </c>
      <c r="B10" s="1" t="s">
        <v>193</v>
      </c>
      <c r="C10" s="1" t="s">
        <v>395</v>
      </c>
      <c r="D10" s="1" t="s">
        <v>147</v>
      </c>
      <c r="E10" s="11">
        <v>0.42</v>
      </c>
      <c r="F10" s="11">
        <v>0.28000000000000003</v>
      </c>
      <c r="G10" s="8" t="s">
        <v>503</v>
      </c>
      <c r="H10" s="3" t="s">
        <v>558</v>
      </c>
    </row>
    <row r="11" spans="1:8">
      <c r="A11" s="1" t="s">
        <v>193</v>
      </c>
      <c r="B11" s="1" t="s">
        <v>186</v>
      </c>
      <c r="C11" s="1" t="s">
        <v>395</v>
      </c>
      <c r="D11" s="1" t="s">
        <v>147</v>
      </c>
      <c r="E11" s="11">
        <v>-0.3</v>
      </c>
      <c r="F11" s="11">
        <v>-0.22</v>
      </c>
      <c r="G11" s="8" t="s">
        <v>511</v>
      </c>
      <c r="H11" s="3" t="s">
        <v>559</v>
      </c>
    </row>
    <row r="12" spans="1:8">
      <c r="A12" s="1" t="s">
        <v>193</v>
      </c>
      <c r="B12" s="1" t="s">
        <v>193</v>
      </c>
      <c r="C12" s="1" t="s">
        <v>395</v>
      </c>
      <c r="D12" s="1" t="s">
        <v>147</v>
      </c>
      <c r="E12" s="11">
        <v>0</v>
      </c>
      <c r="F12" s="11">
        <v>0.04</v>
      </c>
      <c r="G12" s="8" t="s">
        <v>511</v>
      </c>
      <c r="H12" s="3" t="s">
        <v>560</v>
      </c>
    </row>
    <row r="13" spans="1:8">
      <c r="A13" s="1" t="s">
        <v>189</v>
      </c>
      <c r="B13" s="1" t="s">
        <v>193</v>
      </c>
      <c r="C13" s="1" t="s">
        <v>395</v>
      </c>
      <c r="D13" s="1" t="s">
        <v>147</v>
      </c>
      <c r="E13" s="11">
        <v>-0.38</v>
      </c>
      <c r="F13" s="11">
        <v>-0.46</v>
      </c>
      <c r="G13" s="8" t="s">
        <v>503</v>
      </c>
      <c r="H13" s="3" t="s">
        <v>561</v>
      </c>
    </row>
    <row r="14" spans="1:8">
      <c r="A14" s="1" t="s">
        <v>189</v>
      </c>
      <c r="B14" s="1" t="s">
        <v>186</v>
      </c>
      <c r="C14" s="1" t="s">
        <v>395</v>
      </c>
      <c r="D14" s="1" t="s">
        <v>147</v>
      </c>
      <c r="E14" s="11">
        <v>-0.55000000000000004</v>
      </c>
      <c r="F14" s="11">
        <v>-0.57999999999999996</v>
      </c>
      <c r="G14" s="8" t="s">
        <v>503</v>
      </c>
      <c r="H14" s="3" t="s">
        <v>562</v>
      </c>
    </row>
  </sheetData>
  <conditionalFormatting sqref="G2:G14">
    <cfRule type="containsText" dxfId="1" priority="1" operator="containsText" text="High">
      <formula>NOT(ISERROR(SEARCH("High",G2)))</formula>
    </cfRule>
  </conditionalFormatting>
  <conditionalFormatting sqref="G2:G14">
    <cfRule type="containsText" dxfId="0" priority="2" operator="containsText" text="Low">
      <formula>NOT(ISERROR(SEARCH("Low",G2)))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4AD9-8856-4164-8500-BCC64D97336F}">
  <dimension ref="A1:H72"/>
  <sheetViews>
    <sheetView workbookViewId="0">
      <pane ySplit="1" topLeftCell="A58" activePane="bottomLeft" state="frozen"/>
      <selection pane="bottomLeft"/>
    </sheetView>
  </sheetViews>
  <sheetFormatPr defaultRowHeight="15"/>
  <cols>
    <col min="1" max="1" width="22.7109375" customWidth="1"/>
    <col min="2" max="2" width="28.7109375" customWidth="1"/>
    <col min="3" max="3" width="78.7109375" customWidth="1"/>
    <col min="4" max="4" width="9.7109375" customWidth="1"/>
    <col min="5" max="5" width="10.7109375" customWidth="1"/>
    <col min="6" max="6" width="16.7109375" customWidth="1"/>
    <col min="7" max="7" width="13.7109375" customWidth="1"/>
    <col min="8" max="8" width="12.7109375" customWidth="1"/>
  </cols>
  <sheetData>
    <row r="1" spans="1:8" ht="30" customHeight="1">
      <c r="A1" s="2" t="s">
        <v>563</v>
      </c>
      <c r="B1" s="2" t="s">
        <v>564</v>
      </c>
      <c r="C1" s="2" t="s">
        <v>565</v>
      </c>
      <c r="D1" s="2" t="s">
        <v>566</v>
      </c>
      <c r="E1" s="2" t="s">
        <v>567</v>
      </c>
      <c r="F1" s="2" t="s">
        <v>134</v>
      </c>
      <c r="G1" s="2" t="s">
        <v>568</v>
      </c>
      <c r="H1" s="2" t="s">
        <v>569</v>
      </c>
    </row>
    <row r="2" spans="1:8">
      <c r="A2" s="1" t="s">
        <v>131</v>
      </c>
      <c r="B2" s="1" t="s">
        <v>146</v>
      </c>
      <c r="C2" s="3" t="s">
        <v>570</v>
      </c>
      <c r="D2" s="6"/>
      <c r="E2" s="6"/>
      <c r="F2" s="1"/>
      <c r="G2" s="8"/>
      <c r="H2" s="8"/>
    </row>
    <row r="3" spans="1:8">
      <c r="A3" s="1" t="s">
        <v>131</v>
      </c>
      <c r="B3" s="1" t="s">
        <v>220</v>
      </c>
      <c r="C3" s="3" t="s">
        <v>571</v>
      </c>
      <c r="D3" s="6"/>
      <c r="E3" s="6"/>
      <c r="F3" s="1"/>
      <c r="G3" s="8"/>
      <c r="H3" s="8"/>
    </row>
    <row r="4" spans="1:8">
      <c r="A4" s="1" t="s">
        <v>131</v>
      </c>
      <c r="B4" s="1" t="s">
        <v>259</v>
      </c>
      <c r="C4" s="3" t="s">
        <v>572</v>
      </c>
      <c r="D4" s="6"/>
      <c r="E4" s="6"/>
      <c r="F4" s="1"/>
      <c r="G4" s="8"/>
      <c r="H4" s="8"/>
    </row>
    <row r="5" spans="1:8">
      <c r="A5" s="1" t="s">
        <v>131</v>
      </c>
      <c r="B5" s="1" t="s">
        <v>296</v>
      </c>
      <c r="C5" s="3" t="s">
        <v>573</v>
      </c>
      <c r="D5" s="6"/>
      <c r="E5" s="6"/>
      <c r="F5" s="1"/>
      <c r="G5" s="8"/>
      <c r="H5" s="8"/>
    </row>
    <row r="6" spans="1:8">
      <c r="A6" s="1" t="s">
        <v>131</v>
      </c>
      <c r="B6" s="1" t="s">
        <v>330</v>
      </c>
      <c r="C6" s="3" t="s">
        <v>574</v>
      </c>
      <c r="D6" s="6"/>
      <c r="E6" s="6"/>
      <c r="F6" s="1"/>
      <c r="G6" s="8"/>
      <c r="H6" s="8"/>
    </row>
    <row r="7" spans="1:8">
      <c r="A7" s="1" t="s">
        <v>131</v>
      </c>
      <c r="B7" s="1" t="s">
        <v>359</v>
      </c>
      <c r="C7" s="3" t="s">
        <v>575</v>
      </c>
      <c r="D7" s="6"/>
      <c r="E7" s="6"/>
      <c r="F7" s="1"/>
      <c r="G7" s="8"/>
      <c r="H7" s="8"/>
    </row>
    <row r="8" spans="1:8">
      <c r="A8" s="1" t="s">
        <v>131</v>
      </c>
      <c r="B8" s="1" t="s">
        <v>395</v>
      </c>
      <c r="C8" s="3" t="s">
        <v>576</v>
      </c>
      <c r="D8" s="6"/>
      <c r="E8" s="6"/>
      <c r="F8" s="1"/>
      <c r="G8" s="8"/>
      <c r="H8" s="8"/>
    </row>
    <row r="9" spans="1:8">
      <c r="A9" s="1" t="s">
        <v>131</v>
      </c>
      <c r="B9" s="1" t="s">
        <v>429</v>
      </c>
      <c r="C9" s="3" t="s">
        <v>577</v>
      </c>
      <c r="D9" s="6"/>
      <c r="E9" s="6"/>
      <c r="F9" s="1"/>
      <c r="G9" s="8"/>
      <c r="H9" s="8"/>
    </row>
    <row r="10" spans="1:8">
      <c r="A10" s="1" t="s">
        <v>131</v>
      </c>
      <c r="B10" s="1" t="s">
        <v>451</v>
      </c>
      <c r="C10" s="3" t="s">
        <v>578</v>
      </c>
      <c r="D10" s="6"/>
      <c r="E10" s="6"/>
      <c r="F10" s="1"/>
      <c r="G10" s="8"/>
      <c r="H10" s="8"/>
    </row>
    <row r="11" spans="1:8">
      <c r="A11" s="1" t="s">
        <v>131</v>
      </c>
      <c r="B11" s="1" t="s">
        <v>476</v>
      </c>
      <c r="C11" s="3" t="s">
        <v>579</v>
      </c>
      <c r="D11" s="6"/>
      <c r="E11" s="6"/>
      <c r="F11" s="1"/>
      <c r="G11" s="8"/>
      <c r="H11" s="8"/>
    </row>
    <row r="12" spans="1:8">
      <c r="A12" s="1" t="s">
        <v>132</v>
      </c>
      <c r="B12" s="1" t="s">
        <v>147</v>
      </c>
      <c r="C12" s="3" t="s">
        <v>580</v>
      </c>
      <c r="D12" s="6"/>
      <c r="E12" s="6"/>
      <c r="F12" s="1"/>
      <c r="G12" s="8"/>
      <c r="H12" s="8"/>
    </row>
    <row r="13" spans="1:8">
      <c r="A13" s="1" t="s">
        <v>132</v>
      </c>
      <c r="B13" s="1" t="s">
        <v>196</v>
      </c>
      <c r="C13" s="3" t="s">
        <v>581</v>
      </c>
      <c r="D13" s="6"/>
      <c r="E13" s="6"/>
      <c r="F13" s="1"/>
      <c r="G13" s="8"/>
      <c r="H13" s="8"/>
    </row>
    <row r="14" spans="1:8">
      <c r="A14" s="1" t="s">
        <v>132</v>
      </c>
      <c r="B14" s="1" t="s">
        <v>212</v>
      </c>
      <c r="C14" s="3" t="s">
        <v>582</v>
      </c>
      <c r="D14" s="6"/>
      <c r="E14" s="6"/>
      <c r="F14" s="1"/>
      <c r="G14" s="8"/>
      <c r="H14" s="8"/>
    </row>
    <row r="15" spans="1:8">
      <c r="A15" s="1" t="s">
        <v>132</v>
      </c>
      <c r="B15" s="1" t="s">
        <v>147</v>
      </c>
      <c r="C15" s="3" t="s">
        <v>583</v>
      </c>
      <c r="D15" s="6"/>
      <c r="E15" s="6"/>
      <c r="F15" s="1"/>
      <c r="G15" s="8"/>
      <c r="H15" s="8"/>
    </row>
    <row r="16" spans="1:8">
      <c r="A16" s="1" t="s">
        <v>132</v>
      </c>
      <c r="B16" s="1" t="s">
        <v>196</v>
      </c>
      <c r="C16" s="3" t="s">
        <v>584</v>
      </c>
      <c r="D16" s="6"/>
      <c r="E16" s="6"/>
      <c r="F16" s="1"/>
      <c r="G16" s="8"/>
      <c r="H16" s="8"/>
    </row>
    <row r="17" spans="1:8">
      <c r="A17" s="1" t="s">
        <v>132</v>
      </c>
      <c r="B17" s="1" t="s">
        <v>212</v>
      </c>
      <c r="C17" s="3" t="s">
        <v>585</v>
      </c>
      <c r="D17" s="6"/>
      <c r="E17" s="6"/>
      <c r="F17" s="1"/>
      <c r="G17" s="8"/>
      <c r="H17" s="8"/>
    </row>
    <row r="18" spans="1:8">
      <c r="A18" s="1" t="s">
        <v>132</v>
      </c>
      <c r="B18" s="1" t="s">
        <v>147</v>
      </c>
      <c r="C18" s="3" t="s">
        <v>586</v>
      </c>
      <c r="D18" s="6"/>
      <c r="E18" s="6"/>
      <c r="F18" s="1"/>
      <c r="G18" s="8"/>
      <c r="H18" s="8"/>
    </row>
    <row r="19" spans="1:8">
      <c r="A19" s="1" t="s">
        <v>132</v>
      </c>
      <c r="B19" s="1" t="s">
        <v>196</v>
      </c>
      <c r="C19" s="3" t="s">
        <v>587</v>
      </c>
      <c r="D19" s="6"/>
      <c r="E19" s="6"/>
      <c r="F19" s="1"/>
      <c r="G19" s="8"/>
      <c r="H19" s="8"/>
    </row>
    <row r="20" spans="1:8">
      <c r="A20" s="1" t="s">
        <v>132</v>
      </c>
      <c r="B20" s="1" t="s">
        <v>212</v>
      </c>
      <c r="C20" s="3" t="s">
        <v>588</v>
      </c>
      <c r="D20" s="6"/>
      <c r="E20" s="6"/>
      <c r="F20" s="1"/>
      <c r="G20" s="8"/>
      <c r="H20" s="8"/>
    </row>
    <row r="21" spans="1:8">
      <c r="A21" s="1" t="s">
        <v>132</v>
      </c>
      <c r="B21" s="1" t="s">
        <v>147</v>
      </c>
      <c r="C21" s="3" t="s">
        <v>589</v>
      </c>
      <c r="D21" s="6"/>
      <c r="E21" s="6"/>
      <c r="F21" s="1"/>
      <c r="G21" s="8"/>
      <c r="H21" s="8"/>
    </row>
    <row r="22" spans="1:8">
      <c r="A22" s="1" t="s">
        <v>132</v>
      </c>
      <c r="B22" s="1" t="s">
        <v>196</v>
      </c>
      <c r="C22" s="3" t="s">
        <v>590</v>
      </c>
      <c r="D22" s="6"/>
      <c r="E22" s="6"/>
      <c r="F22" s="1"/>
      <c r="G22" s="8"/>
      <c r="H22" s="8"/>
    </row>
    <row r="23" spans="1:8">
      <c r="A23" s="1" t="s">
        <v>132</v>
      </c>
      <c r="B23" s="1" t="s">
        <v>212</v>
      </c>
      <c r="C23" s="3" t="s">
        <v>591</v>
      </c>
      <c r="D23" s="6"/>
      <c r="E23" s="6"/>
      <c r="F23" s="1"/>
      <c r="G23" s="8"/>
      <c r="H23" s="8"/>
    </row>
    <row r="24" spans="1:8">
      <c r="A24" s="1" t="s">
        <v>132</v>
      </c>
      <c r="B24" s="1" t="s">
        <v>147</v>
      </c>
      <c r="C24" s="3" t="s">
        <v>592</v>
      </c>
      <c r="D24" s="6"/>
      <c r="E24" s="6"/>
      <c r="F24" s="1"/>
      <c r="G24" s="8"/>
      <c r="H24" s="8"/>
    </row>
    <row r="25" spans="1:8">
      <c r="A25" s="1" t="s">
        <v>132</v>
      </c>
      <c r="B25" s="1" t="s">
        <v>196</v>
      </c>
      <c r="C25" s="3" t="s">
        <v>593</v>
      </c>
      <c r="D25" s="6"/>
      <c r="E25" s="6"/>
      <c r="F25" s="1"/>
      <c r="G25" s="8"/>
      <c r="H25" s="8"/>
    </row>
    <row r="26" spans="1:8">
      <c r="A26" s="1" t="s">
        <v>132</v>
      </c>
      <c r="B26" s="1" t="s">
        <v>212</v>
      </c>
      <c r="C26" s="3" t="s">
        <v>594</v>
      </c>
      <c r="D26" s="6"/>
      <c r="E26" s="6"/>
      <c r="F26" s="1"/>
      <c r="G26" s="8"/>
      <c r="H26" s="8"/>
    </row>
    <row r="27" spans="1:8">
      <c r="A27" s="1" t="s">
        <v>132</v>
      </c>
      <c r="B27" s="1" t="s">
        <v>147</v>
      </c>
      <c r="C27" s="3" t="s">
        <v>595</v>
      </c>
      <c r="D27" s="6"/>
      <c r="E27" s="6"/>
      <c r="F27" s="1"/>
      <c r="G27" s="8"/>
      <c r="H27" s="8"/>
    </row>
    <row r="28" spans="1:8">
      <c r="A28" s="1" t="s">
        <v>132</v>
      </c>
      <c r="B28" s="1" t="s">
        <v>196</v>
      </c>
      <c r="C28" s="3" t="s">
        <v>596</v>
      </c>
      <c r="D28" s="6"/>
      <c r="E28" s="6"/>
      <c r="F28" s="1"/>
      <c r="G28" s="8"/>
      <c r="H28" s="8"/>
    </row>
    <row r="29" spans="1:8">
      <c r="A29" s="1" t="s">
        <v>132</v>
      </c>
      <c r="B29" s="1" t="s">
        <v>212</v>
      </c>
      <c r="C29" s="3" t="s">
        <v>597</v>
      </c>
      <c r="D29" s="6"/>
      <c r="E29" s="6"/>
      <c r="F29" s="1"/>
      <c r="G29" s="8"/>
      <c r="H29" s="8"/>
    </row>
    <row r="30" spans="1:8">
      <c r="A30" s="1" t="s">
        <v>132</v>
      </c>
      <c r="B30" s="1" t="s">
        <v>147</v>
      </c>
      <c r="C30" s="3" t="s">
        <v>598</v>
      </c>
      <c r="D30" s="6"/>
      <c r="E30" s="6"/>
      <c r="F30" s="1"/>
      <c r="G30" s="8"/>
      <c r="H30" s="8"/>
    </row>
    <row r="31" spans="1:8">
      <c r="A31" s="1" t="s">
        <v>132</v>
      </c>
      <c r="B31" s="1" t="s">
        <v>196</v>
      </c>
      <c r="C31" s="3" t="s">
        <v>599</v>
      </c>
      <c r="D31" s="6"/>
      <c r="E31" s="6"/>
      <c r="F31" s="1"/>
      <c r="G31" s="8"/>
      <c r="H31" s="8"/>
    </row>
    <row r="32" spans="1:8">
      <c r="A32" s="1" t="s">
        <v>132</v>
      </c>
      <c r="B32" s="1" t="s">
        <v>212</v>
      </c>
      <c r="C32" s="3" t="s">
        <v>600</v>
      </c>
      <c r="D32" s="6"/>
      <c r="E32" s="6"/>
      <c r="F32" s="1"/>
      <c r="G32" s="8"/>
      <c r="H32" s="8"/>
    </row>
    <row r="33" spans="1:8">
      <c r="A33" s="1" t="s">
        <v>132</v>
      </c>
      <c r="B33" s="1" t="s">
        <v>147</v>
      </c>
      <c r="C33" s="3" t="s">
        <v>601</v>
      </c>
      <c r="D33" s="6"/>
      <c r="E33" s="6"/>
      <c r="F33" s="1"/>
      <c r="G33" s="8"/>
      <c r="H33" s="8"/>
    </row>
    <row r="34" spans="1:8">
      <c r="A34" s="1" t="s">
        <v>132</v>
      </c>
      <c r="B34" s="1" t="s">
        <v>196</v>
      </c>
      <c r="C34" s="3" t="s">
        <v>602</v>
      </c>
      <c r="D34" s="6"/>
      <c r="E34" s="6"/>
      <c r="F34" s="1"/>
      <c r="G34" s="8"/>
      <c r="H34" s="8"/>
    </row>
    <row r="35" spans="1:8">
      <c r="A35" s="1" t="s">
        <v>132</v>
      </c>
      <c r="B35" s="1" t="s">
        <v>212</v>
      </c>
      <c r="C35" s="3" t="s">
        <v>603</v>
      </c>
      <c r="D35" s="6"/>
      <c r="E35" s="6"/>
      <c r="F35" s="1"/>
      <c r="G35" s="8"/>
      <c r="H35" s="8"/>
    </row>
    <row r="36" spans="1:8">
      <c r="A36" s="1" t="s">
        <v>132</v>
      </c>
      <c r="B36" s="1" t="s">
        <v>147</v>
      </c>
      <c r="C36" s="3" t="s">
        <v>604</v>
      </c>
      <c r="D36" s="6"/>
      <c r="E36" s="6"/>
      <c r="F36" s="1"/>
      <c r="G36" s="8"/>
      <c r="H36" s="8"/>
    </row>
    <row r="37" spans="1:8">
      <c r="A37" s="1" t="s">
        <v>132</v>
      </c>
      <c r="B37" s="1" t="s">
        <v>196</v>
      </c>
      <c r="C37" s="3" t="s">
        <v>605</v>
      </c>
      <c r="D37" s="6"/>
      <c r="E37" s="6"/>
      <c r="F37" s="1"/>
      <c r="G37" s="8"/>
      <c r="H37" s="8"/>
    </row>
    <row r="38" spans="1:8">
      <c r="A38" s="1" t="s">
        <v>132</v>
      </c>
      <c r="B38" s="1" t="s">
        <v>212</v>
      </c>
      <c r="C38" s="3" t="s">
        <v>606</v>
      </c>
      <c r="D38" s="6"/>
      <c r="E38" s="6"/>
      <c r="F38" s="1"/>
      <c r="G38" s="8"/>
      <c r="H38" s="8"/>
    </row>
    <row r="39" spans="1:8">
      <c r="A39" s="1" t="s">
        <v>132</v>
      </c>
      <c r="B39" s="1" t="s">
        <v>147</v>
      </c>
      <c r="C39" s="3" t="s">
        <v>607</v>
      </c>
      <c r="D39" s="6"/>
      <c r="E39" s="6"/>
      <c r="F39" s="1"/>
      <c r="G39" s="8"/>
      <c r="H39" s="8"/>
    </row>
    <row r="40" spans="1:8">
      <c r="A40" s="1" t="s">
        <v>132</v>
      </c>
      <c r="B40" s="1" t="s">
        <v>196</v>
      </c>
      <c r="C40" s="3" t="s">
        <v>608</v>
      </c>
      <c r="D40" s="6"/>
      <c r="E40" s="6"/>
      <c r="F40" s="1"/>
      <c r="G40" s="8"/>
      <c r="H40" s="8"/>
    </row>
    <row r="41" spans="1:8">
      <c r="A41" s="1" t="s">
        <v>133</v>
      </c>
      <c r="B41" s="1" t="s">
        <v>148</v>
      </c>
      <c r="C41" s="3" t="s">
        <v>609</v>
      </c>
      <c r="D41" s="6">
        <v>8</v>
      </c>
      <c r="E41" s="6">
        <v>32</v>
      </c>
      <c r="F41" s="1" t="s">
        <v>149</v>
      </c>
      <c r="G41" s="8" t="s">
        <v>610</v>
      </c>
      <c r="H41" s="8">
        <v>0</v>
      </c>
    </row>
    <row r="42" spans="1:8">
      <c r="A42" s="1" t="s">
        <v>133</v>
      </c>
      <c r="B42" s="1" t="s">
        <v>152</v>
      </c>
      <c r="C42" s="3" t="s">
        <v>609</v>
      </c>
      <c r="D42" s="6">
        <v>16</v>
      </c>
      <c r="E42" s="6">
        <v>64</v>
      </c>
      <c r="F42" s="1" t="s">
        <v>149</v>
      </c>
      <c r="G42" s="8" t="s">
        <v>610</v>
      </c>
      <c r="H42" s="8">
        <v>0</v>
      </c>
    </row>
    <row r="43" spans="1:8">
      <c r="A43" s="1" t="s">
        <v>133</v>
      </c>
      <c r="B43" s="1" t="s">
        <v>155</v>
      </c>
      <c r="C43" s="3" t="s">
        <v>609</v>
      </c>
      <c r="D43" s="6">
        <v>32</v>
      </c>
      <c r="E43" s="6">
        <v>128</v>
      </c>
      <c r="F43" s="1" t="s">
        <v>149</v>
      </c>
      <c r="G43" s="8" t="s">
        <v>610</v>
      </c>
      <c r="H43" s="8">
        <v>0</v>
      </c>
    </row>
    <row r="44" spans="1:8">
      <c r="A44" s="1" t="s">
        <v>133</v>
      </c>
      <c r="B44" s="1" t="s">
        <v>157</v>
      </c>
      <c r="C44" s="3" t="s">
        <v>609</v>
      </c>
      <c r="D44" s="6">
        <v>64</v>
      </c>
      <c r="E44" s="6">
        <v>256</v>
      </c>
      <c r="F44" s="1" t="s">
        <v>149</v>
      </c>
      <c r="G44" s="8" t="s">
        <v>610</v>
      </c>
      <c r="H44" s="8">
        <v>0</v>
      </c>
    </row>
    <row r="45" spans="1:8">
      <c r="A45" s="1" t="s">
        <v>133</v>
      </c>
      <c r="B45" s="1" t="s">
        <v>159</v>
      </c>
      <c r="C45" s="3" t="s">
        <v>611</v>
      </c>
      <c r="D45" s="6">
        <v>16</v>
      </c>
      <c r="E45" s="6">
        <v>128</v>
      </c>
      <c r="F45" s="1" t="s">
        <v>160</v>
      </c>
      <c r="G45" s="8" t="s">
        <v>610</v>
      </c>
      <c r="H45" s="8">
        <v>0</v>
      </c>
    </row>
    <row r="46" spans="1:8">
      <c r="A46" s="1" t="s">
        <v>133</v>
      </c>
      <c r="B46" s="1" t="s">
        <v>162</v>
      </c>
      <c r="C46" s="3" t="s">
        <v>611</v>
      </c>
      <c r="D46" s="6">
        <v>32</v>
      </c>
      <c r="E46" s="6">
        <v>256</v>
      </c>
      <c r="F46" s="1" t="s">
        <v>163</v>
      </c>
      <c r="G46" s="8" t="s">
        <v>610</v>
      </c>
      <c r="H46" s="8">
        <v>0</v>
      </c>
    </row>
    <row r="47" spans="1:8">
      <c r="A47" s="1" t="s">
        <v>133</v>
      </c>
      <c r="B47" s="1" t="s">
        <v>165</v>
      </c>
      <c r="C47" s="3" t="s">
        <v>611</v>
      </c>
      <c r="D47" s="6">
        <v>64</v>
      </c>
      <c r="E47" s="6">
        <v>512</v>
      </c>
      <c r="F47" s="1" t="s">
        <v>163</v>
      </c>
      <c r="G47" s="8" t="s">
        <v>610</v>
      </c>
      <c r="H47" s="8">
        <v>0</v>
      </c>
    </row>
    <row r="48" spans="1:8">
      <c r="A48" s="1" t="s">
        <v>133</v>
      </c>
      <c r="B48" s="1" t="s">
        <v>168</v>
      </c>
      <c r="C48" s="3" t="s">
        <v>612</v>
      </c>
      <c r="D48" s="6">
        <v>32</v>
      </c>
      <c r="E48" s="6">
        <v>64</v>
      </c>
      <c r="F48" s="1" t="s">
        <v>169</v>
      </c>
      <c r="G48" s="8" t="s">
        <v>610</v>
      </c>
      <c r="H48" s="8">
        <v>0</v>
      </c>
    </row>
    <row r="49" spans="1:8">
      <c r="A49" s="1" t="s">
        <v>133</v>
      </c>
      <c r="B49" s="1" t="s">
        <v>171</v>
      </c>
      <c r="C49" s="3" t="s">
        <v>613</v>
      </c>
      <c r="D49" s="6">
        <v>16</v>
      </c>
      <c r="E49" s="6">
        <v>128</v>
      </c>
      <c r="F49" s="1" t="s">
        <v>172</v>
      </c>
      <c r="G49" s="8" t="s">
        <v>610</v>
      </c>
      <c r="H49" s="8">
        <v>0</v>
      </c>
    </row>
    <row r="50" spans="1:8">
      <c r="A50" s="1" t="s">
        <v>133</v>
      </c>
      <c r="B50" s="1" t="s">
        <v>174</v>
      </c>
      <c r="C50" s="3" t="s">
        <v>611</v>
      </c>
      <c r="D50" s="6">
        <v>128</v>
      </c>
      <c r="E50" s="6">
        <v>3892</v>
      </c>
      <c r="F50" s="1" t="s">
        <v>175</v>
      </c>
      <c r="G50" s="8" t="s">
        <v>610</v>
      </c>
      <c r="H50" s="8">
        <v>0</v>
      </c>
    </row>
    <row r="51" spans="1:8">
      <c r="A51" s="1" t="s">
        <v>133</v>
      </c>
      <c r="B51" s="1" t="s">
        <v>177</v>
      </c>
      <c r="C51" s="3" t="s">
        <v>609</v>
      </c>
      <c r="D51" s="6">
        <v>16</v>
      </c>
      <c r="E51" s="6">
        <v>64</v>
      </c>
      <c r="F51" s="1" t="s">
        <v>178</v>
      </c>
      <c r="G51" s="8" t="s">
        <v>610</v>
      </c>
      <c r="H51" s="8">
        <v>0</v>
      </c>
    </row>
    <row r="52" spans="1:8">
      <c r="A52" s="1" t="s">
        <v>133</v>
      </c>
      <c r="B52" s="1" t="s">
        <v>180</v>
      </c>
      <c r="C52" s="3" t="s">
        <v>611</v>
      </c>
      <c r="D52" s="6">
        <v>32</v>
      </c>
      <c r="E52" s="6">
        <v>256</v>
      </c>
      <c r="F52" s="1" t="s">
        <v>181</v>
      </c>
      <c r="G52" s="8" t="s">
        <v>610</v>
      </c>
      <c r="H52" s="8">
        <v>0</v>
      </c>
    </row>
    <row r="53" spans="1:8">
      <c r="A53" s="1" t="s">
        <v>133</v>
      </c>
      <c r="B53" s="1" t="s">
        <v>183</v>
      </c>
      <c r="C53" s="3" t="s">
        <v>614</v>
      </c>
      <c r="D53" s="6">
        <v>176</v>
      </c>
      <c r="E53" s="6">
        <v>768</v>
      </c>
      <c r="F53" s="1" t="s">
        <v>184</v>
      </c>
      <c r="G53" s="8" t="s">
        <v>610</v>
      </c>
      <c r="H53" s="8">
        <v>0</v>
      </c>
    </row>
    <row r="54" spans="1:8">
      <c r="A54" s="1" t="s">
        <v>133</v>
      </c>
      <c r="B54" s="1" t="s">
        <v>186</v>
      </c>
      <c r="C54" s="3" t="s">
        <v>615</v>
      </c>
      <c r="D54" s="6">
        <v>24</v>
      </c>
      <c r="E54" s="6">
        <v>220</v>
      </c>
      <c r="F54" s="1" t="s">
        <v>187</v>
      </c>
      <c r="G54" s="8" t="s">
        <v>616</v>
      </c>
      <c r="H54" s="8">
        <v>1</v>
      </c>
    </row>
    <row r="55" spans="1:8">
      <c r="A55" s="1" t="s">
        <v>133</v>
      </c>
      <c r="B55" s="1" t="s">
        <v>189</v>
      </c>
      <c r="C55" s="3" t="s">
        <v>615</v>
      </c>
      <c r="D55" s="6">
        <v>96</v>
      </c>
      <c r="E55" s="6">
        <v>1900</v>
      </c>
      <c r="F55" s="1" t="s">
        <v>190</v>
      </c>
      <c r="G55" s="8" t="s">
        <v>616</v>
      </c>
      <c r="H55" s="8">
        <v>8</v>
      </c>
    </row>
    <row r="56" spans="1:8">
      <c r="A56" s="1" t="s">
        <v>133</v>
      </c>
      <c r="B56" s="1" t="s">
        <v>193</v>
      </c>
      <c r="C56" s="3" t="s">
        <v>615</v>
      </c>
      <c r="D56" s="6">
        <v>40</v>
      </c>
      <c r="E56" s="6">
        <v>320</v>
      </c>
      <c r="F56" s="1" t="s">
        <v>194</v>
      </c>
      <c r="G56" s="8" t="s">
        <v>616</v>
      </c>
      <c r="H56" s="8">
        <v>1</v>
      </c>
    </row>
    <row r="57" spans="1:8">
      <c r="A57" s="1" t="s">
        <v>141</v>
      </c>
      <c r="B57" s="1" t="s">
        <v>617</v>
      </c>
      <c r="C57" s="3" t="s">
        <v>618</v>
      </c>
      <c r="D57" s="6"/>
      <c r="E57" s="6"/>
      <c r="F57" s="1"/>
      <c r="G57" s="8"/>
      <c r="H57" s="8"/>
    </row>
    <row r="58" spans="1:8">
      <c r="A58" s="1" t="s">
        <v>141</v>
      </c>
      <c r="B58" s="1" t="s">
        <v>619</v>
      </c>
      <c r="C58" s="3" t="s">
        <v>620</v>
      </c>
      <c r="D58" s="6"/>
      <c r="E58" s="6"/>
      <c r="F58" s="1"/>
      <c r="G58" s="8"/>
      <c r="H58" s="8"/>
    </row>
    <row r="59" spans="1:8">
      <c r="A59" s="1" t="s">
        <v>141</v>
      </c>
      <c r="B59" s="1" t="s">
        <v>621</v>
      </c>
      <c r="C59" s="3" t="s">
        <v>622</v>
      </c>
      <c r="D59" s="6"/>
      <c r="E59" s="6"/>
      <c r="F59" s="1"/>
      <c r="G59" s="8"/>
      <c r="H59" s="8"/>
    </row>
    <row r="60" spans="1:8">
      <c r="A60" s="1" t="s">
        <v>141</v>
      </c>
      <c r="B60" s="1" t="s">
        <v>623</v>
      </c>
      <c r="C60" s="3" t="s">
        <v>624</v>
      </c>
      <c r="D60" s="6"/>
      <c r="E60" s="6"/>
      <c r="F60" s="1"/>
      <c r="G60" s="8"/>
      <c r="H60" s="8"/>
    </row>
    <row r="61" spans="1:8">
      <c r="A61" s="1" t="s">
        <v>142</v>
      </c>
      <c r="B61" s="1" t="s">
        <v>153</v>
      </c>
      <c r="C61" s="3" t="s">
        <v>625</v>
      </c>
      <c r="D61" s="6"/>
      <c r="E61" s="6"/>
      <c r="F61" s="1"/>
      <c r="G61" s="8"/>
      <c r="H61" s="8"/>
    </row>
    <row r="62" spans="1:8">
      <c r="A62" s="1" t="s">
        <v>142</v>
      </c>
      <c r="B62" s="1" t="s">
        <v>191</v>
      </c>
      <c r="C62" s="3" t="s">
        <v>626</v>
      </c>
      <c r="D62" s="6"/>
      <c r="E62" s="6"/>
      <c r="F62" s="1"/>
      <c r="G62" s="8"/>
      <c r="H62" s="8"/>
    </row>
    <row r="63" spans="1:8">
      <c r="A63" s="1" t="s">
        <v>142</v>
      </c>
      <c r="B63" s="1" t="s">
        <v>150</v>
      </c>
      <c r="C63" s="3" t="s">
        <v>627</v>
      </c>
      <c r="D63" s="6"/>
      <c r="E63" s="6"/>
      <c r="F63" s="1"/>
      <c r="G63" s="8"/>
      <c r="H63" s="8"/>
    </row>
    <row r="64" spans="1:8">
      <c r="A64" s="1" t="s">
        <v>142</v>
      </c>
      <c r="B64" s="1" t="s">
        <v>166</v>
      </c>
      <c r="C64" s="3" t="s">
        <v>628</v>
      </c>
      <c r="D64" s="6"/>
      <c r="E64" s="6"/>
      <c r="F64" s="1"/>
      <c r="G64" s="8"/>
      <c r="H64" s="8"/>
    </row>
    <row r="65" spans="1:8">
      <c r="A65" s="1" t="s">
        <v>143</v>
      </c>
      <c r="B65" s="1" t="s">
        <v>616</v>
      </c>
      <c r="C65" s="3" t="s">
        <v>629</v>
      </c>
      <c r="D65" s="6"/>
      <c r="E65" s="6"/>
      <c r="F65" s="1"/>
      <c r="G65" s="8"/>
      <c r="H65" s="8"/>
    </row>
    <row r="66" spans="1:8">
      <c r="A66" s="1" t="s">
        <v>143</v>
      </c>
      <c r="B66" s="1" t="s">
        <v>610</v>
      </c>
      <c r="C66" s="3" t="s">
        <v>630</v>
      </c>
      <c r="D66" s="6"/>
      <c r="E66" s="6"/>
      <c r="F66" s="1"/>
      <c r="G66" s="8"/>
      <c r="H66" s="8"/>
    </row>
    <row r="67" spans="1:8">
      <c r="A67" s="1" t="s">
        <v>631</v>
      </c>
      <c r="B67" s="1" t="s">
        <v>507</v>
      </c>
      <c r="C67" s="3" t="s">
        <v>632</v>
      </c>
      <c r="D67" s="6"/>
      <c r="E67" s="6"/>
      <c r="F67" s="1"/>
      <c r="G67" s="8"/>
      <c r="H67" s="8"/>
    </row>
    <row r="68" spans="1:8">
      <c r="A68" s="1" t="s">
        <v>631</v>
      </c>
      <c r="B68" s="1" t="s">
        <v>503</v>
      </c>
      <c r="C68" s="3" t="s">
        <v>633</v>
      </c>
      <c r="D68" s="6"/>
      <c r="E68" s="6"/>
      <c r="F68" s="1"/>
      <c r="G68" s="8"/>
      <c r="H68" s="8"/>
    </row>
    <row r="69" spans="1:8">
      <c r="A69" s="1" t="s">
        <v>631</v>
      </c>
      <c r="B69" s="1" t="s">
        <v>511</v>
      </c>
      <c r="C69" s="3" t="s">
        <v>634</v>
      </c>
      <c r="D69" s="6"/>
      <c r="E69" s="6"/>
      <c r="F69" s="1"/>
      <c r="G69" s="8"/>
      <c r="H69" s="8"/>
    </row>
    <row r="70" spans="1:8">
      <c r="A70" s="1" t="s">
        <v>549</v>
      </c>
      <c r="B70" s="1" t="s">
        <v>511</v>
      </c>
      <c r="C70" s="3" t="s">
        <v>635</v>
      </c>
      <c r="D70" s="6"/>
      <c r="E70" s="6"/>
      <c r="F70" s="1"/>
      <c r="G70" s="8"/>
      <c r="H70" s="8"/>
    </row>
    <row r="71" spans="1:8">
      <c r="A71" s="1" t="s">
        <v>549</v>
      </c>
      <c r="B71" s="1" t="s">
        <v>503</v>
      </c>
      <c r="C71" s="3" t="s">
        <v>636</v>
      </c>
      <c r="D71" s="6"/>
      <c r="E71" s="6"/>
      <c r="F71" s="1"/>
      <c r="G71" s="8"/>
      <c r="H71" s="8"/>
    </row>
    <row r="72" spans="1:8">
      <c r="A72" s="1" t="s">
        <v>549</v>
      </c>
      <c r="B72" s="1" t="s">
        <v>507</v>
      </c>
      <c r="C72" s="3" t="s">
        <v>637</v>
      </c>
      <c r="D72" s="6"/>
      <c r="E72" s="6"/>
      <c r="F72" s="1"/>
      <c r="G72" s="8"/>
      <c r="H72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Nikos Lelidis</cp:lastModifiedBy>
  <cp:revision/>
  <dcterms:created xsi:type="dcterms:W3CDTF">2026-09-15T07:36:57Z</dcterms:created>
  <dcterms:modified xsi:type="dcterms:W3CDTF">2026-09-15T08:38:33Z</dcterms:modified>
  <cp:category/>
  <cp:contentStatus/>
</cp:coreProperties>
</file>