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microsofteur-my.sharepoint.com/personal/ttsironis_microsoft_com/Documents/Documents/hackathlon-2026/capacity-forecasting-agent/datasources/"/>
    </mc:Choice>
  </mc:AlternateContent>
  <xr:revisionPtr revIDLastSave="1013" documentId="11_55D8BC6DA0E1B946A98B1956E0F0E19D76C4F0C9" xr6:coauthVersionLast="47" xr6:coauthVersionMax="47" xr10:uidLastSave="{065E793F-261C-4340-9121-42ED33834FBC}"/>
  <bookViews>
    <workbookView xWindow="-38510" yWindow="-9640" windowWidth="38620" windowHeight="21100" activeTab="2" xr2:uid="{00000000-000D-0000-FFFF-FFFF00000000}"/>
  </bookViews>
  <sheets>
    <sheet name="Readme" sheetId="1" r:id="rId1"/>
    <sheet name="Customers" sheetId="2" r:id="rId2"/>
    <sheet name="Opportunities" sheetId="3" r:id="rId3"/>
    <sheet name="Opportunity_SKU_Demand" sheetId="4" r:id="rId4"/>
    <sheet name="Demand_Summary_by_Region_SKU" sheetId="5" r:id="rId5"/>
    <sheet name="Reference_Data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0" i="5" l="1"/>
  <c r="F150" i="5"/>
  <c r="E150" i="5"/>
  <c r="G149" i="5"/>
  <c r="F149" i="5"/>
  <c r="E149" i="5"/>
  <c r="G148" i="5"/>
  <c r="F148" i="5"/>
  <c r="E148" i="5"/>
  <c r="G147" i="5"/>
  <c r="F147" i="5"/>
  <c r="E147" i="5"/>
  <c r="G146" i="5"/>
  <c r="F146" i="5"/>
  <c r="E146" i="5"/>
  <c r="G145" i="5"/>
  <c r="F145" i="5"/>
  <c r="E145" i="5"/>
  <c r="G144" i="5"/>
  <c r="F144" i="5"/>
  <c r="E144" i="5"/>
  <c r="G143" i="5"/>
  <c r="F143" i="5"/>
  <c r="E143" i="5"/>
  <c r="G142" i="5"/>
  <c r="F142" i="5"/>
  <c r="E142" i="5"/>
  <c r="G141" i="5"/>
  <c r="F141" i="5"/>
  <c r="E141" i="5"/>
  <c r="G140" i="5"/>
  <c r="F140" i="5"/>
  <c r="E140" i="5"/>
  <c r="G139" i="5"/>
  <c r="F139" i="5"/>
  <c r="E139" i="5"/>
  <c r="G138" i="5"/>
  <c r="F138" i="5"/>
  <c r="E138" i="5"/>
  <c r="G137" i="5"/>
  <c r="F137" i="5"/>
  <c r="E137" i="5"/>
  <c r="G136" i="5"/>
  <c r="F136" i="5"/>
  <c r="E136" i="5"/>
  <c r="G135" i="5"/>
  <c r="F135" i="5"/>
  <c r="E135" i="5"/>
  <c r="G134" i="5"/>
  <c r="F134" i="5"/>
  <c r="E134" i="5"/>
  <c r="G133" i="5"/>
  <c r="F133" i="5"/>
  <c r="E133" i="5"/>
  <c r="G132" i="5"/>
  <c r="F132" i="5"/>
  <c r="E132" i="5"/>
  <c r="G131" i="5"/>
  <c r="F131" i="5"/>
  <c r="E131" i="5"/>
  <c r="G130" i="5"/>
  <c r="F130" i="5"/>
  <c r="E130" i="5"/>
  <c r="G129" i="5"/>
  <c r="F129" i="5"/>
  <c r="E129" i="5"/>
  <c r="G128" i="5"/>
  <c r="F128" i="5"/>
  <c r="E128" i="5"/>
  <c r="G127" i="5"/>
  <c r="F127" i="5"/>
  <c r="E127" i="5"/>
  <c r="G126" i="5"/>
  <c r="F126" i="5"/>
  <c r="E126" i="5"/>
  <c r="G125" i="5"/>
  <c r="F125" i="5"/>
  <c r="E125" i="5"/>
  <c r="G124" i="5"/>
  <c r="F124" i="5"/>
  <c r="E124" i="5"/>
  <c r="G123" i="5"/>
  <c r="F123" i="5"/>
  <c r="E123" i="5"/>
  <c r="G122" i="5"/>
  <c r="F122" i="5"/>
  <c r="E122" i="5"/>
  <c r="G121" i="5"/>
  <c r="F121" i="5"/>
  <c r="E121" i="5"/>
  <c r="G120" i="5"/>
  <c r="F120" i="5"/>
  <c r="E120" i="5"/>
  <c r="G119" i="5"/>
  <c r="F119" i="5"/>
  <c r="E119" i="5"/>
  <c r="G118" i="5"/>
  <c r="F118" i="5"/>
  <c r="E118" i="5"/>
  <c r="G117" i="5"/>
  <c r="F117" i="5"/>
  <c r="E117" i="5"/>
  <c r="G116" i="5"/>
  <c r="F116" i="5"/>
  <c r="E116" i="5"/>
  <c r="G115" i="5"/>
  <c r="F115" i="5"/>
  <c r="E115" i="5"/>
  <c r="G114" i="5"/>
  <c r="F114" i="5"/>
  <c r="E114" i="5"/>
  <c r="G113" i="5"/>
  <c r="F113" i="5"/>
  <c r="E113" i="5"/>
  <c r="G112" i="5"/>
  <c r="F112" i="5"/>
  <c r="E112" i="5"/>
  <c r="G111" i="5"/>
  <c r="F111" i="5"/>
  <c r="E111" i="5"/>
  <c r="G110" i="5"/>
  <c r="F110" i="5"/>
  <c r="E110" i="5"/>
  <c r="G109" i="5"/>
  <c r="F109" i="5"/>
  <c r="E109" i="5"/>
  <c r="G108" i="5"/>
  <c r="F108" i="5"/>
  <c r="E108" i="5"/>
  <c r="G107" i="5"/>
  <c r="F107" i="5"/>
  <c r="E107" i="5"/>
  <c r="G106" i="5"/>
  <c r="F106" i="5"/>
  <c r="E106" i="5"/>
  <c r="G105" i="5"/>
  <c r="F105" i="5"/>
  <c r="E105" i="5"/>
  <c r="G104" i="5"/>
  <c r="F104" i="5"/>
  <c r="E104" i="5"/>
  <c r="G103" i="5"/>
  <c r="F103" i="5"/>
  <c r="E103" i="5"/>
  <c r="G102" i="5"/>
  <c r="F102" i="5"/>
  <c r="E102" i="5"/>
  <c r="G101" i="5"/>
  <c r="F101" i="5"/>
  <c r="E101" i="5"/>
  <c r="G100" i="5"/>
  <c r="F100" i="5"/>
  <c r="E100" i="5"/>
  <c r="G99" i="5"/>
  <c r="F99" i="5"/>
  <c r="E99" i="5"/>
  <c r="G98" i="5"/>
  <c r="F98" i="5"/>
  <c r="E98" i="5"/>
  <c r="G97" i="5"/>
  <c r="F97" i="5"/>
  <c r="E97" i="5"/>
  <c r="G96" i="5"/>
  <c r="F96" i="5"/>
  <c r="E96" i="5"/>
  <c r="G95" i="5"/>
  <c r="F95" i="5"/>
  <c r="E95" i="5"/>
  <c r="G94" i="5"/>
  <c r="F94" i="5"/>
  <c r="E94" i="5"/>
  <c r="G93" i="5"/>
  <c r="F93" i="5"/>
  <c r="E93" i="5"/>
  <c r="G92" i="5"/>
  <c r="F92" i="5"/>
  <c r="E92" i="5"/>
  <c r="G91" i="5"/>
  <c r="F91" i="5"/>
  <c r="E91" i="5"/>
  <c r="G90" i="5"/>
  <c r="F90" i="5"/>
  <c r="E90" i="5"/>
  <c r="G89" i="5"/>
  <c r="F89" i="5"/>
  <c r="E89" i="5"/>
  <c r="G88" i="5"/>
  <c r="F88" i="5"/>
  <c r="E88" i="5"/>
  <c r="G87" i="5"/>
  <c r="F87" i="5"/>
  <c r="E87" i="5"/>
  <c r="G86" i="5"/>
  <c r="F86" i="5"/>
  <c r="E86" i="5"/>
  <c r="G85" i="5"/>
  <c r="F85" i="5"/>
  <c r="E85" i="5"/>
  <c r="G84" i="5"/>
  <c r="F84" i="5"/>
  <c r="E84" i="5"/>
  <c r="G83" i="5"/>
  <c r="F83" i="5"/>
  <c r="E83" i="5"/>
  <c r="G82" i="5"/>
  <c r="F82" i="5"/>
  <c r="E82" i="5"/>
  <c r="G81" i="5"/>
  <c r="F81" i="5"/>
  <c r="E81" i="5"/>
  <c r="G80" i="5"/>
  <c r="F80" i="5"/>
  <c r="E80" i="5"/>
  <c r="G79" i="5"/>
  <c r="F79" i="5"/>
  <c r="E79" i="5"/>
  <c r="G78" i="5"/>
  <c r="F78" i="5"/>
  <c r="E78" i="5"/>
  <c r="G77" i="5"/>
  <c r="F77" i="5"/>
  <c r="E77" i="5"/>
  <c r="G76" i="5"/>
  <c r="F76" i="5"/>
  <c r="E76" i="5"/>
  <c r="G75" i="5"/>
  <c r="F75" i="5"/>
  <c r="E75" i="5"/>
  <c r="G74" i="5"/>
  <c r="F74" i="5"/>
  <c r="E74" i="5"/>
  <c r="G73" i="5"/>
  <c r="F73" i="5"/>
  <c r="E73" i="5"/>
  <c r="G72" i="5"/>
  <c r="F72" i="5"/>
  <c r="E72" i="5"/>
  <c r="G71" i="5"/>
  <c r="F71" i="5"/>
  <c r="E71" i="5"/>
  <c r="G70" i="5"/>
  <c r="F70" i="5"/>
  <c r="E70" i="5"/>
  <c r="G69" i="5"/>
  <c r="F69" i="5"/>
  <c r="E69" i="5"/>
  <c r="G68" i="5"/>
  <c r="F68" i="5"/>
  <c r="E68" i="5"/>
  <c r="G67" i="5"/>
  <c r="F67" i="5"/>
  <c r="E67" i="5"/>
  <c r="G66" i="5"/>
  <c r="F66" i="5"/>
  <c r="E66" i="5"/>
  <c r="G65" i="5"/>
  <c r="F65" i="5"/>
  <c r="E65" i="5"/>
  <c r="G64" i="5"/>
  <c r="F64" i="5"/>
  <c r="E64" i="5"/>
  <c r="G63" i="5"/>
  <c r="F63" i="5"/>
  <c r="E63" i="5"/>
  <c r="G62" i="5"/>
  <c r="F62" i="5"/>
  <c r="E62" i="5"/>
  <c r="G61" i="5"/>
  <c r="F61" i="5"/>
  <c r="E61" i="5"/>
  <c r="G60" i="5"/>
  <c r="F60" i="5"/>
  <c r="E60" i="5"/>
  <c r="G59" i="5"/>
  <c r="F59" i="5"/>
  <c r="E59" i="5"/>
  <c r="G58" i="5"/>
  <c r="F58" i="5"/>
  <c r="E58" i="5"/>
  <c r="G57" i="5"/>
  <c r="F57" i="5"/>
  <c r="E57" i="5"/>
  <c r="G56" i="5"/>
  <c r="F56" i="5"/>
  <c r="E56" i="5"/>
  <c r="G55" i="5"/>
  <c r="F55" i="5"/>
  <c r="E55" i="5"/>
  <c r="G54" i="5"/>
  <c r="F54" i="5"/>
  <c r="E54" i="5"/>
  <c r="G53" i="5"/>
  <c r="F53" i="5"/>
  <c r="E53" i="5"/>
  <c r="G52" i="5"/>
  <c r="F52" i="5"/>
  <c r="E52" i="5"/>
  <c r="G51" i="5"/>
  <c r="F51" i="5"/>
  <c r="E51" i="5"/>
  <c r="G50" i="5"/>
  <c r="F50" i="5"/>
  <c r="E50" i="5"/>
  <c r="G49" i="5"/>
  <c r="F49" i="5"/>
  <c r="E49" i="5"/>
  <c r="G48" i="5"/>
  <c r="F48" i="5"/>
  <c r="E48" i="5"/>
  <c r="G47" i="5"/>
  <c r="F47" i="5"/>
  <c r="E47" i="5"/>
  <c r="G46" i="5"/>
  <c r="F46" i="5"/>
  <c r="E46" i="5"/>
  <c r="G45" i="5"/>
  <c r="F45" i="5"/>
  <c r="E45" i="5"/>
  <c r="G44" i="5"/>
  <c r="F44" i="5"/>
  <c r="E44" i="5"/>
  <c r="G43" i="5"/>
  <c r="F43" i="5"/>
  <c r="E43" i="5"/>
  <c r="G42" i="5"/>
  <c r="F42" i="5"/>
  <c r="E42" i="5"/>
  <c r="G41" i="5"/>
  <c r="F41" i="5"/>
  <c r="E41" i="5"/>
  <c r="G40" i="5"/>
  <c r="F40" i="5"/>
  <c r="E40" i="5"/>
  <c r="G39" i="5"/>
  <c r="F39" i="5"/>
  <c r="E39" i="5"/>
  <c r="G38" i="5"/>
  <c r="F38" i="5"/>
  <c r="E38" i="5"/>
  <c r="G37" i="5"/>
  <c r="F37" i="5"/>
  <c r="E37" i="5"/>
  <c r="G36" i="5"/>
  <c r="F36" i="5"/>
  <c r="E36" i="5"/>
  <c r="G35" i="5"/>
  <c r="F35" i="5"/>
  <c r="E35" i="5"/>
  <c r="G34" i="5"/>
  <c r="F34" i="5"/>
  <c r="E34" i="5"/>
  <c r="G33" i="5"/>
  <c r="F33" i="5"/>
  <c r="E33" i="5"/>
  <c r="G32" i="5"/>
  <c r="F32" i="5"/>
  <c r="E32" i="5"/>
  <c r="G31" i="5"/>
  <c r="F31" i="5"/>
  <c r="E31" i="5"/>
  <c r="G30" i="5"/>
  <c r="F30" i="5"/>
  <c r="E30" i="5"/>
  <c r="G29" i="5"/>
  <c r="F29" i="5"/>
  <c r="E29" i="5"/>
  <c r="G28" i="5"/>
  <c r="F28" i="5"/>
  <c r="E28" i="5"/>
  <c r="G27" i="5"/>
  <c r="F27" i="5"/>
  <c r="E27" i="5"/>
  <c r="G26" i="5"/>
  <c r="F26" i="5"/>
  <c r="E26" i="5"/>
  <c r="G25" i="5"/>
  <c r="F25" i="5"/>
  <c r="E25" i="5"/>
  <c r="G24" i="5"/>
  <c r="F24" i="5"/>
  <c r="E24" i="5"/>
  <c r="G23" i="5"/>
  <c r="F23" i="5"/>
  <c r="E23" i="5"/>
  <c r="G22" i="5"/>
  <c r="F22" i="5"/>
  <c r="E22" i="5"/>
  <c r="G21" i="5"/>
  <c r="F21" i="5"/>
  <c r="E21" i="5"/>
  <c r="G20" i="5"/>
  <c r="F20" i="5"/>
  <c r="E20" i="5"/>
  <c r="G19" i="5"/>
  <c r="F19" i="5"/>
  <c r="E19" i="5"/>
  <c r="G18" i="5"/>
  <c r="F18" i="5"/>
  <c r="E18" i="5"/>
  <c r="G17" i="5"/>
  <c r="F17" i="5"/>
  <c r="E17" i="5"/>
  <c r="G16" i="5"/>
  <c r="F16" i="5"/>
  <c r="E16" i="5"/>
  <c r="G15" i="5"/>
  <c r="F15" i="5"/>
  <c r="E15" i="5"/>
  <c r="G14" i="5"/>
  <c r="F14" i="5"/>
  <c r="E14" i="5"/>
  <c r="G13" i="5"/>
  <c r="F13" i="5"/>
  <c r="E13" i="5"/>
  <c r="G12" i="5"/>
  <c r="F12" i="5"/>
  <c r="E12" i="5"/>
  <c r="G11" i="5"/>
  <c r="F11" i="5"/>
  <c r="E11" i="5"/>
  <c r="G10" i="5"/>
  <c r="F10" i="5"/>
  <c r="E10" i="5"/>
  <c r="G9" i="5"/>
  <c r="F9" i="5"/>
  <c r="E9" i="5"/>
  <c r="G8" i="5"/>
  <c r="F8" i="5"/>
  <c r="E8" i="5"/>
  <c r="G7" i="5"/>
  <c r="F7" i="5"/>
  <c r="E7" i="5"/>
  <c r="G6" i="5"/>
  <c r="F6" i="5"/>
  <c r="E6" i="5"/>
  <c r="G5" i="5"/>
  <c r="F5" i="5"/>
  <c r="E5" i="5"/>
  <c r="G4" i="5"/>
  <c r="F4" i="5"/>
  <c r="E4" i="5"/>
  <c r="G3" i="5"/>
  <c r="F3" i="5"/>
  <c r="E3" i="5"/>
  <c r="G2" i="5"/>
  <c r="F2" i="5"/>
  <c r="E2" i="5"/>
  <c r="I195" i="4"/>
  <c r="I194" i="4"/>
  <c r="I193" i="4"/>
  <c r="I192" i="4"/>
  <c r="I191" i="4"/>
  <c r="I190" i="4"/>
  <c r="I189" i="4"/>
  <c r="I188" i="4"/>
  <c r="I187" i="4"/>
  <c r="I186" i="4"/>
  <c r="I185" i="4"/>
  <c r="I184" i="4"/>
  <c r="I183" i="4"/>
  <c r="I182" i="4"/>
  <c r="I181" i="4"/>
  <c r="I180" i="4"/>
  <c r="I179" i="4"/>
  <c r="I178" i="4"/>
  <c r="I177" i="4"/>
  <c r="I176" i="4"/>
  <c r="I175" i="4"/>
  <c r="I174" i="4"/>
  <c r="I173" i="4"/>
  <c r="I172" i="4"/>
  <c r="I171" i="4"/>
  <c r="I170" i="4"/>
  <c r="I169" i="4"/>
  <c r="I168" i="4"/>
  <c r="I167" i="4"/>
  <c r="I166" i="4"/>
  <c r="I165" i="4"/>
  <c r="I164" i="4"/>
  <c r="I163" i="4"/>
  <c r="I162" i="4"/>
  <c r="I161" i="4"/>
  <c r="I160" i="4"/>
  <c r="I159" i="4"/>
  <c r="I158" i="4"/>
  <c r="I157" i="4"/>
  <c r="I156" i="4"/>
  <c r="I155" i="4"/>
  <c r="I154" i="4"/>
  <c r="I153" i="4"/>
  <c r="I152" i="4"/>
  <c r="I151" i="4"/>
  <c r="I150" i="4"/>
  <c r="I149" i="4"/>
  <c r="I148" i="4"/>
  <c r="I147" i="4"/>
  <c r="I146" i="4"/>
  <c r="I145" i="4"/>
  <c r="I144" i="4"/>
  <c r="I143" i="4"/>
  <c r="I142" i="4"/>
  <c r="I141" i="4"/>
  <c r="I140" i="4"/>
  <c r="I139" i="4"/>
  <c r="I138" i="4"/>
  <c r="I137" i="4"/>
  <c r="I136" i="4"/>
  <c r="I135" i="4"/>
  <c r="I134" i="4"/>
  <c r="I133" i="4"/>
  <c r="I132" i="4"/>
  <c r="I131" i="4"/>
  <c r="I130" i="4"/>
  <c r="I129" i="4"/>
  <c r="I128" i="4"/>
  <c r="I127" i="4"/>
  <c r="I126" i="4"/>
  <c r="I125" i="4"/>
  <c r="I124" i="4"/>
  <c r="I123" i="4"/>
  <c r="I122" i="4"/>
  <c r="I121" i="4"/>
  <c r="I120" i="4"/>
  <c r="I119" i="4"/>
  <c r="I118" i="4"/>
  <c r="I117" i="4"/>
  <c r="I116" i="4"/>
  <c r="I115" i="4"/>
  <c r="I114" i="4"/>
  <c r="I113" i="4"/>
  <c r="I112" i="4"/>
  <c r="I111" i="4"/>
  <c r="I110" i="4"/>
  <c r="I109" i="4"/>
  <c r="I108" i="4"/>
  <c r="I107" i="4"/>
  <c r="I106" i="4"/>
  <c r="I105" i="4"/>
  <c r="I104" i="4"/>
  <c r="I103" i="4"/>
  <c r="I102" i="4"/>
  <c r="I101" i="4"/>
  <c r="I100" i="4"/>
  <c r="I99" i="4"/>
  <c r="I98" i="4"/>
  <c r="I97" i="4"/>
  <c r="I96" i="4"/>
  <c r="I95" i="4"/>
  <c r="I94" i="4"/>
  <c r="I93" i="4"/>
  <c r="I92" i="4"/>
  <c r="I91" i="4"/>
  <c r="I90" i="4"/>
  <c r="I89" i="4"/>
  <c r="I88" i="4"/>
  <c r="I87" i="4"/>
  <c r="I86" i="4"/>
  <c r="I85" i="4"/>
  <c r="I84" i="4"/>
  <c r="I83" i="4"/>
  <c r="I82" i="4"/>
  <c r="I81" i="4"/>
  <c r="I80" i="4"/>
  <c r="I79" i="4"/>
  <c r="I78" i="4"/>
  <c r="I77" i="4"/>
  <c r="I76" i="4"/>
  <c r="I75" i="4"/>
  <c r="I74" i="4"/>
  <c r="I73" i="4"/>
  <c r="I72" i="4"/>
  <c r="I71" i="4"/>
  <c r="I70" i="4"/>
  <c r="I69" i="4"/>
  <c r="I68" i="4"/>
  <c r="I67" i="4"/>
  <c r="I66" i="4"/>
  <c r="I65" i="4"/>
  <c r="I64" i="4"/>
  <c r="I63" i="4"/>
  <c r="I62" i="4"/>
  <c r="I61" i="4"/>
  <c r="I60" i="4"/>
  <c r="I59" i="4"/>
  <c r="I58" i="4"/>
  <c r="I57" i="4"/>
  <c r="I56" i="4"/>
  <c r="I55" i="4"/>
  <c r="I54" i="4"/>
  <c r="I53" i="4"/>
  <c r="I52" i="4"/>
  <c r="I51" i="4"/>
  <c r="I50" i="4"/>
  <c r="I49" i="4"/>
  <c r="I48" i="4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3" i="4"/>
  <c r="I2" i="4"/>
</calcChain>
</file>

<file path=xl/sharedStrings.xml><?xml version="1.0" encoding="utf-8"?>
<sst xmlns="http://schemas.openxmlformats.org/spreadsheetml/2006/main" count="3592" uniqueCount="546">
  <si>
    <t>Section</t>
  </si>
  <si>
    <t>Item</t>
  </si>
  <si>
    <t>Detail</t>
  </si>
  <si>
    <t>Overview</t>
  </si>
  <si>
    <t>File name</t>
  </si>
  <si>
    <t>MSX_Opportunities_Pipeline.xlsx</t>
  </si>
  <si>
    <t>Purpose</t>
  </si>
  <si>
    <t>One of three synthetic datasets that will be parsed by an AI agent to answer questions about a customer's future Azure capacity needs, flag capacity risks, and recommend proactive actions. The companion files simulate Stratus capacity and CX Observe inventory/ACR.</t>
  </si>
  <si>
    <t>Data notice</t>
  </si>
  <si>
    <t>SYNTHETIC DATA - for demo/testing only. No real customer, opportunity, revenue or capacity information is contained in this workbook.</t>
  </si>
  <si>
    <t>Source system</t>
  </si>
  <si>
    <t>MSX (Microsoft Sales Experience) - simulated extract</t>
  </si>
  <si>
    <t>Generation date</t>
  </si>
  <si>
    <t>Currency</t>
  </si>
  <si>
    <t>All monetary values are USD</t>
  </si>
  <si>
    <t>Machine-readability</t>
  </si>
  <si>
    <t>Every data sheet is a flat table: one header row at row 1, no merged cells, no blank spacer rows or columns, consistent column names, real Excel dates and numbers, frozen header row and autofilter enabled.</t>
  </si>
  <si>
    <t>Join keys</t>
  </si>
  <si>
    <t>Customer join</t>
  </si>
  <si>
    <t>CustomerID - joins Customers, Opportunities and Opportunity_SKU_Demand in this file to the customer dimension in the Stratus capacity and CX Observe files.</t>
  </si>
  <si>
    <t>Capacity join</t>
  </si>
  <si>
    <t>Region + AvailabilityZone + VMSKU - the composite key used to join Opportunity_SKU_Demand and Demand_Summary_by_Region_SKU to available capacity in the Stratus file.</t>
  </si>
  <si>
    <t>Opportunity join</t>
  </si>
  <si>
    <t>OpportunityID - joins Opportunity_SKU_Demand to Opportunities (every OpportunityID in the demand sheet exists in Opportunities).</t>
  </si>
  <si>
    <t>Controlled vocabularies</t>
  </si>
  <si>
    <t>Reference_Data holds the authoritative lists of Region, AvailabilityZone, VMSKU (with vCPUs, memory, family, GPU flag), Stage, WorkloadType, SolutionArea, RiskFlag, DeploymentWave, Criticality and Segment values used in this file.</t>
  </si>
  <si>
    <t>Sheet inventory</t>
  </si>
  <si>
    <t>Readme</t>
  </si>
  <si>
    <t>This sheet: purpose, source, generation date, sheet inventory, column dictionary, join keys and data notice.</t>
  </si>
  <si>
    <t>Customers</t>
  </si>
  <si>
    <t>8 rows. Customer dimension with account team, current ACR and contract renewal date.</t>
  </si>
  <si>
    <t>Opportunities</t>
  </si>
  <si>
    <t>40 rows. Pipeline opportunities OPP-2026-0001 to OPP-2026-0040 across all 8 customers.</t>
  </si>
  <si>
    <t>Opportunity_SKU_Demand</t>
  </si>
  <si>
    <t>194 rows. Core join table: per-opportunity VM SKU demand by Region and AvailabilityZone.</t>
  </si>
  <si>
    <t>Demand_Summary_by_Region_SKU</t>
  </si>
  <si>
    <t>149 rows. SUMIFS rollup of required VM count and cores by Region + AvailabilityZone + VMSKU.</t>
  </si>
  <si>
    <t>Reference_Data</t>
  </si>
  <si>
    <t>Controlled vocabulary / validation lists for the parsing agent.</t>
  </si>
  <si>
    <t>Column dictionary: Customers</t>
  </si>
  <si>
    <t>CustomerID</t>
  </si>
  <si>
    <t>Text. Primary key, format CUST-00n. Shared join key across all three files.</t>
  </si>
  <si>
    <t>CustomerName</t>
  </si>
  <si>
    <t>Text. Legal/display name of the customer.</t>
  </si>
  <si>
    <t>Industry</t>
  </si>
  <si>
    <t>Text. Industry vertical.</t>
  </si>
  <si>
    <t>Segment</t>
  </si>
  <si>
    <t>Text. Enterprise or Corporate.</t>
  </si>
  <si>
    <t>AccountOwner</t>
  </si>
  <si>
    <t>Text. Microsoft account executive (simulated name).</t>
  </si>
  <si>
    <t>TAM_CSAM</t>
  </si>
  <si>
    <t>Text. Technical Account Manager / Customer Success Account Manager (simulated name).</t>
  </si>
  <si>
    <t>CurrentAnnualACR_USD</t>
  </si>
  <si>
    <t>Number (currency). Current annualised Azure consumed revenue in USD.</t>
  </si>
  <si>
    <t>ContractRenewalDate</t>
  </si>
  <si>
    <t>Date (yyyy-mm-dd). Next enterprise agreement renewal date.</t>
  </si>
  <si>
    <t>Column dictionary: Opportunities</t>
  </si>
  <si>
    <t>OpportunityID</t>
  </si>
  <si>
    <t>Text. Primary key, format OPP-2026-nnnn.</t>
  </si>
  <si>
    <t>Text. Foreign key to Customers.CustomerID.</t>
  </si>
  <si>
    <t>Text. Denormalised customer name.</t>
  </si>
  <si>
    <t>OpportunityName</t>
  </si>
  <si>
    <t>Text. Project / deal name.</t>
  </si>
  <si>
    <t>SolutionArea</t>
  </si>
  <si>
    <t>Text. Azure Infra, Digital &amp; App Innovation or Data &amp; AI.</t>
  </si>
  <si>
    <t>Stage</t>
  </si>
  <si>
    <t>Text. Qualify, Develop, Propose, Negotiate, Commit or Closed Won.</t>
  </si>
  <si>
    <t>Probability_Pct</t>
  </si>
  <si>
    <t>Number. Win probability in percent (0-100), derived from Stage.</t>
  </si>
  <si>
    <t>EstimatedACR_USD</t>
  </si>
  <si>
    <t>Number (currency). Estimated incremental annual Azure consumed revenue.</t>
  </si>
  <si>
    <t>EstimatedConsumptionStart</t>
  </si>
  <si>
    <t>Date (yyyy-mm-dd). When Azure consumption is expected to begin (2026-10-01 to 2027-09-30).</t>
  </si>
  <si>
    <t>EstimatedCloseDate</t>
  </si>
  <si>
    <t>Date (yyyy-mm-dd). Expected deal close date.</t>
  </si>
  <si>
    <t>DealValue_USD</t>
  </si>
  <si>
    <t>Number (currency). Total contracted deal value.</t>
  </si>
  <si>
    <t>PrimaryRegion</t>
  </si>
  <si>
    <t>Text. Primary Azure region for the workload. Foreign key to Reference_Data Region list.</t>
  </si>
  <si>
    <t>SecondaryRegion</t>
  </si>
  <si>
    <t>Text. Disaster-recovery / secondary Azure region.</t>
  </si>
  <si>
    <t>OpportunityOwner</t>
  </si>
  <si>
    <t>Text. Seller owning the opportunity (simulated name).</t>
  </si>
  <si>
    <t>RiskFlag</t>
  </si>
  <si>
    <t>Text. None, Capacity, Timeline or Budget.</t>
  </si>
  <si>
    <t>LastModified</t>
  </si>
  <si>
    <t>Date (yyyy-mm-dd). Last MSX record update.</t>
  </si>
  <si>
    <t>Column dictionary: Opportunity_SKU_Demand</t>
  </si>
  <si>
    <t>DemandID</t>
  </si>
  <si>
    <t>Text. Primary key, format DEM-nnnn.</t>
  </si>
  <si>
    <t>Text. Foreign key to Opportunities.OpportunityID.</t>
  </si>
  <si>
    <t>Region</t>
  </si>
  <si>
    <t>Text. Azure region. Part of the capacity join key.</t>
  </si>
  <si>
    <t>AvailabilityZone</t>
  </si>
  <si>
    <t>Text. AZ-1, AZ-2 or AZ-3 (Greece Central has AZ-1 and AZ-2 only). Part of the capacity join key.</t>
  </si>
  <si>
    <t>VMSKU</t>
  </si>
  <si>
    <t>Text. Azure VM SKU name. Part of the capacity join key.</t>
  </si>
  <si>
    <t>vCPUsPerVM</t>
  </si>
  <si>
    <t>Number. vCPUs per VM for that SKU (matches Reference_Data).</t>
  </si>
  <si>
    <t>RequiredVMCount</t>
  </si>
  <si>
    <t>Number. VMs required for this demand line.</t>
  </si>
  <si>
    <t>RequiredCores</t>
  </si>
  <si>
    <t>Number (formula = vCPUsPerVM * RequiredVMCount). Total vCPUs required.</t>
  </si>
  <si>
    <t>RequiredMemoryGB</t>
  </si>
  <si>
    <t>Number. Total RAM required across the requested VMs, in GB.</t>
  </si>
  <si>
    <t>DeploymentWave</t>
  </si>
  <si>
    <t>Text. Wave 1, Wave 2 or Wave 3.</t>
  </si>
  <si>
    <t>RequiredByDate</t>
  </si>
  <si>
    <t>Date (yyyy-mm-dd). Date the capacity must be available.</t>
  </si>
  <si>
    <t>WorkloadType</t>
  </si>
  <si>
    <t>Text. General Purpose, Memory Optimised, Compute Optimised, GPU-AI Training, GPU-AI Inference, HPC, Storage Optimised or SAP.</t>
  </si>
  <si>
    <t>IsZoneRedundant</t>
  </si>
  <si>
    <t>Text. Yes or No - whether the deployment must be zone redundant.</t>
  </si>
  <si>
    <t>Criticality</t>
  </si>
  <si>
    <t>Text. High, Medium or Low.</t>
  </si>
  <si>
    <t>QuotaRequested</t>
  </si>
  <si>
    <t>Text. Yes or No - whether a quota increase has already been raised.</t>
  </si>
  <si>
    <t>Column dictionary: Demand_Summary_by_Region_SKU</t>
  </si>
  <si>
    <t>Text. Azure region.</t>
  </si>
  <si>
    <t>Text. Availability zone.</t>
  </si>
  <si>
    <t>Text. Azure VM SKU name.</t>
  </si>
  <si>
    <t>Number. vCPUs per VM for that SKU.</t>
  </si>
  <si>
    <t>TotalRequiredVMCount</t>
  </si>
  <si>
    <t>Number (SUMIFS over Opportunity_SKU_Demand). Total VMs required for this Region + AZ + SKU.</t>
  </si>
  <si>
    <t>TotalRequiredCores</t>
  </si>
  <si>
    <t>Number (SUMIFS over Opportunity_SKU_Demand). Total vCPUs required for this Region + AZ + SKU.</t>
  </si>
  <si>
    <t>DemandLineCount</t>
  </si>
  <si>
    <t>Number (COUNTIFS over Opportunity_SKU_Demand). Number of demand lines behind the rollup.</t>
  </si>
  <si>
    <t>Column dictionary: Reference_Data</t>
  </si>
  <si>
    <t>RefType</t>
  </si>
  <si>
    <t>Text. Which list this row belongs to (Region, AvailabilityZone, VMSKU, Stage, WorkloadType, SolutionArea, RiskFlag, DeploymentWave, Criticality, Segment).</t>
  </si>
  <si>
    <t>Value</t>
  </si>
  <si>
    <t>Text. The allowed value.</t>
  </si>
  <si>
    <t>ParentRegion</t>
  </si>
  <si>
    <t>Text. For AvailabilityZone rows, the region the zone belongs to.</t>
  </si>
  <si>
    <t>vCPUs</t>
  </si>
  <si>
    <t>Number. For VMSKU rows, vCPUs per VM.</t>
  </si>
  <si>
    <t>MemoryGB</t>
  </si>
  <si>
    <t>Number. For VMSKU rows, RAM per VM in GB.</t>
  </si>
  <si>
    <t>Family</t>
  </si>
  <si>
    <t>Text. For VMSKU rows, the VM family.</t>
  </si>
  <si>
    <t>IsGPU</t>
  </si>
  <si>
    <t>Text. For VMSKU rows, Yes if the SKU is GPU accelerated.</t>
  </si>
  <si>
    <t>Notes</t>
  </si>
  <si>
    <t>Text. Free-text note about the value.</t>
  </si>
  <si>
    <t>CUST-001</t>
  </si>
  <si>
    <t>Hellenic Bank of Attica</t>
  </si>
  <si>
    <t>Financial Services</t>
  </si>
  <si>
    <t>Enterprise</t>
  </si>
  <si>
    <t>Maria Kollias</t>
  </si>
  <si>
    <t>Andreas Voulgaris</t>
  </si>
  <si>
    <t>CUST-002</t>
  </si>
  <si>
    <t>Aegean Retail Group</t>
  </si>
  <si>
    <t>Retail</t>
  </si>
  <si>
    <t>Nikos Varelas</t>
  </si>
  <si>
    <t>Katerina Sideri</t>
  </si>
  <si>
    <t>CUST-003</t>
  </si>
  <si>
    <t>Olympus Energy SA</t>
  </si>
  <si>
    <t>Energy</t>
  </si>
  <si>
    <t>Elena Drakou</t>
  </si>
  <si>
    <t>Petros Kalogeras</t>
  </si>
  <si>
    <t>CUST-004</t>
  </si>
  <si>
    <t>Delphi Logistics</t>
  </si>
  <si>
    <t>Transportation</t>
  </si>
  <si>
    <t>Corporate</t>
  </si>
  <si>
    <t>Stefanos Iliadis</t>
  </si>
  <si>
    <t>Ioanna Zafeiri</t>
  </si>
  <si>
    <t>CUST-005</t>
  </si>
  <si>
    <t>Ionian Telecom</t>
  </si>
  <si>
    <t>Telco</t>
  </si>
  <si>
    <t>Chryssa Petrou</t>
  </si>
  <si>
    <t>Christos Roussos</t>
  </si>
  <si>
    <t>CUST-006</t>
  </si>
  <si>
    <t>Thessaly AgriTech</t>
  </si>
  <si>
    <t>Manufacturing</t>
  </si>
  <si>
    <t>Dimitris Anagnos</t>
  </si>
  <si>
    <t>Lena Papamichail</t>
  </si>
  <si>
    <t>CUST-007</t>
  </si>
  <si>
    <t>Kyklades Media Group</t>
  </si>
  <si>
    <t>Media</t>
  </si>
  <si>
    <t>Sofia Lambrou</t>
  </si>
  <si>
    <t>Alexis Fotiadis</t>
  </si>
  <si>
    <t>CUST-008</t>
  </si>
  <si>
    <t>Piraeus Maritime Services</t>
  </si>
  <si>
    <t>Maritime</t>
  </si>
  <si>
    <t>Yiannis Metaxas</t>
  </si>
  <si>
    <t>Despina Kranou</t>
  </si>
  <si>
    <t>OPP-2026-0001</t>
  </si>
  <si>
    <t>Core Banking Modernisation — Phase 2</t>
  </si>
  <si>
    <t>Azure Infra</t>
  </si>
  <si>
    <t>Closed Won</t>
  </si>
  <si>
    <t>UK South</t>
  </si>
  <si>
    <t>West Europe</t>
  </si>
  <si>
    <t>Budget</t>
  </si>
  <si>
    <t>OPP-2026-0002</t>
  </si>
  <si>
    <t>AI Document Intelligence Platform</t>
  </si>
  <si>
    <t>Data &amp; AI</t>
  </si>
  <si>
    <t>Develop</t>
  </si>
  <si>
    <t>Sweden Central</t>
  </si>
  <si>
    <t>Capacity</t>
  </si>
  <si>
    <t>OPP-2026-0003</t>
  </si>
  <si>
    <t>Risk &amp; Regulatory Data Lakehouse</t>
  </si>
  <si>
    <t>Poland Central</t>
  </si>
  <si>
    <t>None</t>
  </si>
  <si>
    <t>OPP-2026-0004</t>
  </si>
  <si>
    <t>Fraud Detection Model Training Cluster</t>
  </si>
  <si>
    <t>Propose</t>
  </si>
  <si>
    <t>OPP-2026-0005</t>
  </si>
  <si>
    <t>VDI / AVD Estate Refresh</t>
  </si>
  <si>
    <t>Negotiate</t>
  </si>
  <si>
    <t>France Central</t>
  </si>
  <si>
    <t>OPP-2026-0006</t>
  </si>
  <si>
    <t>Payments Resiliency &amp; DR Build</t>
  </si>
  <si>
    <t>North Europe</t>
  </si>
  <si>
    <t>Greece Central</t>
  </si>
  <si>
    <t>OPP-2026-0007</t>
  </si>
  <si>
    <t>SAP S/4HANA Migration</t>
  </si>
  <si>
    <t>Switzerland North</t>
  </si>
  <si>
    <t>Timeline</t>
  </si>
  <si>
    <t>OPP-2026-0008</t>
  </si>
  <si>
    <t>Retail Demand Forecasting Platform</t>
  </si>
  <si>
    <t>OPP-2026-0009</t>
  </si>
  <si>
    <t>E-commerce Kubernetes Platform Build-out</t>
  </si>
  <si>
    <t>Digital &amp; App Innovation</t>
  </si>
  <si>
    <t>Germany West Central</t>
  </si>
  <si>
    <t>OPP-2026-0010</t>
  </si>
  <si>
    <t>Store Edge Analytics Rollout</t>
  </si>
  <si>
    <t>OPP-2026-0011</t>
  </si>
  <si>
    <t>Customer 360 Data Platform</t>
  </si>
  <si>
    <t>Commit</t>
  </si>
  <si>
    <t>OPP-2026-0012</t>
  </si>
  <si>
    <t>HPC Seismic Processing</t>
  </si>
  <si>
    <t>OPP-2026-0013</t>
  </si>
  <si>
    <t>Grid Telemetry Data Platform</t>
  </si>
  <si>
    <t>Qualify</t>
  </si>
  <si>
    <t>Italy North</t>
  </si>
  <si>
    <t>OPP-2026-0014</t>
  </si>
  <si>
    <t>Predictive Maintenance AI</t>
  </si>
  <si>
    <t>OPP-2026-0015</t>
  </si>
  <si>
    <t>SCADA Modernisation &amp; DR</t>
  </si>
  <si>
    <t>OPP-2026-0016</t>
  </si>
  <si>
    <t>Energy Trading Risk Compute</t>
  </si>
  <si>
    <t>OPP-2026-0017</t>
  </si>
  <si>
    <t>Fleet Telematics Ingestion Platform</t>
  </si>
  <si>
    <t>OPP-2026-0018</t>
  </si>
  <si>
    <t>Route Optimisation HPC Cluster</t>
  </si>
  <si>
    <t>OPP-2026-0019</t>
  </si>
  <si>
    <t>Warehouse Management Migration</t>
  </si>
  <si>
    <t>OPP-2026-0020</t>
  </si>
  <si>
    <t>Logistics Copilot Assistant</t>
  </si>
  <si>
    <t>OPP-2026-0021</t>
  </si>
  <si>
    <t>5G Core Analytics Platform</t>
  </si>
  <si>
    <t>OPP-2026-0022</t>
  </si>
  <si>
    <t>Network Digital Twin Simulation</t>
  </si>
  <si>
    <t>OPP-2026-0023</t>
  </si>
  <si>
    <t>Telco AI Inference Fabric</t>
  </si>
  <si>
    <t>OPP-2026-0024</t>
  </si>
  <si>
    <t>OSS/BSS Modernisation</t>
  </si>
  <si>
    <t>OPP-2026-0025</t>
  </si>
  <si>
    <t>Subscriber Data Lakehouse</t>
  </si>
  <si>
    <t>OPP-2026-0026</t>
  </si>
  <si>
    <t>Churn Prediction Model Factory</t>
  </si>
  <si>
    <t>OPP-2026-0027</t>
  </si>
  <si>
    <t>AVD Estate Refresh</t>
  </si>
  <si>
    <t>OPP-2026-0028</t>
  </si>
  <si>
    <t>Agronomy Vision AI Training</t>
  </si>
  <si>
    <t>OPP-2026-0029</t>
  </si>
  <si>
    <t>IoT Sensor Data Platform</t>
  </si>
  <si>
    <t>OPP-2026-0030</t>
  </si>
  <si>
    <t>ERP Migration to Azure</t>
  </si>
  <si>
    <t>OPP-2026-0031</t>
  </si>
  <si>
    <t>Yield Optimisation Analytics</t>
  </si>
  <si>
    <t>OPP-2026-0032</t>
  </si>
  <si>
    <t>Media Rendering Farm Migration</t>
  </si>
  <si>
    <t>OPP-2026-0033</t>
  </si>
  <si>
    <t>Content Recommendation AI</t>
  </si>
  <si>
    <t>OPP-2026-0034</t>
  </si>
  <si>
    <t>Archive &amp; Storage Modernisation</t>
  </si>
  <si>
    <t>OPP-2026-0035</t>
  </si>
  <si>
    <t>Live Streaming Platform Build-out</t>
  </si>
  <si>
    <t>OPP-2026-0036</t>
  </si>
  <si>
    <t>Port Operations Data Platform</t>
  </si>
  <si>
    <t>OPP-2026-0037</t>
  </si>
  <si>
    <t>Vessel Route AI Optimisation</t>
  </si>
  <si>
    <t>OPP-2026-0038</t>
  </si>
  <si>
    <t>Maritime Compliance Reporting</t>
  </si>
  <si>
    <t>OPP-2026-0039</t>
  </si>
  <si>
    <t>Kubernetes Platform Build-out</t>
  </si>
  <si>
    <t>OPP-2026-0040</t>
  </si>
  <si>
    <t>Disaster Recovery Programme</t>
  </si>
  <si>
    <t>DEM-0001</t>
  </si>
  <si>
    <t>AZ-1</t>
  </si>
  <si>
    <t>Standard_D16s_v5</t>
  </si>
  <si>
    <t>Wave 1</t>
  </si>
  <si>
    <t>General Purpose</t>
  </si>
  <si>
    <t>Yes</t>
  </si>
  <si>
    <t>Medium</t>
  </si>
  <si>
    <t>No</t>
  </si>
  <si>
    <t>DEM-0002</t>
  </si>
  <si>
    <t>AZ-2</t>
  </si>
  <si>
    <t>Standard_E64ds_v5</t>
  </si>
  <si>
    <t>Wave 2</t>
  </si>
  <si>
    <t>Memory Optimised</t>
  </si>
  <si>
    <t>Low</t>
  </si>
  <si>
    <t>DEM-0003</t>
  </si>
  <si>
    <t>Standard_D8s_v5</t>
  </si>
  <si>
    <t>DEM-0004</t>
  </si>
  <si>
    <t>AZ-3</t>
  </si>
  <si>
    <t>Standard_D64s_v5</t>
  </si>
  <si>
    <t>High</t>
  </si>
  <si>
    <t>DEM-0005</t>
  </si>
  <si>
    <t>Wave 3</t>
  </si>
  <si>
    <t>DEM-0006</t>
  </si>
  <si>
    <t>Standard_ND96isr_H100_v5</t>
  </si>
  <si>
    <t>GPU-AI Training</t>
  </si>
  <si>
    <t>DEM-0007</t>
  </si>
  <si>
    <t>DEM-0008</t>
  </si>
  <si>
    <t>Standard_D32s_v5</t>
  </si>
  <si>
    <t>DEM-0009</t>
  </si>
  <si>
    <t>DEM-0010</t>
  </si>
  <si>
    <t>DEM-0011</t>
  </si>
  <si>
    <t>Standard_M128ms</t>
  </si>
  <si>
    <t>SAP</t>
  </si>
  <si>
    <t>DEM-0012</t>
  </si>
  <si>
    <t>DEM-0013</t>
  </si>
  <si>
    <t>DEM-0014</t>
  </si>
  <si>
    <t>Standard_E16s_v5</t>
  </si>
  <si>
    <t>DEM-0015</t>
  </si>
  <si>
    <t>DEM-0016</t>
  </si>
  <si>
    <t>DEM-0017</t>
  </si>
  <si>
    <t>Standard_NC40ads_H100_v5</t>
  </si>
  <si>
    <t>GPU-AI Inference</t>
  </si>
  <si>
    <t>DEM-0018</t>
  </si>
  <si>
    <t>Standard_L16s_v3</t>
  </si>
  <si>
    <t>Storage Optimised</t>
  </si>
  <si>
    <t>DEM-0019</t>
  </si>
  <si>
    <t>DEM-0020</t>
  </si>
  <si>
    <t>Standard_E32ds_v5</t>
  </si>
  <si>
    <t>DEM-0021</t>
  </si>
  <si>
    <t>DEM-0022</t>
  </si>
  <si>
    <t>Standard_F32s_v2</t>
  </si>
  <si>
    <t>Compute Optimised</t>
  </si>
  <si>
    <t>DEM-0023</t>
  </si>
  <si>
    <t>DEM-0024</t>
  </si>
  <si>
    <t>DEM-0025</t>
  </si>
  <si>
    <t>DEM-0026</t>
  </si>
  <si>
    <t>DEM-0027</t>
  </si>
  <si>
    <t>DEM-0028</t>
  </si>
  <si>
    <t>DEM-0029</t>
  </si>
  <si>
    <t>DEM-0030</t>
  </si>
  <si>
    <t>DEM-0031</t>
  </si>
  <si>
    <t>Standard_HB176rs_v4</t>
  </si>
  <si>
    <t>HPC</t>
  </si>
  <si>
    <t>DEM-0032</t>
  </si>
  <si>
    <t>DEM-0033</t>
  </si>
  <si>
    <t>DEM-0034</t>
  </si>
  <si>
    <t>DEM-0035</t>
  </si>
  <si>
    <t>DEM-0036</t>
  </si>
  <si>
    <t>DEM-0037</t>
  </si>
  <si>
    <t>DEM-0038</t>
  </si>
  <si>
    <t>DEM-0039</t>
  </si>
  <si>
    <t>DEM-0040</t>
  </si>
  <si>
    <t>DEM-0041</t>
  </si>
  <si>
    <t>DEM-0042</t>
  </si>
  <si>
    <t>DEM-0043</t>
  </si>
  <si>
    <t>DEM-0044</t>
  </si>
  <si>
    <t>Standard_E32as_v6</t>
  </si>
  <si>
    <t>DEM-0045</t>
  </si>
  <si>
    <t>DEM-0046</t>
  </si>
  <si>
    <t>DEM-0047</t>
  </si>
  <si>
    <t>DEM-0048</t>
  </si>
  <si>
    <t>DEM-0049</t>
  </si>
  <si>
    <t>DEM-0050</t>
  </si>
  <si>
    <t>DEM-0051</t>
  </si>
  <si>
    <t>DEM-0052</t>
  </si>
  <si>
    <t>DEM-0053</t>
  </si>
  <si>
    <t>DEM-0054</t>
  </si>
  <si>
    <t>DEM-0055</t>
  </si>
  <si>
    <t>DEM-0056</t>
  </si>
  <si>
    <t>DEM-0057</t>
  </si>
  <si>
    <t>DEM-0058</t>
  </si>
  <si>
    <t>DEM-0059</t>
  </si>
  <si>
    <t>Standard_NC24ads_A100_v4</t>
  </si>
  <si>
    <t>DEM-0060</t>
  </si>
  <si>
    <t>DEM-0061</t>
  </si>
  <si>
    <t>DEM-0062</t>
  </si>
  <si>
    <t>DEM-0063</t>
  </si>
  <si>
    <t>DEM-0064</t>
  </si>
  <si>
    <t>DEM-0065</t>
  </si>
  <si>
    <t>DEM-0066</t>
  </si>
  <si>
    <t>DEM-0067</t>
  </si>
  <si>
    <t>DEM-0068</t>
  </si>
  <si>
    <t>DEM-0069</t>
  </si>
  <si>
    <t>DEM-0070</t>
  </si>
  <si>
    <t>DEM-0071</t>
  </si>
  <si>
    <t>DEM-0072</t>
  </si>
  <si>
    <t>DEM-0073</t>
  </si>
  <si>
    <t>DEM-0074</t>
  </si>
  <si>
    <t>DEM-0075</t>
  </si>
  <si>
    <t>DEM-0076</t>
  </si>
  <si>
    <t>DEM-0077</t>
  </si>
  <si>
    <t>DEM-0078</t>
  </si>
  <si>
    <t>Standard_D16as_v6</t>
  </si>
  <si>
    <t>DEM-0079</t>
  </si>
  <si>
    <t>DEM-0080</t>
  </si>
  <si>
    <t>DEM-0081</t>
  </si>
  <si>
    <t>DEM-0082</t>
  </si>
  <si>
    <t>DEM-0083</t>
  </si>
  <si>
    <t>DEM-0084</t>
  </si>
  <si>
    <t>DEM-0085</t>
  </si>
  <si>
    <t>DEM-0086</t>
  </si>
  <si>
    <t>DEM-0087</t>
  </si>
  <si>
    <t>DEM-0088</t>
  </si>
  <si>
    <t>DEM-0089</t>
  </si>
  <si>
    <t>DEM-0090</t>
  </si>
  <si>
    <t>DEM-0091</t>
  </si>
  <si>
    <t>DEM-0092</t>
  </si>
  <si>
    <t>DEM-0093</t>
  </si>
  <si>
    <t>DEM-0094</t>
  </si>
  <si>
    <t>DEM-0095</t>
  </si>
  <si>
    <t>DEM-0096</t>
  </si>
  <si>
    <t>DEM-0097</t>
  </si>
  <si>
    <t>DEM-0098</t>
  </si>
  <si>
    <t>DEM-0099</t>
  </si>
  <si>
    <t>DEM-0100</t>
  </si>
  <si>
    <t>DEM-0101</t>
  </si>
  <si>
    <t>DEM-0102</t>
  </si>
  <si>
    <t>DEM-0103</t>
  </si>
  <si>
    <t>DEM-0104</t>
  </si>
  <si>
    <t>DEM-0105</t>
  </si>
  <si>
    <t>DEM-0106</t>
  </si>
  <si>
    <t>DEM-0107</t>
  </si>
  <si>
    <t>DEM-0108</t>
  </si>
  <si>
    <t>DEM-0109</t>
  </si>
  <si>
    <t>DEM-0110</t>
  </si>
  <si>
    <t>DEM-0111</t>
  </si>
  <si>
    <t>DEM-0112</t>
  </si>
  <si>
    <t>DEM-0113</t>
  </si>
  <si>
    <t>DEM-0114</t>
  </si>
  <si>
    <t>DEM-0115</t>
  </si>
  <si>
    <t>DEM-0116</t>
  </si>
  <si>
    <t>DEM-0117</t>
  </si>
  <si>
    <t>DEM-0118</t>
  </si>
  <si>
    <t>DEM-0119</t>
  </si>
  <si>
    <t>DEM-0120</t>
  </si>
  <si>
    <t>DEM-0121</t>
  </si>
  <si>
    <t>DEM-0122</t>
  </si>
  <si>
    <t>DEM-0123</t>
  </si>
  <si>
    <t>DEM-0124</t>
  </si>
  <si>
    <t>DEM-0125</t>
  </si>
  <si>
    <t>DEM-0126</t>
  </si>
  <si>
    <t>DEM-0127</t>
  </si>
  <si>
    <t>DEM-0128</t>
  </si>
  <si>
    <t>DEM-0129</t>
  </si>
  <si>
    <t>DEM-0130</t>
  </si>
  <si>
    <t>DEM-0131</t>
  </si>
  <si>
    <t>DEM-0132</t>
  </si>
  <si>
    <t>DEM-0133</t>
  </si>
  <si>
    <t>DEM-0134</t>
  </si>
  <si>
    <t>DEM-0135</t>
  </si>
  <si>
    <t>DEM-0136</t>
  </si>
  <si>
    <t>DEM-0137</t>
  </si>
  <si>
    <t>DEM-0138</t>
  </si>
  <si>
    <t>DEM-0139</t>
  </si>
  <si>
    <t>DEM-0140</t>
  </si>
  <si>
    <t>DEM-0141</t>
  </si>
  <si>
    <t>DEM-0142</t>
  </si>
  <si>
    <t>DEM-0143</t>
  </si>
  <si>
    <t>DEM-0144</t>
  </si>
  <si>
    <t>DEM-0145</t>
  </si>
  <si>
    <t>DEM-0146</t>
  </si>
  <si>
    <t>DEM-0147</t>
  </si>
  <si>
    <t>DEM-0148</t>
  </si>
  <si>
    <t>DEM-0149</t>
  </si>
  <si>
    <t>DEM-0150</t>
  </si>
  <si>
    <t>DEM-0151</t>
  </si>
  <si>
    <t>DEM-0152</t>
  </si>
  <si>
    <t>DEM-0153</t>
  </si>
  <si>
    <t>DEM-0154</t>
  </si>
  <si>
    <t>DEM-0155</t>
  </si>
  <si>
    <t>DEM-0156</t>
  </si>
  <si>
    <t>DEM-0157</t>
  </si>
  <si>
    <t>DEM-0158</t>
  </si>
  <si>
    <t>DEM-0159</t>
  </si>
  <si>
    <t>DEM-0160</t>
  </si>
  <si>
    <t>DEM-0161</t>
  </si>
  <si>
    <t>DEM-0162</t>
  </si>
  <si>
    <t>DEM-0163</t>
  </si>
  <si>
    <t>DEM-0164</t>
  </si>
  <si>
    <t>DEM-0165</t>
  </si>
  <si>
    <t>DEM-0166</t>
  </si>
  <si>
    <t>DEM-0167</t>
  </si>
  <si>
    <t>DEM-0168</t>
  </si>
  <si>
    <t>DEM-0169</t>
  </si>
  <si>
    <t>DEM-0170</t>
  </si>
  <si>
    <t>DEM-0171</t>
  </si>
  <si>
    <t>DEM-0172</t>
  </si>
  <si>
    <t>DEM-0173</t>
  </si>
  <si>
    <t>DEM-0174</t>
  </si>
  <si>
    <t>DEM-0175</t>
  </si>
  <si>
    <t>DEM-0176</t>
  </si>
  <si>
    <t>DEM-0177</t>
  </si>
  <si>
    <t>DEM-0178</t>
  </si>
  <si>
    <t>DEM-0179</t>
  </si>
  <si>
    <t>DEM-0180</t>
  </si>
  <si>
    <t>DEM-0181</t>
  </si>
  <si>
    <t>DEM-0182</t>
  </si>
  <si>
    <t>DEM-0183</t>
  </si>
  <si>
    <t>DEM-0184</t>
  </si>
  <si>
    <t>DEM-0185</t>
  </si>
  <si>
    <t>DEM-0186</t>
  </si>
  <si>
    <t>DEM-0187</t>
  </si>
  <si>
    <t>DEM-0188</t>
  </si>
  <si>
    <t>DEM-0189</t>
  </si>
  <si>
    <t>DEM-0190</t>
  </si>
  <si>
    <t>DEM-0191</t>
  </si>
  <si>
    <t>DEM-0192</t>
  </si>
  <si>
    <t>DEM-0193</t>
  </si>
  <si>
    <t>DEM-0194</t>
  </si>
  <si>
    <t>Azure region in scope for this dataset</t>
  </si>
  <si>
    <t>Logical availability zone</t>
  </si>
  <si>
    <t>Dv5</t>
  </si>
  <si>
    <t>Default workload type: General Purpose</t>
  </si>
  <si>
    <t>Ev5</t>
  </si>
  <si>
    <t>Default workload type: Memory Optimised</t>
  </si>
  <si>
    <t>Fsv2</t>
  </si>
  <si>
    <t>Default workload type: Compute Optimised</t>
  </si>
  <si>
    <t>Lsv3</t>
  </si>
  <si>
    <t>Default workload type: Storage Optimised</t>
  </si>
  <si>
    <t>Mv2</t>
  </si>
  <si>
    <t>Default workload type: SAP</t>
  </si>
  <si>
    <t>Dasv6</t>
  </si>
  <si>
    <t>Easv6</t>
  </si>
  <si>
    <t>HBv4</t>
  </si>
  <si>
    <t>Default workload type: HPC</t>
  </si>
  <si>
    <t>NCads_A100_v4</t>
  </si>
  <si>
    <t>Default workload type: GPU-AI Inference</t>
  </si>
  <si>
    <t>NDisr_H100_v5</t>
  </si>
  <si>
    <t>Default workload type: GPU-AI Training</t>
  </si>
  <si>
    <t>NCads_H100_v5</t>
  </si>
  <si>
    <t>MSX sales stage; Probability_Pct = 10</t>
  </si>
  <si>
    <t>MSX sales stage; Probability_Pct = 25</t>
  </si>
  <si>
    <t>MSX sales stage; Probability_Pct = 45</t>
  </si>
  <si>
    <t>MSX sales stage; Probability_Pct = 65</t>
  </si>
  <si>
    <t>MSX sales stage; Probability_Pct = 85</t>
  </si>
  <si>
    <t>MSX sales stage; Probability_Pct =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</si>
</sst>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yyyy\-mm\-dd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A5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 wrapText="1"/>
    </xf>
    <xf numFmtId="14" fontId="1" fillId="0" borderId="0" xfId="0" applyNumberFormat="1" applyFont="1" applyAlignment="1">
      <alignment vertical="top" wrapText="1"/>
    </xf>
    <xf numFmtId="0" fontId="2" fillId="2" borderId="0" xfId="0" applyFont="1" applyFill="1" applyAlignment="1">
      <alignment horizontal="center" vertical="top" wrapText="1"/>
    </xf>
    <xf numFmtId="0" fontId="2" fillId="2" borderId="0" xfId="0" applyFont="1" applyFill="1" applyAlignment="1">
      <alignment horizontal="center" wrapText="1"/>
    </xf>
    <xf numFmtId="164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65"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  <numFmt numFmtId="3" formatCode="#,##0"/>
      <alignment horizontal="right"/>
    </dxf>
    <dxf>
      <font>
        <name val="Calibri"/>
      </font>
      <numFmt numFmtId="3" formatCode="#,##0"/>
      <alignment horizontal="right"/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b/>
        <color rgb="FFFFFFFF"/>
        <name val="Calibri"/>
      </font>
      <fill>
        <patternFill patternType="solid">
          <fgColor indexed="64"/>
          <bgColor rgb="FF1F2A5C"/>
        </patternFill>
      </fill>
      <alignment horizontal="center" wrapText="1"/>
    </dxf>
    <dxf>
      <font>
        <name val="Calibri"/>
      </font>
      <numFmt numFmtId="3" formatCode="#,##0"/>
      <alignment horizontal="right"/>
    </dxf>
    <dxf>
      <font>
        <name val="Calibri"/>
      </font>
      <numFmt numFmtId="3" formatCode="#,##0"/>
      <alignment horizontal="right"/>
    </dxf>
    <dxf>
      <font>
        <name val="Calibri"/>
      </font>
      <numFmt numFmtId="3" formatCode="#,##0"/>
      <alignment horizontal="right"/>
    </dxf>
    <dxf>
      <font>
        <name val="Calibri"/>
      </font>
      <numFmt numFmtId="3" formatCode="#,##0"/>
      <alignment horizontal="right"/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b/>
        <color rgb="FFFFFFFF"/>
        <name val="Calibri"/>
      </font>
      <fill>
        <patternFill patternType="solid">
          <fgColor indexed="64"/>
          <bgColor rgb="FF1F2A5C"/>
        </patternFill>
      </fill>
      <alignment horizontal="center" wrapText="1"/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  <numFmt numFmtId="165" formatCode="yyyy\-mm\-dd"/>
      <alignment horizontal="center"/>
    </dxf>
    <dxf>
      <font>
        <name val="Calibri"/>
      </font>
    </dxf>
    <dxf>
      <font>
        <name val="Calibri"/>
      </font>
      <numFmt numFmtId="3" formatCode="#,##0"/>
      <alignment horizontal="right"/>
    </dxf>
    <dxf>
      <font>
        <name val="Calibri"/>
      </font>
      <numFmt numFmtId="3" formatCode="#,##0"/>
      <alignment horizontal="right"/>
    </dxf>
    <dxf>
      <font>
        <name val="Calibri"/>
      </font>
      <numFmt numFmtId="3" formatCode="#,##0"/>
      <alignment horizontal="right"/>
    </dxf>
    <dxf>
      <font>
        <name val="Calibri"/>
      </font>
      <numFmt numFmtId="3" formatCode="#,##0"/>
      <alignment horizontal="right"/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b/>
        <color rgb="FFFFFFFF"/>
        <name val="Calibri"/>
      </font>
      <fill>
        <patternFill patternType="solid">
          <fgColor indexed="64"/>
          <bgColor rgb="FF1F2A5C"/>
        </patternFill>
      </fill>
      <alignment horizontal="center" wrapText="1"/>
    </dxf>
    <dxf>
      <font>
        <name val="Calibri"/>
      </font>
      <numFmt numFmtId="165" formatCode="yyyy\-mm\-dd"/>
      <alignment horizontal="center"/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  <numFmt numFmtId="164" formatCode="&quot;$&quot;#,##0"/>
      <alignment horizontal="right"/>
    </dxf>
    <dxf>
      <font>
        <name val="Calibri"/>
      </font>
      <numFmt numFmtId="165" formatCode="yyyy\-mm\-dd"/>
      <alignment horizontal="center"/>
    </dxf>
    <dxf>
      <font>
        <name val="Calibri"/>
      </font>
      <numFmt numFmtId="165" formatCode="yyyy\-mm\-dd"/>
      <alignment horizontal="center"/>
    </dxf>
    <dxf>
      <font>
        <name val="Calibri"/>
      </font>
      <numFmt numFmtId="164" formatCode="&quot;$&quot;#,##0"/>
      <alignment horizontal="right"/>
    </dxf>
    <dxf>
      <font>
        <name val="Calibri"/>
      </font>
      <numFmt numFmtId="1" formatCode="0"/>
      <alignment horizontal="right"/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b/>
        <color rgb="FFFFFFFF"/>
        <name val="Calibri"/>
      </font>
      <fill>
        <patternFill patternType="solid">
          <fgColor indexed="64"/>
          <bgColor rgb="FF1F2A5C"/>
        </patternFill>
      </fill>
      <alignment horizontal="center" wrapText="1"/>
    </dxf>
    <dxf>
      <font>
        <name val="Calibri"/>
      </font>
      <numFmt numFmtId="165" formatCode="yyyy\-mm\-dd"/>
      <alignment horizontal="center"/>
    </dxf>
    <dxf>
      <font>
        <name val="Calibri"/>
      </font>
      <numFmt numFmtId="164" formatCode="&quot;$&quot;#,##0"/>
      <alignment horizontal="right"/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b/>
        <color rgb="FFFFFFFF"/>
        <name val="Calibri"/>
      </font>
      <fill>
        <patternFill patternType="solid">
          <fgColor indexed="64"/>
          <bgColor rgb="FF1F2A5C"/>
        </patternFill>
      </fill>
      <alignment horizontal="center" wrapText="1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39E449-2646-4580-82ED-0F398BE7867E}" name="tbl_Customers" displayName="tbl_Customers" ref="A1:H9" totalsRowShown="0" headerRowDxfId="64" dataDxfId="63">
  <autoFilter ref="A1:H9" xr:uid="{8939E449-2646-4580-82ED-0F398BE7867E}"/>
  <tableColumns count="8">
    <tableColumn id="1" xr3:uid="{C4403DC9-F958-4710-9774-A4404D96D9DC}" name="CustomerID" dataDxfId="62"/>
    <tableColumn id="2" xr3:uid="{313F755B-E993-4422-A5C8-D2B7FC5AE2BE}" name="CustomerName" dataDxfId="61"/>
    <tableColumn id="3" xr3:uid="{94C529D4-6B0C-41C8-A144-F56883D26582}" name="Industry" dataDxfId="60"/>
    <tableColumn id="4" xr3:uid="{5ABDEB2C-DB81-4E4B-8ADB-CEF3A327D78B}" name="Segment" dataDxfId="59"/>
    <tableColumn id="5" xr3:uid="{A1AD503D-E78E-455E-B11D-FDFFE38D5F24}" name="AccountOwner" dataDxfId="58"/>
    <tableColumn id="6" xr3:uid="{9FCE7758-DB61-4F1D-A871-FACE2BA34A4A}" name="TAM_CSAM" dataDxfId="57"/>
    <tableColumn id="7" xr3:uid="{9AEFC181-67E3-4547-BBA3-D4294EB41987}" name="CurrentAnnualACR_USD" dataDxfId="56"/>
    <tableColumn id="8" xr3:uid="{F4B6BF51-C1F1-4F82-BD2D-49BC0F9CB339}" name="ContractRenewalDate" dataDxfId="55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76D7E00-F066-45C7-91AE-D6CEAE5390CE}" name="tbl_Opportunities" displayName="tbl_Opportunities" ref="A1:P41" totalsRowShown="0" headerRowDxfId="54" dataDxfId="53">
  <autoFilter ref="A1:P41" xr:uid="{376D7E00-F066-45C7-91AE-D6CEAE5390CE}"/>
  <sortState xmlns:xlrd2="http://schemas.microsoft.com/office/spreadsheetml/2017/richdata2" ref="A2:P41">
    <sortCondition ref="F1:F41"/>
  </sortState>
  <tableColumns count="16">
    <tableColumn id="1" xr3:uid="{679DE301-7D97-47A1-A3E2-F63940FB913C}" name="OpportunityID" dataDxfId="52"/>
    <tableColumn id="2" xr3:uid="{AD74C959-EF66-475F-A19D-16985FF84535}" name="CustomerID" dataDxfId="51"/>
    <tableColumn id="3" xr3:uid="{46E43213-ED8A-4403-BED8-4C52541B4503}" name="CustomerName" dataDxfId="50"/>
    <tableColumn id="4" xr3:uid="{6E852D7A-C859-4DC3-9413-F0330F665096}" name="OpportunityName" dataDxfId="49"/>
    <tableColumn id="5" xr3:uid="{F3F98AAB-6F9D-46D9-8462-064775DE8203}" name="SolutionArea" dataDxfId="48"/>
    <tableColumn id="6" xr3:uid="{8C2A3C29-94AB-488A-9C82-837BA921B2CE}" name="Stage" dataDxfId="47"/>
    <tableColumn id="7" xr3:uid="{2B7CBDBD-4408-432D-97A6-C382478E8793}" name="Probability_Pct" dataDxfId="46"/>
    <tableColumn id="8" xr3:uid="{E26E9F35-44A1-45AF-86C6-DB1824517CC2}" name="EstimatedACR_USD" dataDxfId="45"/>
    <tableColumn id="9" xr3:uid="{7F9760F9-7546-4495-81BA-DA66B7E162DB}" name="EstimatedConsumptionStart" dataDxfId="44"/>
    <tableColumn id="10" xr3:uid="{E5DC46B9-48D9-4A2C-9877-0D964B112148}" name="EstimatedCloseDate" dataDxfId="43"/>
    <tableColumn id="11" xr3:uid="{07B21766-C4A2-44AF-8E1E-BEB3270A7E2B}" name="DealValue_USD" dataDxfId="42"/>
    <tableColumn id="12" xr3:uid="{4F158877-CD65-4D72-9A5E-32A24A72F9C1}" name="PrimaryRegion" dataDxfId="41"/>
    <tableColumn id="13" xr3:uid="{BD98683D-8BD7-447C-8EE2-BFD75338EB74}" name="SecondaryRegion" dataDxfId="40"/>
    <tableColumn id="14" xr3:uid="{3E0073C5-7276-4CDD-9D03-D377C57ED3AD}" name="OpportunityOwner" dataDxfId="39"/>
    <tableColumn id="15" xr3:uid="{C97D988C-0243-4130-B683-3E8EF15E43B8}" name="RiskFlag" dataDxfId="38"/>
    <tableColumn id="16" xr3:uid="{D56BEDA9-44EF-4A93-A9A5-AA611E088D27}" name="LastModified" dataDxfId="37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1C1B097-C365-49DE-B921-8E67CA8DD860}" name="tbl_Demand" displayName="tbl_Demand" ref="A1:P195" totalsRowShown="0" headerRowDxfId="36" dataDxfId="35">
  <autoFilter ref="A1:P195" xr:uid="{61C1B097-C365-49DE-B921-8E67CA8DD860}"/>
  <tableColumns count="16">
    <tableColumn id="1" xr3:uid="{50376427-9A12-4978-8BE4-3FC2102D7E97}" name="DemandID" dataDxfId="34"/>
    <tableColumn id="2" xr3:uid="{D1B01918-98A2-4825-9D89-99991EB3577F}" name="OpportunityID" dataDxfId="33"/>
    <tableColumn id="3" xr3:uid="{C41052F4-267F-4FE8-A8A6-86549410D991}" name="CustomerID" dataDxfId="32"/>
    <tableColumn id="4" xr3:uid="{AC8C1A28-F17A-4F9A-8AB3-615F8715D35E}" name="Region" dataDxfId="31"/>
    <tableColumn id="5" xr3:uid="{A22E81EC-B677-4D58-A643-5A21D4115400}" name="AvailabilityZone" dataDxfId="30"/>
    <tableColumn id="6" xr3:uid="{96CE51EB-B26D-4D15-9A28-B6811FB97F91}" name="VMSKU" dataDxfId="29"/>
    <tableColumn id="7" xr3:uid="{0C1DA0D7-3E50-48D9-B5C2-11C9B113CE9C}" name="vCPUsPerVM" dataDxfId="28"/>
    <tableColumn id="8" xr3:uid="{92EE7F8E-E83A-4647-9FE6-0A9D14AB7939}" name="RequiredVMCount" dataDxfId="27"/>
    <tableColumn id="9" xr3:uid="{14C35AD1-69F7-4E54-A81F-1C6C2D618106}" name="RequiredCores" dataDxfId="26">
      <calculatedColumnFormula>G2*H2</calculatedColumnFormula>
    </tableColumn>
    <tableColumn id="10" xr3:uid="{19A801F6-31F5-4481-B46B-24FBF0342C50}" name="RequiredMemoryGB" dataDxfId="25"/>
    <tableColumn id="11" xr3:uid="{29A59318-88D2-44B1-BA01-1C8270BF5705}" name="DeploymentWave" dataDxfId="24"/>
    <tableColumn id="12" xr3:uid="{08CA869F-DD1B-40D8-8889-BDE473DA2824}" name="RequiredByDate" dataDxfId="23"/>
    <tableColumn id="13" xr3:uid="{DCD9A095-5202-4776-BE4A-02FC2CF0EBDF}" name="WorkloadType" dataDxfId="22"/>
    <tableColumn id="14" xr3:uid="{86FE3CEC-6B9D-4C24-832F-F1D6C808D603}" name="IsZoneRedundant" dataDxfId="21"/>
    <tableColumn id="15" xr3:uid="{26D2DAE7-B367-4287-A24A-B95599789C6F}" name="Criticality" dataDxfId="20"/>
    <tableColumn id="16" xr3:uid="{BBF5F970-7C51-461B-BB4C-7DF455AE1475}" name="QuotaRequested" dataDxfId="19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7612CCD-CBD8-43AA-9350-F1E66F43259F}" name="tbl_DemandSummary" displayName="tbl_DemandSummary" ref="A1:G150" totalsRowShown="0" headerRowDxfId="18" dataDxfId="17">
  <autoFilter ref="A1:G150" xr:uid="{67612CCD-CBD8-43AA-9350-F1E66F43259F}"/>
  <tableColumns count="7">
    <tableColumn id="1" xr3:uid="{52285F74-6DD0-465B-9E18-ECA494C9ED86}" name="Region" dataDxfId="16"/>
    <tableColumn id="2" xr3:uid="{579B3881-A4B9-4FC8-8F39-09BF3227948C}" name="AvailabilityZone" dataDxfId="15"/>
    <tableColumn id="3" xr3:uid="{465C3263-88F7-4B00-8435-CA50F00275ED}" name="VMSKU" dataDxfId="14"/>
    <tableColumn id="4" xr3:uid="{F21B24F9-A2A2-482C-97A0-4C42F2F27C7F}" name="vCPUsPerVM" dataDxfId="13"/>
    <tableColumn id="5" xr3:uid="{175F5E01-DAF8-4911-A4F7-4AE3612AC692}" name="TotalRequiredVMCount" dataDxfId="12">
      <calculatedColumnFormula>SUMIFS(Opportunity_SKU_Demand!$H$2:$H$195,Opportunity_SKU_Demand!$D$2:$D$195,$A2,Opportunity_SKU_Demand!$E$2:$E$195,$B2,Opportunity_SKU_Demand!$F$2:$F$195,$C2)</calculatedColumnFormula>
    </tableColumn>
    <tableColumn id="6" xr3:uid="{B52A3279-CEAD-45F0-ADA1-97AE107F61B9}" name="TotalRequiredCores" dataDxfId="11">
      <calculatedColumnFormula>SUMIFS(Opportunity_SKU_Demand!$I$2:$I$195,Opportunity_SKU_Demand!$D$2:$D$195,$A2,Opportunity_SKU_Demand!$E$2:$E$195,$B2,Opportunity_SKU_Demand!$F$2:$F$195,$C2)</calculatedColumnFormula>
    </tableColumn>
    <tableColumn id="7" xr3:uid="{A79887BA-0654-4C59-9B5B-5BC742DC014D}" name="DemandLineCount" dataDxfId="10">
      <calculatedColumnFormula>COUNTIFS(Opportunity_SKU_Demand!$D$2:$D$195,$A2,Opportunity_SKU_Demand!$E$2:$E$195,$B2,Opportunity_SKU_Demand!$F$2:$F$195,$C2)</calculatedColumnFormula>
    </tableColumn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791B8EF-8E91-4BE2-910B-2D4B0B515E7A}" name="tbl_Reference" displayName="tbl_Reference" ref="A1:H85" totalsRowShown="0" headerRowDxfId="9" dataDxfId="8">
  <autoFilter ref="A1:H85" xr:uid="{D791B8EF-8E91-4BE2-910B-2D4B0B515E7A}"/>
  <tableColumns count="8">
    <tableColumn id="1" xr3:uid="{9451EC50-5683-4610-AEBC-5D8DBFF8C6A8}" name="RefType" dataDxfId="7"/>
    <tableColumn id="2" xr3:uid="{8A5E7B20-C834-4E6B-96DB-241563EFB0A8}" name="Value" dataDxfId="6"/>
    <tableColumn id="3" xr3:uid="{289217D7-BB6D-498E-8992-32CC9644A593}" name="ParentRegion" dataDxfId="5"/>
    <tableColumn id="4" xr3:uid="{0C8368A5-9E58-4C76-BDAD-2A9DC91E7B81}" name="vCPUs" dataDxfId="4"/>
    <tableColumn id="5" xr3:uid="{25BA0A8D-BDC6-489A-BBE6-E14D87FAABDA}" name="MemoryGB" dataDxfId="3"/>
    <tableColumn id="6" xr3:uid="{5C2EC3A5-5630-4AF3-BAA0-8A1600B9C1DA}" name="Family" dataDxfId="2"/>
    <tableColumn id="7" xr3:uid="{190DE7E6-BF43-4961-A7D4-1253F24B3B24}" name="IsGPU" dataDxfId="1"/>
    <tableColumn id="8" xr3:uid="{86898494-066B-46F4-8CA1-36FAF44A0324}" name="Note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30.7109375" customWidth="1"/>
    <col min="3" max="3" width="110.7109375" customWidth="1"/>
  </cols>
  <sheetData>
    <row r="1" spans="1:3" x14ac:dyDescent="0.25">
      <c r="A1" s="4" t="s">
        <v>0</v>
      </c>
      <c r="B1" s="4" t="s">
        <v>1</v>
      </c>
      <c r="C1" s="4" t="s">
        <v>2</v>
      </c>
    </row>
    <row r="2" spans="1:3" x14ac:dyDescent="0.25">
      <c r="A2" s="2" t="s">
        <v>3</v>
      </c>
      <c r="B2" s="2" t="s">
        <v>4</v>
      </c>
      <c r="C2" s="2" t="s">
        <v>5</v>
      </c>
    </row>
    <row r="3" spans="1:3" ht="45" x14ac:dyDescent="0.25">
      <c r="A3" s="2" t="s">
        <v>3</v>
      </c>
      <c r="B3" s="2" t="s">
        <v>6</v>
      </c>
      <c r="C3" s="2" t="s">
        <v>7</v>
      </c>
    </row>
    <row r="4" spans="1:3" ht="30" x14ac:dyDescent="0.25">
      <c r="A4" s="2" t="s">
        <v>3</v>
      </c>
      <c r="B4" s="2" t="s">
        <v>8</v>
      </c>
      <c r="C4" s="2" t="s">
        <v>9</v>
      </c>
    </row>
    <row r="5" spans="1:3" x14ac:dyDescent="0.25">
      <c r="A5" s="2" t="s">
        <v>3</v>
      </c>
      <c r="B5" s="2" t="s">
        <v>10</v>
      </c>
      <c r="C5" s="2" t="s">
        <v>11</v>
      </c>
    </row>
    <row r="6" spans="1:3" x14ac:dyDescent="0.25">
      <c r="A6" s="2" t="s">
        <v>3</v>
      </c>
      <c r="B6" s="2" t="s">
        <v>12</v>
      </c>
      <c r="C6" s="3">
        <v>46280</v>
      </c>
    </row>
    <row r="7" spans="1:3" x14ac:dyDescent="0.25">
      <c r="A7" s="2" t="s">
        <v>3</v>
      </c>
      <c r="B7" s="2" t="s">
        <v>13</v>
      </c>
      <c r="C7" s="2" t="s">
        <v>14</v>
      </c>
    </row>
    <row r="8" spans="1:3" ht="30" x14ac:dyDescent="0.25">
      <c r="A8" s="2" t="s">
        <v>3</v>
      </c>
      <c r="B8" s="2" t="s">
        <v>15</v>
      </c>
      <c r="C8" s="2" t="s">
        <v>16</v>
      </c>
    </row>
    <row r="9" spans="1:3" ht="30" x14ac:dyDescent="0.25">
      <c r="A9" s="2" t="s">
        <v>17</v>
      </c>
      <c r="B9" s="2" t="s">
        <v>18</v>
      </c>
      <c r="C9" s="2" t="s">
        <v>19</v>
      </c>
    </row>
    <row r="10" spans="1:3" ht="30" x14ac:dyDescent="0.25">
      <c r="A10" s="2" t="s">
        <v>17</v>
      </c>
      <c r="B10" s="2" t="s">
        <v>20</v>
      </c>
      <c r="C10" s="2" t="s">
        <v>21</v>
      </c>
    </row>
    <row r="11" spans="1:3" ht="30" x14ac:dyDescent="0.25">
      <c r="A11" s="2" t="s">
        <v>17</v>
      </c>
      <c r="B11" s="2" t="s">
        <v>22</v>
      </c>
      <c r="C11" s="2" t="s">
        <v>23</v>
      </c>
    </row>
    <row r="12" spans="1:3" ht="30" x14ac:dyDescent="0.25">
      <c r="A12" s="2" t="s">
        <v>17</v>
      </c>
      <c r="B12" s="2" t="s">
        <v>24</v>
      </c>
      <c r="C12" s="2" t="s">
        <v>25</v>
      </c>
    </row>
    <row r="13" spans="1:3" x14ac:dyDescent="0.25">
      <c r="A13" s="2" t="s">
        <v>26</v>
      </c>
      <c r="B13" s="2" t="s">
        <v>27</v>
      </c>
      <c r="C13" s="2" t="s">
        <v>28</v>
      </c>
    </row>
    <row r="14" spans="1:3" x14ac:dyDescent="0.25">
      <c r="A14" s="2" t="s">
        <v>26</v>
      </c>
      <c r="B14" s="2" t="s">
        <v>29</v>
      </c>
      <c r="C14" s="2" t="s">
        <v>30</v>
      </c>
    </row>
    <row r="15" spans="1:3" x14ac:dyDescent="0.25">
      <c r="A15" s="2" t="s">
        <v>26</v>
      </c>
      <c r="B15" s="2" t="s">
        <v>31</v>
      </c>
      <c r="C15" s="2" t="s">
        <v>32</v>
      </c>
    </row>
    <row r="16" spans="1:3" x14ac:dyDescent="0.25">
      <c r="A16" s="2" t="s">
        <v>26</v>
      </c>
      <c r="B16" s="2" t="s">
        <v>33</v>
      </c>
      <c r="C16" s="2" t="s">
        <v>34</v>
      </c>
    </row>
    <row r="17" spans="1:3" ht="30" x14ac:dyDescent="0.25">
      <c r="A17" s="2" t="s">
        <v>26</v>
      </c>
      <c r="B17" s="2" t="s">
        <v>35</v>
      </c>
      <c r="C17" s="2" t="s">
        <v>36</v>
      </c>
    </row>
    <row r="18" spans="1:3" x14ac:dyDescent="0.25">
      <c r="A18" s="2" t="s">
        <v>26</v>
      </c>
      <c r="B18" s="2" t="s">
        <v>37</v>
      </c>
      <c r="C18" s="2" t="s">
        <v>38</v>
      </c>
    </row>
    <row r="19" spans="1:3" x14ac:dyDescent="0.25">
      <c r="A19" s="2" t="s">
        <v>39</v>
      </c>
      <c r="B19" s="2" t="s">
        <v>40</v>
      </c>
      <c r="C19" s="2" t="s">
        <v>41</v>
      </c>
    </row>
    <row r="20" spans="1:3" x14ac:dyDescent="0.25">
      <c r="A20" s="2" t="s">
        <v>39</v>
      </c>
      <c r="B20" s="2" t="s">
        <v>42</v>
      </c>
      <c r="C20" s="2" t="s">
        <v>43</v>
      </c>
    </row>
    <row r="21" spans="1:3" x14ac:dyDescent="0.25">
      <c r="A21" s="2" t="s">
        <v>39</v>
      </c>
      <c r="B21" s="2" t="s">
        <v>44</v>
      </c>
      <c r="C21" s="2" t="s">
        <v>45</v>
      </c>
    </row>
    <row r="22" spans="1:3" x14ac:dyDescent="0.25">
      <c r="A22" s="2" t="s">
        <v>39</v>
      </c>
      <c r="B22" s="2" t="s">
        <v>46</v>
      </c>
      <c r="C22" s="2" t="s">
        <v>47</v>
      </c>
    </row>
    <row r="23" spans="1:3" x14ac:dyDescent="0.25">
      <c r="A23" s="2" t="s">
        <v>39</v>
      </c>
      <c r="B23" s="2" t="s">
        <v>48</v>
      </c>
      <c r="C23" s="2" t="s">
        <v>49</v>
      </c>
    </row>
    <row r="24" spans="1:3" x14ac:dyDescent="0.25">
      <c r="A24" s="2" t="s">
        <v>39</v>
      </c>
      <c r="B24" s="2" t="s">
        <v>50</v>
      </c>
      <c r="C24" s="2" t="s">
        <v>51</v>
      </c>
    </row>
    <row r="25" spans="1:3" x14ac:dyDescent="0.25">
      <c r="A25" s="2" t="s">
        <v>39</v>
      </c>
      <c r="B25" s="2" t="s">
        <v>52</v>
      </c>
      <c r="C25" s="2" t="s">
        <v>53</v>
      </c>
    </row>
    <row r="26" spans="1:3" x14ac:dyDescent="0.25">
      <c r="A26" s="2" t="s">
        <v>39</v>
      </c>
      <c r="B26" s="2" t="s">
        <v>54</v>
      </c>
      <c r="C26" s="2" t="s">
        <v>55</v>
      </c>
    </row>
    <row r="27" spans="1:3" ht="30" x14ac:dyDescent="0.25">
      <c r="A27" s="2" t="s">
        <v>56</v>
      </c>
      <c r="B27" s="2" t="s">
        <v>57</v>
      </c>
      <c r="C27" s="2" t="s">
        <v>58</v>
      </c>
    </row>
    <row r="28" spans="1:3" ht="30" x14ac:dyDescent="0.25">
      <c r="A28" s="2" t="s">
        <v>56</v>
      </c>
      <c r="B28" s="2" t="s">
        <v>40</v>
      </c>
      <c r="C28" s="2" t="s">
        <v>59</v>
      </c>
    </row>
    <row r="29" spans="1:3" ht="30" x14ac:dyDescent="0.25">
      <c r="A29" s="2" t="s">
        <v>56</v>
      </c>
      <c r="B29" s="2" t="s">
        <v>42</v>
      </c>
      <c r="C29" s="2" t="s">
        <v>60</v>
      </c>
    </row>
    <row r="30" spans="1:3" ht="30" x14ac:dyDescent="0.25">
      <c r="A30" s="2" t="s">
        <v>56</v>
      </c>
      <c r="B30" s="2" t="s">
        <v>61</v>
      </c>
      <c r="C30" s="2" t="s">
        <v>62</v>
      </c>
    </row>
    <row r="31" spans="1:3" ht="30" x14ac:dyDescent="0.25">
      <c r="A31" s="2" t="s">
        <v>56</v>
      </c>
      <c r="B31" s="2" t="s">
        <v>63</v>
      </c>
      <c r="C31" s="2" t="s">
        <v>64</v>
      </c>
    </row>
    <row r="32" spans="1:3" ht="30" x14ac:dyDescent="0.25">
      <c r="A32" s="2" t="s">
        <v>56</v>
      </c>
      <c r="B32" s="2" t="s">
        <v>65</v>
      </c>
      <c r="C32" s="2" t="s">
        <v>66</v>
      </c>
    </row>
    <row r="33" spans="1:3" ht="30" x14ac:dyDescent="0.25">
      <c r="A33" s="2" t="s">
        <v>56</v>
      </c>
      <c r="B33" s="2" t="s">
        <v>67</v>
      </c>
      <c r="C33" s="2" t="s">
        <v>68</v>
      </c>
    </row>
    <row r="34" spans="1:3" ht="30" x14ac:dyDescent="0.25">
      <c r="A34" s="2" t="s">
        <v>56</v>
      </c>
      <c r="B34" s="2" t="s">
        <v>69</v>
      </c>
      <c r="C34" s="2" t="s">
        <v>70</v>
      </c>
    </row>
    <row r="35" spans="1:3" ht="30" x14ac:dyDescent="0.25">
      <c r="A35" s="2" t="s">
        <v>56</v>
      </c>
      <c r="B35" s="2" t="s">
        <v>71</v>
      </c>
      <c r="C35" s="2" t="s">
        <v>72</v>
      </c>
    </row>
    <row r="36" spans="1:3" ht="30" x14ac:dyDescent="0.25">
      <c r="A36" s="2" t="s">
        <v>56</v>
      </c>
      <c r="B36" s="2" t="s">
        <v>73</v>
      </c>
      <c r="C36" s="2" t="s">
        <v>74</v>
      </c>
    </row>
    <row r="37" spans="1:3" ht="30" x14ac:dyDescent="0.25">
      <c r="A37" s="2" t="s">
        <v>56</v>
      </c>
      <c r="B37" s="2" t="s">
        <v>75</v>
      </c>
      <c r="C37" s="2" t="s">
        <v>76</v>
      </c>
    </row>
    <row r="38" spans="1:3" ht="30" x14ac:dyDescent="0.25">
      <c r="A38" s="2" t="s">
        <v>56</v>
      </c>
      <c r="B38" s="2" t="s">
        <v>77</v>
      </c>
      <c r="C38" s="2" t="s">
        <v>78</v>
      </c>
    </row>
    <row r="39" spans="1:3" ht="30" x14ac:dyDescent="0.25">
      <c r="A39" s="2" t="s">
        <v>56</v>
      </c>
      <c r="B39" s="2" t="s">
        <v>79</v>
      </c>
      <c r="C39" s="2" t="s">
        <v>80</v>
      </c>
    </row>
    <row r="40" spans="1:3" ht="30" x14ac:dyDescent="0.25">
      <c r="A40" s="2" t="s">
        <v>56</v>
      </c>
      <c r="B40" s="2" t="s">
        <v>81</v>
      </c>
      <c r="C40" s="2" t="s">
        <v>82</v>
      </c>
    </row>
    <row r="41" spans="1:3" ht="30" x14ac:dyDescent="0.25">
      <c r="A41" s="2" t="s">
        <v>56</v>
      </c>
      <c r="B41" s="2" t="s">
        <v>83</v>
      </c>
      <c r="C41" s="2" t="s">
        <v>84</v>
      </c>
    </row>
    <row r="42" spans="1:3" ht="30" x14ac:dyDescent="0.25">
      <c r="A42" s="2" t="s">
        <v>56</v>
      </c>
      <c r="B42" s="2" t="s">
        <v>85</v>
      </c>
      <c r="C42" s="2" t="s">
        <v>86</v>
      </c>
    </row>
    <row r="43" spans="1:3" ht="30" x14ac:dyDescent="0.25">
      <c r="A43" s="2" t="s">
        <v>87</v>
      </c>
      <c r="B43" s="2" t="s">
        <v>88</v>
      </c>
      <c r="C43" s="2" t="s">
        <v>89</v>
      </c>
    </row>
    <row r="44" spans="1:3" ht="30" x14ac:dyDescent="0.25">
      <c r="A44" s="2" t="s">
        <v>87</v>
      </c>
      <c r="B44" s="2" t="s">
        <v>57</v>
      </c>
      <c r="C44" s="2" t="s">
        <v>90</v>
      </c>
    </row>
    <row r="45" spans="1:3" ht="30" x14ac:dyDescent="0.25">
      <c r="A45" s="2" t="s">
        <v>87</v>
      </c>
      <c r="B45" s="2" t="s">
        <v>40</v>
      </c>
      <c r="C45" s="2" t="s">
        <v>59</v>
      </c>
    </row>
    <row r="46" spans="1:3" ht="30" x14ac:dyDescent="0.25">
      <c r="A46" s="2" t="s">
        <v>87</v>
      </c>
      <c r="B46" s="2" t="s">
        <v>91</v>
      </c>
      <c r="C46" s="2" t="s">
        <v>92</v>
      </c>
    </row>
    <row r="47" spans="1:3" ht="30" x14ac:dyDescent="0.25">
      <c r="A47" s="2" t="s">
        <v>87</v>
      </c>
      <c r="B47" s="2" t="s">
        <v>93</v>
      </c>
      <c r="C47" s="2" t="s">
        <v>94</v>
      </c>
    </row>
    <row r="48" spans="1:3" ht="30" x14ac:dyDescent="0.25">
      <c r="A48" s="2" t="s">
        <v>87</v>
      </c>
      <c r="B48" s="2" t="s">
        <v>95</v>
      </c>
      <c r="C48" s="2" t="s">
        <v>96</v>
      </c>
    </row>
    <row r="49" spans="1:3" ht="30" x14ac:dyDescent="0.25">
      <c r="A49" s="2" t="s">
        <v>87</v>
      </c>
      <c r="B49" s="2" t="s">
        <v>97</v>
      </c>
      <c r="C49" s="2" t="s">
        <v>98</v>
      </c>
    </row>
    <row r="50" spans="1:3" ht="30" x14ac:dyDescent="0.25">
      <c r="A50" s="2" t="s">
        <v>87</v>
      </c>
      <c r="B50" s="2" t="s">
        <v>99</v>
      </c>
      <c r="C50" s="2" t="s">
        <v>100</v>
      </c>
    </row>
    <row r="51" spans="1:3" ht="30" x14ac:dyDescent="0.25">
      <c r="A51" s="2" t="s">
        <v>87</v>
      </c>
      <c r="B51" s="2" t="s">
        <v>101</v>
      </c>
      <c r="C51" s="2" t="s">
        <v>102</v>
      </c>
    </row>
    <row r="52" spans="1:3" ht="30" x14ac:dyDescent="0.25">
      <c r="A52" s="2" t="s">
        <v>87</v>
      </c>
      <c r="B52" s="2" t="s">
        <v>103</v>
      </c>
      <c r="C52" s="2" t="s">
        <v>104</v>
      </c>
    </row>
    <row r="53" spans="1:3" ht="30" x14ac:dyDescent="0.25">
      <c r="A53" s="2" t="s">
        <v>87</v>
      </c>
      <c r="B53" s="2" t="s">
        <v>105</v>
      </c>
      <c r="C53" s="2" t="s">
        <v>106</v>
      </c>
    </row>
    <row r="54" spans="1:3" ht="30" x14ac:dyDescent="0.25">
      <c r="A54" s="2" t="s">
        <v>87</v>
      </c>
      <c r="B54" s="2" t="s">
        <v>107</v>
      </c>
      <c r="C54" s="2" t="s">
        <v>108</v>
      </c>
    </row>
    <row r="55" spans="1:3" ht="30" x14ac:dyDescent="0.25">
      <c r="A55" s="2" t="s">
        <v>87</v>
      </c>
      <c r="B55" s="2" t="s">
        <v>109</v>
      </c>
      <c r="C55" s="2" t="s">
        <v>110</v>
      </c>
    </row>
    <row r="56" spans="1:3" ht="30" x14ac:dyDescent="0.25">
      <c r="A56" s="2" t="s">
        <v>87</v>
      </c>
      <c r="B56" s="2" t="s">
        <v>111</v>
      </c>
      <c r="C56" s="2" t="s">
        <v>112</v>
      </c>
    </row>
    <row r="57" spans="1:3" ht="30" x14ac:dyDescent="0.25">
      <c r="A57" s="2" t="s">
        <v>87</v>
      </c>
      <c r="B57" s="2" t="s">
        <v>113</v>
      </c>
      <c r="C57" s="2" t="s">
        <v>114</v>
      </c>
    </row>
    <row r="58" spans="1:3" ht="30" x14ac:dyDescent="0.25">
      <c r="A58" s="2" t="s">
        <v>87</v>
      </c>
      <c r="B58" s="2" t="s">
        <v>115</v>
      </c>
      <c r="C58" s="2" t="s">
        <v>116</v>
      </c>
    </row>
    <row r="59" spans="1:3" ht="45" x14ac:dyDescent="0.25">
      <c r="A59" s="2" t="s">
        <v>117</v>
      </c>
      <c r="B59" s="2" t="s">
        <v>91</v>
      </c>
      <c r="C59" s="2" t="s">
        <v>118</v>
      </c>
    </row>
    <row r="60" spans="1:3" ht="45" x14ac:dyDescent="0.25">
      <c r="A60" s="2" t="s">
        <v>117</v>
      </c>
      <c r="B60" s="2" t="s">
        <v>93</v>
      </c>
      <c r="C60" s="2" t="s">
        <v>119</v>
      </c>
    </row>
    <row r="61" spans="1:3" ht="45" x14ac:dyDescent="0.25">
      <c r="A61" s="2" t="s">
        <v>117</v>
      </c>
      <c r="B61" s="2" t="s">
        <v>95</v>
      </c>
      <c r="C61" s="2" t="s">
        <v>120</v>
      </c>
    </row>
    <row r="62" spans="1:3" ht="45" x14ac:dyDescent="0.25">
      <c r="A62" s="2" t="s">
        <v>117</v>
      </c>
      <c r="B62" s="2" t="s">
        <v>97</v>
      </c>
      <c r="C62" s="2" t="s">
        <v>121</v>
      </c>
    </row>
    <row r="63" spans="1:3" ht="45" x14ac:dyDescent="0.25">
      <c r="A63" s="2" t="s">
        <v>117</v>
      </c>
      <c r="B63" s="2" t="s">
        <v>122</v>
      </c>
      <c r="C63" s="2" t="s">
        <v>123</v>
      </c>
    </row>
    <row r="64" spans="1:3" ht="45" x14ac:dyDescent="0.25">
      <c r="A64" s="2" t="s">
        <v>117</v>
      </c>
      <c r="B64" s="2" t="s">
        <v>124</v>
      </c>
      <c r="C64" s="2" t="s">
        <v>125</v>
      </c>
    </row>
    <row r="65" spans="1:3" ht="45" x14ac:dyDescent="0.25">
      <c r="A65" s="2" t="s">
        <v>117</v>
      </c>
      <c r="B65" s="2" t="s">
        <v>126</v>
      </c>
      <c r="C65" s="2" t="s">
        <v>127</v>
      </c>
    </row>
    <row r="66" spans="1:3" ht="30" x14ac:dyDescent="0.25">
      <c r="A66" s="2" t="s">
        <v>128</v>
      </c>
      <c r="B66" s="2" t="s">
        <v>129</v>
      </c>
      <c r="C66" s="2" t="s">
        <v>130</v>
      </c>
    </row>
    <row r="67" spans="1:3" ht="30" x14ac:dyDescent="0.25">
      <c r="A67" s="2" t="s">
        <v>128</v>
      </c>
      <c r="B67" s="2" t="s">
        <v>131</v>
      </c>
      <c r="C67" s="2" t="s">
        <v>132</v>
      </c>
    </row>
    <row r="68" spans="1:3" ht="30" x14ac:dyDescent="0.25">
      <c r="A68" s="2" t="s">
        <v>128</v>
      </c>
      <c r="B68" s="2" t="s">
        <v>133</v>
      </c>
      <c r="C68" s="2" t="s">
        <v>134</v>
      </c>
    </row>
    <row r="69" spans="1:3" ht="30" x14ac:dyDescent="0.25">
      <c r="A69" s="2" t="s">
        <v>128</v>
      </c>
      <c r="B69" s="2" t="s">
        <v>135</v>
      </c>
      <c r="C69" s="2" t="s">
        <v>136</v>
      </c>
    </row>
    <row r="70" spans="1:3" ht="30" x14ac:dyDescent="0.25">
      <c r="A70" s="2" t="s">
        <v>128</v>
      </c>
      <c r="B70" s="2" t="s">
        <v>137</v>
      </c>
      <c r="C70" s="2" t="s">
        <v>138</v>
      </c>
    </row>
    <row r="71" spans="1:3" ht="30" x14ac:dyDescent="0.25">
      <c r="A71" s="2" t="s">
        <v>128</v>
      </c>
      <c r="B71" s="2" t="s">
        <v>139</v>
      </c>
      <c r="C71" s="2" t="s">
        <v>140</v>
      </c>
    </row>
    <row r="72" spans="1:3" ht="30" x14ac:dyDescent="0.25">
      <c r="A72" s="2" t="s">
        <v>128</v>
      </c>
      <c r="B72" s="2" t="s">
        <v>141</v>
      </c>
      <c r="C72" s="2" t="s">
        <v>142</v>
      </c>
    </row>
    <row r="73" spans="1:3" ht="30" x14ac:dyDescent="0.25">
      <c r="A73" s="2" t="s">
        <v>128</v>
      </c>
      <c r="B73" s="2" t="s">
        <v>143</v>
      </c>
      <c r="C73" s="2" t="s">
        <v>144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5D642-45CA-4517-881E-EF8A6152A1FA}">
  <dimension ref="A1:H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.7109375" customWidth="1"/>
    <col min="2" max="2" width="30.7109375" customWidth="1"/>
    <col min="3" max="3" width="20.7109375" customWidth="1"/>
    <col min="4" max="4" width="12.7109375" customWidth="1"/>
    <col min="5" max="5" width="20.7109375" customWidth="1"/>
    <col min="6" max="7" width="22.7109375" customWidth="1"/>
    <col min="8" max="8" width="20.7109375" customWidth="1"/>
  </cols>
  <sheetData>
    <row r="1" spans="1:8" x14ac:dyDescent="0.25">
      <c r="A1" s="5" t="s">
        <v>40</v>
      </c>
      <c r="B1" s="5" t="s">
        <v>42</v>
      </c>
      <c r="C1" s="5" t="s">
        <v>44</v>
      </c>
      <c r="D1" s="5" t="s">
        <v>46</v>
      </c>
      <c r="E1" s="5" t="s">
        <v>48</v>
      </c>
      <c r="F1" s="5" t="s">
        <v>50</v>
      </c>
      <c r="G1" s="5" t="s">
        <v>52</v>
      </c>
      <c r="H1" s="5" t="s">
        <v>54</v>
      </c>
    </row>
    <row r="2" spans="1:8" x14ac:dyDescent="0.25">
      <c r="A2" s="1" t="s">
        <v>145</v>
      </c>
      <c r="B2" s="1" t="s">
        <v>146</v>
      </c>
      <c r="C2" s="1" t="s">
        <v>147</v>
      </c>
      <c r="D2" s="1" t="s">
        <v>148</v>
      </c>
      <c r="E2" s="1" t="s">
        <v>149</v>
      </c>
      <c r="F2" s="1" t="s">
        <v>150</v>
      </c>
      <c r="G2" s="6">
        <v>11800000</v>
      </c>
      <c r="H2" s="7">
        <v>46477</v>
      </c>
    </row>
    <row r="3" spans="1:8" x14ac:dyDescent="0.25">
      <c r="A3" s="1" t="s">
        <v>151</v>
      </c>
      <c r="B3" s="1" t="s">
        <v>152</v>
      </c>
      <c r="C3" s="1" t="s">
        <v>153</v>
      </c>
      <c r="D3" s="1" t="s">
        <v>148</v>
      </c>
      <c r="E3" s="1" t="s">
        <v>154</v>
      </c>
      <c r="F3" s="1" t="s">
        <v>155</v>
      </c>
      <c r="G3" s="6">
        <v>6450000</v>
      </c>
      <c r="H3" s="7">
        <v>46356</v>
      </c>
    </row>
    <row r="4" spans="1:8" x14ac:dyDescent="0.25">
      <c r="A4" s="1" t="s">
        <v>156</v>
      </c>
      <c r="B4" s="1" t="s">
        <v>157</v>
      </c>
      <c r="C4" s="1" t="s">
        <v>158</v>
      </c>
      <c r="D4" s="1" t="s">
        <v>148</v>
      </c>
      <c r="E4" s="1" t="s">
        <v>159</v>
      </c>
      <c r="F4" s="1" t="s">
        <v>160</v>
      </c>
      <c r="G4" s="6">
        <v>8900000</v>
      </c>
      <c r="H4" s="7">
        <v>46568</v>
      </c>
    </row>
    <row r="5" spans="1:8" x14ac:dyDescent="0.25">
      <c r="A5" s="1" t="s">
        <v>161</v>
      </c>
      <c r="B5" s="1" t="s">
        <v>162</v>
      </c>
      <c r="C5" s="1" t="s">
        <v>163</v>
      </c>
      <c r="D5" s="1" t="s">
        <v>164</v>
      </c>
      <c r="E5" s="1" t="s">
        <v>165</v>
      </c>
      <c r="F5" s="1" t="s">
        <v>166</v>
      </c>
      <c r="G5" s="6">
        <v>1750000</v>
      </c>
      <c r="H5" s="7">
        <v>46418</v>
      </c>
    </row>
    <row r="6" spans="1:8" x14ac:dyDescent="0.25">
      <c r="A6" s="1" t="s">
        <v>167</v>
      </c>
      <c r="B6" s="1" t="s">
        <v>168</v>
      </c>
      <c r="C6" s="1" t="s">
        <v>169</v>
      </c>
      <c r="D6" s="1" t="s">
        <v>148</v>
      </c>
      <c r="E6" s="1" t="s">
        <v>170</v>
      </c>
      <c r="F6" s="1" t="s">
        <v>171</v>
      </c>
      <c r="G6" s="6">
        <v>9600000</v>
      </c>
      <c r="H6" s="7">
        <v>46387</v>
      </c>
    </row>
    <row r="7" spans="1:8" x14ac:dyDescent="0.25">
      <c r="A7" s="1" t="s">
        <v>172</v>
      </c>
      <c r="B7" s="1" t="s">
        <v>173</v>
      </c>
      <c r="C7" s="1" t="s">
        <v>174</v>
      </c>
      <c r="D7" s="1" t="s">
        <v>164</v>
      </c>
      <c r="E7" s="1" t="s">
        <v>175</v>
      </c>
      <c r="F7" s="1" t="s">
        <v>176</v>
      </c>
      <c r="G7" s="6">
        <v>1250000</v>
      </c>
      <c r="H7" s="7">
        <v>46630</v>
      </c>
    </row>
    <row r="8" spans="1:8" x14ac:dyDescent="0.25">
      <c r="A8" s="1" t="s">
        <v>177</v>
      </c>
      <c r="B8" s="1" t="s">
        <v>178</v>
      </c>
      <c r="C8" s="1" t="s">
        <v>179</v>
      </c>
      <c r="D8" s="1" t="s">
        <v>164</v>
      </c>
      <c r="E8" s="1" t="s">
        <v>180</v>
      </c>
      <c r="F8" s="1" t="s">
        <v>181</v>
      </c>
      <c r="G8" s="6">
        <v>930000</v>
      </c>
      <c r="H8" s="7">
        <v>46446</v>
      </c>
    </row>
    <row r="9" spans="1:8" x14ac:dyDescent="0.25">
      <c r="A9" s="1" t="s">
        <v>182</v>
      </c>
      <c r="B9" s="1" t="s">
        <v>183</v>
      </c>
      <c r="C9" s="1" t="s">
        <v>184</v>
      </c>
      <c r="D9" s="1" t="s">
        <v>148</v>
      </c>
      <c r="E9" s="1" t="s">
        <v>185</v>
      </c>
      <c r="F9" s="1" t="s">
        <v>186</v>
      </c>
      <c r="G9" s="6">
        <v>3400000</v>
      </c>
      <c r="H9" s="7">
        <v>46326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4ABCD-C91B-4B16-9551-1AE07541E998}">
  <dimension ref="A1:P41"/>
  <sheetViews>
    <sheetView tabSelected="1" workbookViewId="0">
      <pane ySplit="1" topLeftCell="A2" activePane="bottomLeft" state="frozen"/>
      <selection pane="bottomLeft" activeCell="G32" sqref="G32"/>
    </sheetView>
  </sheetViews>
  <sheetFormatPr defaultRowHeight="15" x14ac:dyDescent="0.25"/>
  <cols>
    <col min="1" max="1" width="18.42578125" bestFit="1" customWidth="1"/>
    <col min="2" max="2" width="16" bestFit="1" customWidth="1"/>
    <col min="3" max="3" width="24.28515625" bestFit="1" customWidth="1"/>
    <col min="4" max="4" width="40.5703125" bestFit="1" customWidth="1"/>
    <col min="5" max="5" width="23" bestFit="1" customWidth="1"/>
    <col min="6" max="6" width="11.5703125" bestFit="1" customWidth="1"/>
    <col min="7" max="7" width="19.140625" bestFit="1" customWidth="1"/>
    <col min="8" max="8" width="23" bestFit="1" customWidth="1"/>
    <col min="9" max="9" width="31" bestFit="1" customWidth="1"/>
    <col min="10" max="10" width="23.7109375" bestFit="1" customWidth="1"/>
    <col min="11" max="11" width="19.5703125" bestFit="1" customWidth="1"/>
    <col min="12" max="13" width="21.140625" bestFit="1" customWidth="1"/>
    <col min="14" max="14" width="22.7109375" bestFit="1" customWidth="1"/>
    <col min="15" max="15" width="12.7109375" bestFit="1" customWidth="1"/>
    <col min="16" max="16" width="17.28515625" bestFit="1" customWidth="1"/>
  </cols>
  <sheetData>
    <row r="1" spans="1:16" x14ac:dyDescent="0.25">
      <c r="A1" s="5" t="s">
        <v>57</v>
      </c>
      <c r="B1" s="5" t="s">
        <v>40</v>
      </c>
      <c r="C1" s="5" t="s">
        <v>42</v>
      </c>
      <c r="D1" s="5" t="s">
        <v>61</v>
      </c>
      <c r="E1" s="5" t="s">
        <v>63</v>
      </c>
      <c r="F1" s="5" t="s">
        <v>65</v>
      </c>
      <c r="G1" s="5" t="s">
        <v>67</v>
      </c>
      <c r="H1" s="5" t="s">
        <v>69</v>
      </c>
      <c r="I1" s="5" t="s">
        <v>71</v>
      </c>
      <c r="J1" s="5" t="s">
        <v>73</v>
      </c>
      <c r="K1" s="5" t="s">
        <v>75</v>
      </c>
      <c r="L1" s="5" t="s">
        <v>77</v>
      </c>
      <c r="M1" s="5" t="s">
        <v>79</v>
      </c>
      <c r="N1" s="5" t="s">
        <v>81</v>
      </c>
      <c r="O1" s="5" t="s">
        <v>83</v>
      </c>
      <c r="P1" s="5" t="s">
        <v>85</v>
      </c>
    </row>
    <row r="2" spans="1:16" x14ac:dyDescent="0.25">
      <c r="A2" s="1" t="s">
        <v>187</v>
      </c>
      <c r="B2" s="1" t="s">
        <v>145</v>
      </c>
      <c r="C2" s="1" t="s">
        <v>146</v>
      </c>
      <c r="D2" s="1" t="s">
        <v>188</v>
      </c>
      <c r="E2" s="1" t="s">
        <v>189</v>
      </c>
      <c r="F2" s="1" t="s">
        <v>190</v>
      </c>
      <c r="G2" s="8">
        <v>100</v>
      </c>
      <c r="H2" s="6">
        <v>1900000</v>
      </c>
      <c r="I2" s="7">
        <v>46401</v>
      </c>
      <c r="J2" s="7">
        <v>46358</v>
      </c>
      <c r="K2" s="6">
        <v>4180000</v>
      </c>
      <c r="L2" s="1" t="s">
        <v>191</v>
      </c>
      <c r="M2" s="1" t="s">
        <v>192</v>
      </c>
      <c r="N2" s="1" t="s">
        <v>154</v>
      </c>
      <c r="O2" s="1" t="s">
        <v>193</v>
      </c>
      <c r="P2" s="7">
        <v>46262</v>
      </c>
    </row>
    <row r="3" spans="1:16" x14ac:dyDescent="0.25">
      <c r="A3" s="1" t="s">
        <v>200</v>
      </c>
      <c r="B3" s="1" t="s">
        <v>145</v>
      </c>
      <c r="C3" s="1" t="s">
        <v>146</v>
      </c>
      <c r="D3" s="1" t="s">
        <v>201</v>
      </c>
      <c r="E3" s="1" t="s">
        <v>196</v>
      </c>
      <c r="F3" s="1" t="s">
        <v>190</v>
      </c>
      <c r="G3" s="8">
        <v>100</v>
      </c>
      <c r="H3" s="6">
        <v>180000</v>
      </c>
      <c r="I3" s="7">
        <v>46549</v>
      </c>
      <c r="J3" s="7">
        <v>46461</v>
      </c>
      <c r="K3" s="6">
        <v>503999</v>
      </c>
      <c r="L3" s="1" t="s">
        <v>198</v>
      </c>
      <c r="M3" s="1" t="s">
        <v>202</v>
      </c>
      <c r="N3" s="1" t="s">
        <v>165</v>
      </c>
      <c r="O3" s="1" t="s">
        <v>203</v>
      </c>
      <c r="P3" s="7">
        <v>46253</v>
      </c>
    </row>
    <row r="4" spans="1:16" x14ac:dyDescent="0.25">
      <c r="A4" s="1" t="s">
        <v>219</v>
      </c>
      <c r="B4" s="1" t="s">
        <v>151</v>
      </c>
      <c r="C4" s="1" t="s">
        <v>152</v>
      </c>
      <c r="D4" s="1" t="s">
        <v>220</v>
      </c>
      <c r="E4" s="1" t="s">
        <v>196</v>
      </c>
      <c r="F4" s="1" t="s">
        <v>190</v>
      </c>
      <c r="G4" s="8">
        <v>100</v>
      </c>
      <c r="H4" s="6">
        <v>3100000</v>
      </c>
      <c r="I4" s="7">
        <v>46498</v>
      </c>
      <c r="J4" s="7">
        <v>46384</v>
      </c>
      <c r="K4" s="6">
        <v>8680000</v>
      </c>
      <c r="L4" s="1" t="s">
        <v>192</v>
      </c>
      <c r="M4" s="1" t="s">
        <v>198</v>
      </c>
      <c r="N4" s="1" t="s">
        <v>149</v>
      </c>
      <c r="O4" s="1" t="s">
        <v>203</v>
      </c>
      <c r="P4" s="7">
        <v>46274</v>
      </c>
    </row>
    <row r="5" spans="1:16" x14ac:dyDescent="0.25">
      <c r="A5" s="1" t="s">
        <v>225</v>
      </c>
      <c r="B5" s="1" t="s">
        <v>151</v>
      </c>
      <c r="C5" s="1" t="s">
        <v>152</v>
      </c>
      <c r="D5" s="1" t="s">
        <v>226</v>
      </c>
      <c r="E5" s="1" t="s">
        <v>196</v>
      </c>
      <c r="F5" s="1" t="s">
        <v>190</v>
      </c>
      <c r="G5" s="8">
        <v>100</v>
      </c>
      <c r="H5" s="6">
        <v>880000</v>
      </c>
      <c r="I5" s="7">
        <v>46498</v>
      </c>
      <c r="J5" s="7">
        <v>46452</v>
      </c>
      <c r="K5" s="6">
        <v>2640000</v>
      </c>
      <c r="L5" s="1" t="s">
        <v>214</v>
      </c>
      <c r="M5" s="1" t="s">
        <v>198</v>
      </c>
      <c r="N5" s="1" t="s">
        <v>159</v>
      </c>
      <c r="O5" s="1" t="s">
        <v>218</v>
      </c>
      <c r="P5" s="7">
        <v>46273</v>
      </c>
    </row>
    <row r="6" spans="1:16" x14ac:dyDescent="0.25">
      <c r="A6" s="1" t="s">
        <v>252</v>
      </c>
      <c r="B6" s="1" t="s">
        <v>167</v>
      </c>
      <c r="C6" s="1" t="s">
        <v>168</v>
      </c>
      <c r="D6" s="1" t="s">
        <v>253</v>
      </c>
      <c r="E6" s="1" t="s">
        <v>196</v>
      </c>
      <c r="F6" s="1" t="s">
        <v>190</v>
      </c>
      <c r="G6" s="8">
        <v>100</v>
      </c>
      <c r="H6" s="6">
        <v>1900000</v>
      </c>
      <c r="I6" s="7">
        <v>46448</v>
      </c>
      <c r="J6" s="7">
        <v>46337</v>
      </c>
      <c r="K6" s="6">
        <v>4750000</v>
      </c>
      <c r="L6" s="1" t="s">
        <v>213</v>
      </c>
      <c r="M6" s="1" t="s">
        <v>235</v>
      </c>
      <c r="N6" s="1" t="s">
        <v>180</v>
      </c>
      <c r="O6" s="1" t="s">
        <v>203</v>
      </c>
      <c r="P6" s="7">
        <v>46268</v>
      </c>
    </row>
    <row r="7" spans="1:16" x14ac:dyDescent="0.25">
      <c r="A7" s="1" t="s">
        <v>262</v>
      </c>
      <c r="B7" s="1" t="s">
        <v>167</v>
      </c>
      <c r="C7" s="1" t="s">
        <v>168</v>
      </c>
      <c r="D7" s="1" t="s">
        <v>263</v>
      </c>
      <c r="E7" s="1" t="s">
        <v>189</v>
      </c>
      <c r="F7" s="1" t="s">
        <v>190</v>
      </c>
      <c r="G7" s="8">
        <v>100</v>
      </c>
      <c r="H7" s="6">
        <v>1480000</v>
      </c>
      <c r="I7" s="7">
        <v>46618</v>
      </c>
      <c r="J7" s="7">
        <v>46541</v>
      </c>
      <c r="K7" s="6">
        <v>4143999</v>
      </c>
      <c r="L7" s="1" t="s">
        <v>214</v>
      </c>
      <c r="M7" s="1" t="s">
        <v>235</v>
      </c>
      <c r="N7" s="1" t="s">
        <v>165</v>
      </c>
      <c r="O7" s="1" t="s">
        <v>203</v>
      </c>
      <c r="P7" s="7">
        <v>46247</v>
      </c>
    </row>
    <row r="8" spans="1:16" x14ac:dyDescent="0.25">
      <c r="A8" s="1" t="s">
        <v>278</v>
      </c>
      <c r="B8" s="1" t="s">
        <v>177</v>
      </c>
      <c r="C8" s="1" t="s">
        <v>178</v>
      </c>
      <c r="D8" s="1" t="s">
        <v>279</v>
      </c>
      <c r="E8" s="1" t="s">
        <v>223</v>
      </c>
      <c r="F8" s="1" t="s">
        <v>190</v>
      </c>
      <c r="G8" s="8">
        <v>100</v>
      </c>
      <c r="H8" s="6">
        <v>560000</v>
      </c>
      <c r="I8" s="7">
        <v>46309</v>
      </c>
      <c r="J8" s="7">
        <v>46275</v>
      </c>
      <c r="K8" s="6">
        <v>1400000</v>
      </c>
      <c r="L8" s="1" t="s">
        <v>210</v>
      </c>
      <c r="M8" s="1" t="s">
        <v>235</v>
      </c>
      <c r="N8" s="1" t="s">
        <v>165</v>
      </c>
      <c r="O8" s="1" t="s">
        <v>193</v>
      </c>
      <c r="P8" s="7">
        <v>46240</v>
      </c>
    </row>
    <row r="9" spans="1:16" x14ac:dyDescent="0.25">
      <c r="A9" s="1" t="s">
        <v>280</v>
      </c>
      <c r="B9" s="1" t="s">
        <v>182</v>
      </c>
      <c r="C9" s="1" t="s">
        <v>183</v>
      </c>
      <c r="D9" s="1" t="s">
        <v>281</v>
      </c>
      <c r="E9" s="1" t="s">
        <v>196</v>
      </c>
      <c r="F9" s="1" t="s">
        <v>190</v>
      </c>
      <c r="G9" s="8">
        <v>100</v>
      </c>
      <c r="H9" s="6">
        <v>560000</v>
      </c>
      <c r="I9" s="7">
        <v>46540</v>
      </c>
      <c r="J9" s="7">
        <v>46449</v>
      </c>
      <c r="K9" s="6">
        <v>1400000</v>
      </c>
      <c r="L9" s="1" t="s">
        <v>224</v>
      </c>
      <c r="M9" s="1" t="s">
        <v>198</v>
      </c>
      <c r="N9" s="1" t="s">
        <v>170</v>
      </c>
      <c r="O9" s="1" t="s">
        <v>203</v>
      </c>
      <c r="P9" s="7">
        <v>46256</v>
      </c>
    </row>
    <row r="10" spans="1:16" x14ac:dyDescent="0.25">
      <c r="A10" s="1" t="s">
        <v>227</v>
      </c>
      <c r="B10" s="1" t="s">
        <v>151</v>
      </c>
      <c r="C10" s="1" t="s">
        <v>152</v>
      </c>
      <c r="D10" s="1" t="s">
        <v>228</v>
      </c>
      <c r="E10" s="1" t="s">
        <v>196</v>
      </c>
      <c r="F10" s="1" t="s">
        <v>229</v>
      </c>
      <c r="G10" s="8">
        <v>85</v>
      </c>
      <c r="H10" s="6">
        <v>1480000</v>
      </c>
      <c r="I10" s="7">
        <v>46323</v>
      </c>
      <c r="J10" s="7">
        <v>46263</v>
      </c>
      <c r="K10" s="6">
        <v>4143999</v>
      </c>
      <c r="L10" s="1" t="s">
        <v>198</v>
      </c>
      <c r="M10" s="1" t="s">
        <v>217</v>
      </c>
      <c r="N10" s="1" t="s">
        <v>165</v>
      </c>
      <c r="O10" s="1" t="s">
        <v>203</v>
      </c>
      <c r="P10" s="7">
        <v>46274</v>
      </c>
    </row>
    <row r="11" spans="1:16" x14ac:dyDescent="0.25">
      <c r="A11" s="1" t="s">
        <v>254</v>
      </c>
      <c r="B11" s="1" t="s">
        <v>167</v>
      </c>
      <c r="C11" s="1" t="s">
        <v>168</v>
      </c>
      <c r="D11" s="1" t="s">
        <v>255</v>
      </c>
      <c r="E11" s="1" t="s">
        <v>196</v>
      </c>
      <c r="F11" s="1" t="s">
        <v>229</v>
      </c>
      <c r="G11" s="8">
        <v>85</v>
      </c>
      <c r="H11" s="6">
        <v>3100000</v>
      </c>
      <c r="I11" s="7">
        <v>46382</v>
      </c>
      <c r="J11" s="7">
        <v>46352</v>
      </c>
      <c r="K11" s="6">
        <v>9300000</v>
      </c>
      <c r="L11" s="1" t="s">
        <v>192</v>
      </c>
      <c r="M11" s="1" t="s">
        <v>191</v>
      </c>
      <c r="N11" s="1" t="s">
        <v>185</v>
      </c>
      <c r="O11" s="1" t="s">
        <v>199</v>
      </c>
      <c r="P11" s="7">
        <v>46238</v>
      </c>
    </row>
    <row r="12" spans="1:16" x14ac:dyDescent="0.25">
      <c r="A12" s="1" t="s">
        <v>260</v>
      </c>
      <c r="B12" s="1" t="s">
        <v>167</v>
      </c>
      <c r="C12" s="1" t="s">
        <v>168</v>
      </c>
      <c r="D12" s="1" t="s">
        <v>261</v>
      </c>
      <c r="E12" s="1" t="s">
        <v>196</v>
      </c>
      <c r="F12" s="1" t="s">
        <v>229</v>
      </c>
      <c r="G12" s="8">
        <v>85</v>
      </c>
      <c r="H12" s="6">
        <v>2400000</v>
      </c>
      <c r="I12" s="7">
        <v>46521</v>
      </c>
      <c r="J12" s="7">
        <v>46424</v>
      </c>
      <c r="K12" s="6">
        <v>7200000</v>
      </c>
      <c r="L12" s="1" t="s">
        <v>192</v>
      </c>
      <c r="M12" s="1" t="s">
        <v>198</v>
      </c>
      <c r="N12" s="1" t="s">
        <v>159</v>
      </c>
      <c r="O12" s="1" t="s">
        <v>193</v>
      </c>
      <c r="P12" s="7">
        <v>46266</v>
      </c>
    </row>
    <row r="13" spans="1:16" x14ac:dyDescent="0.25">
      <c r="A13" s="1" t="s">
        <v>266</v>
      </c>
      <c r="B13" s="1" t="s">
        <v>172</v>
      </c>
      <c r="C13" s="1" t="s">
        <v>173</v>
      </c>
      <c r="D13" s="1" t="s">
        <v>267</v>
      </c>
      <c r="E13" s="1" t="s">
        <v>196</v>
      </c>
      <c r="F13" s="1" t="s">
        <v>229</v>
      </c>
      <c r="G13" s="8">
        <v>85</v>
      </c>
      <c r="H13" s="6">
        <v>1150000</v>
      </c>
      <c r="I13" s="7">
        <v>46381</v>
      </c>
      <c r="J13" s="7">
        <v>46265</v>
      </c>
      <c r="K13" s="6">
        <v>2530000</v>
      </c>
      <c r="L13" s="1" t="s">
        <v>224</v>
      </c>
      <c r="M13" s="1" t="s">
        <v>202</v>
      </c>
      <c r="N13" s="1" t="s">
        <v>175</v>
      </c>
      <c r="O13" s="1" t="s">
        <v>203</v>
      </c>
      <c r="P13" s="7">
        <v>46251</v>
      </c>
    </row>
    <row r="14" spans="1:16" x14ac:dyDescent="0.25">
      <c r="A14" s="1" t="s">
        <v>270</v>
      </c>
      <c r="B14" s="1" t="s">
        <v>172</v>
      </c>
      <c r="C14" s="1" t="s">
        <v>173</v>
      </c>
      <c r="D14" s="1" t="s">
        <v>271</v>
      </c>
      <c r="E14" s="1" t="s">
        <v>196</v>
      </c>
      <c r="F14" s="1" t="s">
        <v>229</v>
      </c>
      <c r="G14" s="8">
        <v>85</v>
      </c>
      <c r="H14" s="6">
        <v>420000</v>
      </c>
      <c r="I14" s="7">
        <v>46376</v>
      </c>
      <c r="J14" s="7">
        <v>46268</v>
      </c>
      <c r="K14" s="6">
        <v>1260000</v>
      </c>
      <c r="L14" s="1" t="s">
        <v>192</v>
      </c>
      <c r="M14" s="1" t="s">
        <v>213</v>
      </c>
      <c r="N14" s="1" t="s">
        <v>185</v>
      </c>
      <c r="O14" s="1" t="s">
        <v>199</v>
      </c>
      <c r="P14" s="7">
        <v>46279</v>
      </c>
    </row>
    <row r="15" spans="1:16" x14ac:dyDescent="0.25">
      <c r="A15" s="1" t="s">
        <v>282</v>
      </c>
      <c r="B15" s="1" t="s">
        <v>182</v>
      </c>
      <c r="C15" s="1" t="s">
        <v>183</v>
      </c>
      <c r="D15" s="1" t="s">
        <v>283</v>
      </c>
      <c r="E15" s="1" t="s">
        <v>196</v>
      </c>
      <c r="F15" s="1" t="s">
        <v>229</v>
      </c>
      <c r="G15" s="8">
        <v>85</v>
      </c>
      <c r="H15" s="6">
        <v>1480000</v>
      </c>
      <c r="I15" s="7">
        <v>46649</v>
      </c>
      <c r="J15" s="7">
        <v>46608</v>
      </c>
      <c r="K15" s="6">
        <v>3700000</v>
      </c>
      <c r="L15" s="1" t="s">
        <v>198</v>
      </c>
      <c r="M15" s="1" t="s">
        <v>213</v>
      </c>
      <c r="N15" s="1" t="s">
        <v>175</v>
      </c>
      <c r="O15" s="1" t="s">
        <v>218</v>
      </c>
      <c r="P15" s="7">
        <v>46267</v>
      </c>
    </row>
    <row r="16" spans="1:16" x14ac:dyDescent="0.25">
      <c r="A16" s="1" t="s">
        <v>194</v>
      </c>
      <c r="B16" s="1" t="s">
        <v>145</v>
      </c>
      <c r="C16" s="1" t="s">
        <v>146</v>
      </c>
      <c r="D16" s="1" t="s">
        <v>195</v>
      </c>
      <c r="E16" s="1" t="s">
        <v>196</v>
      </c>
      <c r="F16" s="1" t="s">
        <v>197</v>
      </c>
      <c r="G16" s="8">
        <v>25</v>
      </c>
      <c r="H16" s="6">
        <v>1480000</v>
      </c>
      <c r="I16" s="7">
        <v>46377</v>
      </c>
      <c r="J16" s="7">
        <v>46342</v>
      </c>
      <c r="K16" s="6">
        <v>4440000</v>
      </c>
      <c r="L16" s="1" t="s">
        <v>192</v>
      </c>
      <c r="M16" s="1" t="s">
        <v>198</v>
      </c>
      <c r="N16" s="1" t="s">
        <v>159</v>
      </c>
      <c r="O16" s="1" t="s">
        <v>199</v>
      </c>
      <c r="P16" s="7">
        <v>46264</v>
      </c>
    </row>
    <row r="17" spans="1:16" x14ac:dyDescent="0.25">
      <c r="A17" s="1" t="s">
        <v>215</v>
      </c>
      <c r="B17" s="1" t="s">
        <v>151</v>
      </c>
      <c r="C17" s="1" t="s">
        <v>152</v>
      </c>
      <c r="D17" s="1" t="s">
        <v>216</v>
      </c>
      <c r="E17" s="1" t="s">
        <v>189</v>
      </c>
      <c r="F17" s="1" t="s">
        <v>197</v>
      </c>
      <c r="G17" s="8">
        <v>25</v>
      </c>
      <c r="H17" s="6">
        <v>1480000</v>
      </c>
      <c r="I17" s="7">
        <v>46451</v>
      </c>
      <c r="J17" s="7">
        <v>46358</v>
      </c>
      <c r="K17" s="6">
        <v>3700000</v>
      </c>
      <c r="L17" s="1" t="s">
        <v>191</v>
      </c>
      <c r="M17" s="1" t="s">
        <v>217</v>
      </c>
      <c r="N17" s="1" t="s">
        <v>185</v>
      </c>
      <c r="O17" s="1" t="s">
        <v>218</v>
      </c>
      <c r="P17" s="7">
        <v>46279</v>
      </c>
    </row>
    <row r="18" spans="1:16" x14ac:dyDescent="0.25">
      <c r="A18" s="1" t="s">
        <v>221</v>
      </c>
      <c r="B18" s="1" t="s">
        <v>151</v>
      </c>
      <c r="C18" s="1" t="s">
        <v>152</v>
      </c>
      <c r="D18" s="1" t="s">
        <v>222</v>
      </c>
      <c r="E18" s="1" t="s">
        <v>223</v>
      </c>
      <c r="F18" s="1" t="s">
        <v>197</v>
      </c>
      <c r="G18" s="8">
        <v>25</v>
      </c>
      <c r="H18" s="6">
        <v>2400000</v>
      </c>
      <c r="I18" s="7">
        <v>46323</v>
      </c>
      <c r="J18" s="7">
        <v>46271</v>
      </c>
      <c r="K18" s="6">
        <v>6720000</v>
      </c>
      <c r="L18" s="1" t="s">
        <v>217</v>
      </c>
      <c r="M18" s="1" t="s">
        <v>224</v>
      </c>
      <c r="N18" s="1" t="s">
        <v>154</v>
      </c>
      <c r="O18" s="1" t="s">
        <v>218</v>
      </c>
      <c r="P18" s="7">
        <v>46245</v>
      </c>
    </row>
    <row r="19" spans="1:16" x14ac:dyDescent="0.25">
      <c r="A19" s="1" t="s">
        <v>230</v>
      </c>
      <c r="B19" s="1" t="s">
        <v>156</v>
      </c>
      <c r="C19" s="1" t="s">
        <v>157</v>
      </c>
      <c r="D19" s="1" t="s">
        <v>231</v>
      </c>
      <c r="E19" s="1" t="s">
        <v>189</v>
      </c>
      <c r="F19" s="1" t="s">
        <v>197</v>
      </c>
      <c r="G19" s="8">
        <v>25</v>
      </c>
      <c r="H19" s="6">
        <v>420000</v>
      </c>
      <c r="I19" s="7">
        <v>46514</v>
      </c>
      <c r="J19" s="7">
        <v>46398</v>
      </c>
      <c r="K19" s="6">
        <v>1050000</v>
      </c>
      <c r="L19" s="1" t="s">
        <v>198</v>
      </c>
      <c r="M19" s="1" t="s">
        <v>210</v>
      </c>
      <c r="N19" s="1" t="s">
        <v>170</v>
      </c>
      <c r="O19" s="1" t="s">
        <v>203</v>
      </c>
      <c r="P19" s="7">
        <v>46261</v>
      </c>
    </row>
    <row r="20" spans="1:16" x14ac:dyDescent="0.25">
      <c r="A20" s="1" t="s">
        <v>236</v>
      </c>
      <c r="B20" s="1" t="s">
        <v>156</v>
      </c>
      <c r="C20" s="1" t="s">
        <v>157</v>
      </c>
      <c r="D20" s="1" t="s">
        <v>237</v>
      </c>
      <c r="E20" s="1" t="s">
        <v>196</v>
      </c>
      <c r="F20" s="1" t="s">
        <v>197</v>
      </c>
      <c r="G20" s="8">
        <v>25</v>
      </c>
      <c r="H20" s="6">
        <v>260000</v>
      </c>
      <c r="I20" s="7">
        <v>46513</v>
      </c>
      <c r="J20" s="7">
        <v>46480</v>
      </c>
      <c r="K20" s="6">
        <v>832000</v>
      </c>
      <c r="L20" s="1" t="s">
        <v>198</v>
      </c>
      <c r="M20" s="1" t="s">
        <v>210</v>
      </c>
      <c r="N20" s="1" t="s">
        <v>180</v>
      </c>
      <c r="O20" s="1" t="s">
        <v>218</v>
      </c>
      <c r="P20" s="7">
        <v>46262</v>
      </c>
    </row>
    <row r="21" spans="1:16" x14ac:dyDescent="0.25">
      <c r="A21" s="1" t="s">
        <v>246</v>
      </c>
      <c r="B21" s="1" t="s">
        <v>161</v>
      </c>
      <c r="C21" s="1" t="s">
        <v>162</v>
      </c>
      <c r="D21" s="1" t="s">
        <v>247</v>
      </c>
      <c r="E21" s="1" t="s">
        <v>189</v>
      </c>
      <c r="F21" s="1" t="s">
        <v>197</v>
      </c>
      <c r="G21" s="8">
        <v>25</v>
      </c>
      <c r="H21" s="6">
        <v>1900000</v>
      </c>
      <c r="I21" s="7">
        <v>46570</v>
      </c>
      <c r="J21" s="7">
        <v>46493</v>
      </c>
      <c r="K21" s="6">
        <v>4750000</v>
      </c>
      <c r="L21" s="1" t="s">
        <v>217</v>
      </c>
      <c r="M21" s="1" t="s">
        <v>198</v>
      </c>
      <c r="N21" s="1" t="s">
        <v>165</v>
      </c>
      <c r="O21" s="1" t="s">
        <v>218</v>
      </c>
      <c r="P21" s="7">
        <v>46254</v>
      </c>
    </row>
    <row r="22" spans="1:16" x14ac:dyDescent="0.25">
      <c r="A22" s="1" t="s">
        <v>268</v>
      </c>
      <c r="B22" s="1" t="s">
        <v>172</v>
      </c>
      <c r="C22" s="1" t="s">
        <v>173</v>
      </c>
      <c r="D22" s="1" t="s">
        <v>269</v>
      </c>
      <c r="E22" s="1" t="s">
        <v>189</v>
      </c>
      <c r="F22" s="1" t="s">
        <v>197</v>
      </c>
      <c r="G22" s="8">
        <v>25</v>
      </c>
      <c r="H22" s="6">
        <v>1150000</v>
      </c>
      <c r="I22" s="7">
        <v>46632</v>
      </c>
      <c r="J22" s="7">
        <v>46592</v>
      </c>
      <c r="K22" s="6">
        <v>3450000</v>
      </c>
      <c r="L22" s="1" t="s">
        <v>217</v>
      </c>
      <c r="M22" s="1" t="s">
        <v>214</v>
      </c>
      <c r="N22" s="1" t="s">
        <v>180</v>
      </c>
      <c r="O22" s="1" t="s">
        <v>218</v>
      </c>
      <c r="P22" s="7">
        <v>46253</v>
      </c>
    </row>
    <row r="23" spans="1:16" x14ac:dyDescent="0.25">
      <c r="A23" s="1" t="s">
        <v>207</v>
      </c>
      <c r="B23" s="1" t="s">
        <v>145</v>
      </c>
      <c r="C23" s="1" t="s">
        <v>146</v>
      </c>
      <c r="D23" s="1" t="s">
        <v>208</v>
      </c>
      <c r="E23" s="1" t="s">
        <v>189</v>
      </c>
      <c r="F23" s="1" t="s">
        <v>209</v>
      </c>
      <c r="G23" s="8">
        <v>65</v>
      </c>
      <c r="H23" s="6">
        <v>340000</v>
      </c>
      <c r="I23" s="7">
        <v>46369</v>
      </c>
      <c r="J23" s="7">
        <v>46319</v>
      </c>
      <c r="K23" s="6">
        <v>951999</v>
      </c>
      <c r="L23" s="1" t="s">
        <v>192</v>
      </c>
      <c r="M23" s="1" t="s">
        <v>210</v>
      </c>
      <c r="N23" s="1" t="s">
        <v>175</v>
      </c>
      <c r="O23" s="1" t="s">
        <v>203</v>
      </c>
      <c r="P23" s="7">
        <v>46271</v>
      </c>
    </row>
    <row r="24" spans="1:16" x14ac:dyDescent="0.25">
      <c r="A24" s="1" t="s">
        <v>238</v>
      </c>
      <c r="B24" s="1" t="s">
        <v>156</v>
      </c>
      <c r="C24" s="1" t="s">
        <v>157</v>
      </c>
      <c r="D24" s="1" t="s">
        <v>239</v>
      </c>
      <c r="E24" s="1" t="s">
        <v>189</v>
      </c>
      <c r="F24" s="1" t="s">
        <v>209</v>
      </c>
      <c r="G24" s="8">
        <v>65</v>
      </c>
      <c r="H24" s="6">
        <v>2400000</v>
      </c>
      <c r="I24" s="7">
        <v>46297</v>
      </c>
      <c r="J24" s="7">
        <v>46225</v>
      </c>
      <c r="K24" s="6">
        <v>6720000</v>
      </c>
      <c r="L24" s="1" t="s">
        <v>191</v>
      </c>
      <c r="M24" s="1" t="s">
        <v>213</v>
      </c>
      <c r="N24" s="1" t="s">
        <v>185</v>
      </c>
      <c r="O24" s="1" t="s">
        <v>203</v>
      </c>
      <c r="P24" s="7">
        <v>46247</v>
      </c>
    </row>
    <row r="25" spans="1:16" x14ac:dyDescent="0.25">
      <c r="A25" s="1" t="s">
        <v>240</v>
      </c>
      <c r="B25" s="1" t="s">
        <v>156</v>
      </c>
      <c r="C25" s="1" t="s">
        <v>157</v>
      </c>
      <c r="D25" s="1" t="s">
        <v>241</v>
      </c>
      <c r="E25" s="1" t="s">
        <v>189</v>
      </c>
      <c r="F25" s="1" t="s">
        <v>209</v>
      </c>
      <c r="G25" s="8">
        <v>65</v>
      </c>
      <c r="H25" s="6">
        <v>260000</v>
      </c>
      <c r="I25" s="7">
        <v>46346</v>
      </c>
      <c r="J25" s="7">
        <v>46255</v>
      </c>
      <c r="K25" s="6">
        <v>780000</v>
      </c>
      <c r="L25" s="1" t="s">
        <v>202</v>
      </c>
      <c r="M25" s="1" t="s">
        <v>224</v>
      </c>
      <c r="N25" s="1" t="s">
        <v>149</v>
      </c>
      <c r="O25" s="1" t="s">
        <v>203</v>
      </c>
      <c r="P25" s="7">
        <v>46270</v>
      </c>
    </row>
    <row r="26" spans="1:16" x14ac:dyDescent="0.25">
      <c r="A26" s="1" t="s">
        <v>244</v>
      </c>
      <c r="B26" s="1" t="s">
        <v>161</v>
      </c>
      <c r="C26" s="1" t="s">
        <v>162</v>
      </c>
      <c r="D26" s="1" t="s">
        <v>245</v>
      </c>
      <c r="E26" s="1" t="s">
        <v>189</v>
      </c>
      <c r="F26" s="1" t="s">
        <v>209</v>
      </c>
      <c r="G26" s="8">
        <v>65</v>
      </c>
      <c r="H26" s="6">
        <v>420000</v>
      </c>
      <c r="I26" s="7">
        <v>46334</v>
      </c>
      <c r="J26" s="7">
        <v>46288</v>
      </c>
      <c r="K26" s="6">
        <v>1050000</v>
      </c>
      <c r="L26" s="1" t="s">
        <v>198</v>
      </c>
      <c r="M26" s="1" t="s">
        <v>235</v>
      </c>
      <c r="N26" s="1" t="s">
        <v>159</v>
      </c>
      <c r="O26" s="1" t="s">
        <v>203</v>
      </c>
      <c r="P26" s="7">
        <v>46238</v>
      </c>
    </row>
    <row r="27" spans="1:16" x14ac:dyDescent="0.25">
      <c r="A27" s="1" t="s">
        <v>248</v>
      </c>
      <c r="B27" s="1" t="s">
        <v>161</v>
      </c>
      <c r="C27" s="1" t="s">
        <v>162</v>
      </c>
      <c r="D27" s="1" t="s">
        <v>249</v>
      </c>
      <c r="E27" s="1" t="s">
        <v>196</v>
      </c>
      <c r="F27" s="1" t="s">
        <v>209</v>
      </c>
      <c r="G27" s="8">
        <v>65</v>
      </c>
      <c r="H27" s="6">
        <v>1150000</v>
      </c>
      <c r="I27" s="7">
        <v>46579</v>
      </c>
      <c r="J27" s="7">
        <v>46520</v>
      </c>
      <c r="K27" s="6">
        <v>3680000</v>
      </c>
      <c r="L27" s="1" t="s">
        <v>198</v>
      </c>
      <c r="M27" s="1" t="s">
        <v>202</v>
      </c>
      <c r="N27" s="1" t="s">
        <v>170</v>
      </c>
      <c r="O27" s="1" t="s">
        <v>193</v>
      </c>
      <c r="P27" s="7">
        <v>46252</v>
      </c>
    </row>
    <row r="28" spans="1:16" x14ac:dyDescent="0.25">
      <c r="A28" s="1" t="s">
        <v>276</v>
      </c>
      <c r="B28" s="1" t="s">
        <v>177</v>
      </c>
      <c r="C28" s="1" t="s">
        <v>178</v>
      </c>
      <c r="D28" s="1" t="s">
        <v>277</v>
      </c>
      <c r="E28" s="1" t="s">
        <v>189</v>
      </c>
      <c r="F28" s="1" t="s">
        <v>209</v>
      </c>
      <c r="G28" s="8">
        <v>65</v>
      </c>
      <c r="H28" s="6">
        <v>1480000</v>
      </c>
      <c r="I28" s="7">
        <v>46555</v>
      </c>
      <c r="J28" s="7">
        <v>46436</v>
      </c>
      <c r="K28" s="6">
        <v>4440000</v>
      </c>
      <c r="L28" s="1" t="s">
        <v>210</v>
      </c>
      <c r="M28" s="1" t="s">
        <v>191</v>
      </c>
      <c r="N28" s="1" t="s">
        <v>159</v>
      </c>
      <c r="O28" s="1" t="s">
        <v>203</v>
      </c>
      <c r="P28" s="7">
        <v>46253</v>
      </c>
    </row>
    <row r="29" spans="1:16" x14ac:dyDescent="0.25">
      <c r="A29" s="1" t="s">
        <v>284</v>
      </c>
      <c r="B29" s="1" t="s">
        <v>182</v>
      </c>
      <c r="C29" s="1" t="s">
        <v>183</v>
      </c>
      <c r="D29" s="1" t="s">
        <v>285</v>
      </c>
      <c r="E29" s="1" t="s">
        <v>189</v>
      </c>
      <c r="F29" s="1" t="s">
        <v>209</v>
      </c>
      <c r="G29" s="8">
        <v>65</v>
      </c>
      <c r="H29" s="6">
        <v>3100000</v>
      </c>
      <c r="I29" s="7">
        <v>46614</v>
      </c>
      <c r="J29" s="7">
        <v>46560</v>
      </c>
      <c r="K29" s="6">
        <v>8680000</v>
      </c>
      <c r="L29" s="1" t="s">
        <v>192</v>
      </c>
      <c r="M29" s="1" t="s">
        <v>191</v>
      </c>
      <c r="N29" s="1" t="s">
        <v>180</v>
      </c>
      <c r="O29" s="1" t="s">
        <v>203</v>
      </c>
      <c r="P29" s="7">
        <v>46261</v>
      </c>
    </row>
    <row r="30" spans="1:16" x14ac:dyDescent="0.25">
      <c r="A30" s="1" t="s">
        <v>288</v>
      </c>
      <c r="B30" s="1" t="s">
        <v>182</v>
      </c>
      <c r="C30" s="1" t="s">
        <v>183</v>
      </c>
      <c r="D30" s="1" t="s">
        <v>289</v>
      </c>
      <c r="E30" s="1" t="s">
        <v>189</v>
      </c>
      <c r="F30" s="1" t="s">
        <v>209</v>
      </c>
      <c r="G30" s="8">
        <v>65</v>
      </c>
      <c r="H30" s="6">
        <v>1480000</v>
      </c>
      <c r="I30" s="7">
        <v>46315</v>
      </c>
      <c r="J30" s="7">
        <v>46233</v>
      </c>
      <c r="K30" s="6">
        <v>3256000</v>
      </c>
      <c r="L30" s="1" t="s">
        <v>210</v>
      </c>
      <c r="M30" s="1" t="s">
        <v>224</v>
      </c>
      <c r="N30" s="1" t="s">
        <v>149</v>
      </c>
      <c r="O30" s="1" t="s">
        <v>203</v>
      </c>
      <c r="P30" s="7">
        <v>46275</v>
      </c>
    </row>
    <row r="31" spans="1:16" x14ac:dyDescent="0.25">
      <c r="A31" s="1" t="s">
        <v>204</v>
      </c>
      <c r="B31" s="1" t="s">
        <v>145</v>
      </c>
      <c r="C31" s="1" t="s">
        <v>146</v>
      </c>
      <c r="D31" s="1" t="s">
        <v>205</v>
      </c>
      <c r="E31" s="1" t="s">
        <v>196</v>
      </c>
      <c r="F31" s="1" t="s">
        <v>206</v>
      </c>
      <c r="G31" s="8">
        <v>45</v>
      </c>
      <c r="H31" s="6">
        <v>420000</v>
      </c>
      <c r="I31" s="7">
        <v>46581</v>
      </c>
      <c r="J31" s="7">
        <v>46519</v>
      </c>
      <c r="K31" s="6">
        <v>1176000</v>
      </c>
      <c r="L31" s="1" t="s">
        <v>192</v>
      </c>
      <c r="M31" s="1" t="s">
        <v>191</v>
      </c>
      <c r="N31" s="1" t="s">
        <v>170</v>
      </c>
      <c r="O31" s="1" t="s">
        <v>199</v>
      </c>
      <c r="P31" s="7">
        <v>46261</v>
      </c>
    </row>
    <row r="32" spans="1:16" x14ac:dyDescent="0.25">
      <c r="A32" s="1" t="s">
        <v>211</v>
      </c>
      <c r="B32" s="1" t="s">
        <v>145</v>
      </c>
      <c r="C32" s="1" t="s">
        <v>146</v>
      </c>
      <c r="D32" s="1" t="s">
        <v>212</v>
      </c>
      <c r="E32" s="1" t="s">
        <v>189</v>
      </c>
      <c r="F32" s="1" t="s">
        <v>206</v>
      </c>
      <c r="G32" s="8">
        <v>45</v>
      </c>
      <c r="H32" s="6">
        <v>420000</v>
      </c>
      <c r="I32" s="7">
        <v>46609</v>
      </c>
      <c r="J32" s="7">
        <v>46497</v>
      </c>
      <c r="K32" s="6">
        <v>1344000</v>
      </c>
      <c r="L32" s="1" t="s">
        <v>213</v>
      </c>
      <c r="M32" s="1" t="s">
        <v>214</v>
      </c>
      <c r="N32" s="1" t="s">
        <v>180</v>
      </c>
      <c r="O32" s="1" t="s">
        <v>203</v>
      </c>
      <c r="P32" s="7">
        <v>46270</v>
      </c>
    </row>
    <row r="33" spans="1:16" x14ac:dyDescent="0.25">
      <c r="A33" s="1" t="s">
        <v>242</v>
      </c>
      <c r="B33" s="1" t="s">
        <v>161</v>
      </c>
      <c r="C33" s="1" t="s">
        <v>162</v>
      </c>
      <c r="D33" s="1" t="s">
        <v>243</v>
      </c>
      <c r="E33" s="1" t="s">
        <v>189</v>
      </c>
      <c r="F33" s="1" t="s">
        <v>206</v>
      </c>
      <c r="G33" s="8">
        <v>45</v>
      </c>
      <c r="H33" s="6">
        <v>420000</v>
      </c>
      <c r="I33" s="7">
        <v>46556</v>
      </c>
      <c r="J33" s="7">
        <v>46523</v>
      </c>
      <c r="K33" s="6">
        <v>1344000</v>
      </c>
      <c r="L33" s="1" t="s">
        <v>198</v>
      </c>
      <c r="M33" s="1" t="s">
        <v>217</v>
      </c>
      <c r="N33" s="1" t="s">
        <v>154</v>
      </c>
      <c r="O33" s="1" t="s">
        <v>203</v>
      </c>
      <c r="P33" s="7">
        <v>46251</v>
      </c>
    </row>
    <row r="34" spans="1:16" x14ac:dyDescent="0.25">
      <c r="A34" s="1" t="s">
        <v>250</v>
      </c>
      <c r="B34" s="1" t="s">
        <v>167</v>
      </c>
      <c r="C34" s="1" t="s">
        <v>168</v>
      </c>
      <c r="D34" s="1" t="s">
        <v>251</v>
      </c>
      <c r="E34" s="1" t="s">
        <v>196</v>
      </c>
      <c r="F34" s="1" t="s">
        <v>206</v>
      </c>
      <c r="G34" s="8">
        <v>45</v>
      </c>
      <c r="H34" s="6">
        <v>1900000</v>
      </c>
      <c r="I34" s="7">
        <v>46512</v>
      </c>
      <c r="J34" s="7">
        <v>46471</v>
      </c>
      <c r="K34" s="6">
        <v>4180000</v>
      </c>
      <c r="L34" s="1" t="s">
        <v>210</v>
      </c>
      <c r="M34" s="1" t="s">
        <v>235</v>
      </c>
      <c r="N34" s="1" t="s">
        <v>175</v>
      </c>
      <c r="O34" s="1" t="s">
        <v>203</v>
      </c>
      <c r="P34" s="7">
        <v>46269</v>
      </c>
    </row>
    <row r="35" spans="1:16" x14ac:dyDescent="0.25">
      <c r="A35" s="1" t="s">
        <v>256</v>
      </c>
      <c r="B35" s="1" t="s">
        <v>167</v>
      </c>
      <c r="C35" s="1" t="s">
        <v>168</v>
      </c>
      <c r="D35" s="1" t="s">
        <v>257</v>
      </c>
      <c r="E35" s="1" t="s">
        <v>189</v>
      </c>
      <c r="F35" s="1" t="s">
        <v>206</v>
      </c>
      <c r="G35" s="8">
        <v>45</v>
      </c>
      <c r="H35" s="6">
        <v>3100000</v>
      </c>
      <c r="I35" s="7">
        <v>46635</v>
      </c>
      <c r="J35" s="7">
        <v>46536</v>
      </c>
      <c r="K35" s="6">
        <v>9300000</v>
      </c>
      <c r="L35" s="1" t="s">
        <v>214</v>
      </c>
      <c r="M35" s="1" t="s">
        <v>213</v>
      </c>
      <c r="N35" s="1" t="s">
        <v>149</v>
      </c>
      <c r="O35" s="1" t="s">
        <v>203</v>
      </c>
      <c r="P35" s="7">
        <v>46276</v>
      </c>
    </row>
    <row r="36" spans="1:16" x14ac:dyDescent="0.25">
      <c r="A36" s="1" t="s">
        <v>232</v>
      </c>
      <c r="B36" s="1" t="s">
        <v>156</v>
      </c>
      <c r="C36" s="1" t="s">
        <v>157</v>
      </c>
      <c r="D36" s="1" t="s">
        <v>233</v>
      </c>
      <c r="E36" s="1" t="s">
        <v>196</v>
      </c>
      <c r="F36" s="1" t="s">
        <v>234</v>
      </c>
      <c r="G36" s="8">
        <v>10</v>
      </c>
      <c r="H36" s="6">
        <v>260000</v>
      </c>
      <c r="I36" s="7">
        <v>46580</v>
      </c>
      <c r="J36" s="7">
        <v>46546</v>
      </c>
      <c r="K36" s="6">
        <v>832000</v>
      </c>
      <c r="L36" s="1" t="s">
        <v>235</v>
      </c>
      <c r="M36" s="1" t="s">
        <v>191</v>
      </c>
      <c r="N36" s="1" t="s">
        <v>175</v>
      </c>
      <c r="O36" s="1" t="s">
        <v>203</v>
      </c>
      <c r="P36" s="7">
        <v>46255</v>
      </c>
    </row>
    <row r="37" spans="1:16" x14ac:dyDescent="0.25">
      <c r="A37" s="1" t="s">
        <v>258</v>
      </c>
      <c r="B37" s="1" t="s">
        <v>167</v>
      </c>
      <c r="C37" s="1" t="s">
        <v>168</v>
      </c>
      <c r="D37" s="1" t="s">
        <v>259</v>
      </c>
      <c r="E37" s="1" t="s">
        <v>196</v>
      </c>
      <c r="F37" s="1" t="s">
        <v>234</v>
      </c>
      <c r="G37" s="8">
        <v>10</v>
      </c>
      <c r="H37" s="6">
        <v>3100000</v>
      </c>
      <c r="I37" s="7">
        <v>46340</v>
      </c>
      <c r="J37" s="7">
        <v>46235</v>
      </c>
      <c r="K37" s="6">
        <v>7750000</v>
      </c>
      <c r="L37" s="1" t="s">
        <v>210</v>
      </c>
      <c r="M37" s="1" t="s">
        <v>235</v>
      </c>
      <c r="N37" s="1" t="s">
        <v>154</v>
      </c>
      <c r="O37" s="1" t="s">
        <v>203</v>
      </c>
      <c r="P37" s="7">
        <v>46273</v>
      </c>
    </row>
    <row r="38" spans="1:16" x14ac:dyDescent="0.25">
      <c r="A38" s="1" t="s">
        <v>264</v>
      </c>
      <c r="B38" s="1" t="s">
        <v>172</v>
      </c>
      <c r="C38" s="1" t="s">
        <v>173</v>
      </c>
      <c r="D38" s="1" t="s">
        <v>265</v>
      </c>
      <c r="E38" s="1" t="s">
        <v>196</v>
      </c>
      <c r="F38" s="1" t="s">
        <v>234</v>
      </c>
      <c r="G38" s="8">
        <v>10</v>
      </c>
      <c r="H38" s="6">
        <v>560000</v>
      </c>
      <c r="I38" s="7">
        <v>46424</v>
      </c>
      <c r="J38" s="7">
        <v>46323</v>
      </c>
      <c r="K38" s="6">
        <v>1568000</v>
      </c>
      <c r="L38" s="1" t="s">
        <v>192</v>
      </c>
      <c r="M38" s="1" t="s">
        <v>202</v>
      </c>
      <c r="N38" s="1" t="s">
        <v>170</v>
      </c>
      <c r="O38" s="1" t="s">
        <v>199</v>
      </c>
      <c r="P38" s="7">
        <v>46266</v>
      </c>
    </row>
    <row r="39" spans="1:16" x14ac:dyDescent="0.25">
      <c r="A39" s="1" t="s">
        <v>272</v>
      </c>
      <c r="B39" s="1" t="s">
        <v>177</v>
      </c>
      <c r="C39" s="1" t="s">
        <v>178</v>
      </c>
      <c r="D39" s="1" t="s">
        <v>273</v>
      </c>
      <c r="E39" s="1" t="s">
        <v>189</v>
      </c>
      <c r="F39" s="1" t="s">
        <v>234</v>
      </c>
      <c r="G39" s="8">
        <v>10</v>
      </c>
      <c r="H39" s="6">
        <v>560000</v>
      </c>
      <c r="I39" s="7">
        <v>46510</v>
      </c>
      <c r="J39" s="7">
        <v>46430</v>
      </c>
      <c r="K39" s="6">
        <v>1792000</v>
      </c>
      <c r="L39" s="1" t="s">
        <v>213</v>
      </c>
      <c r="M39" s="1" t="s">
        <v>224</v>
      </c>
      <c r="N39" s="1" t="s">
        <v>149</v>
      </c>
      <c r="O39" s="1" t="s">
        <v>199</v>
      </c>
      <c r="P39" s="7">
        <v>46241</v>
      </c>
    </row>
    <row r="40" spans="1:16" x14ac:dyDescent="0.25">
      <c r="A40" s="1" t="s">
        <v>274</v>
      </c>
      <c r="B40" s="1" t="s">
        <v>177</v>
      </c>
      <c r="C40" s="1" t="s">
        <v>178</v>
      </c>
      <c r="D40" s="1" t="s">
        <v>275</v>
      </c>
      <c r="E40" s="1" t="s">
        <v>196</v>
      </c>
      <c r="F40" s="1" t="s">
        <v>234</v>
      </c>
      <c r="G40" s="8">
        <v>10</v>
      </c>
      <c r="H40" s="6">
        <v>1480000</v>
      </c>
      <c r="I40" s="7">
        <v>46388</v>
      </c>
      <c r="J40" s="7">
        <v>46288</v>
      </c>
      <c r="K40" s="6">
        <v>4736000</v>
      </c>
      <c r="L40" s="1" t="s">
        <v>198</v>
      </c>
      <c r="M40" s="1" t="s">
        <v>191</v>
      </c>
      <c r="N40" s="1" t="s">
        <v>154</v>
      </c>
      <c r="O40" s="1" t="s">
        <v>203</v>
      </c>
      <c r="P40" s="7">
        <v>46243</v>
      </c>
    </row>
    <row r="41" spans="1:16" x14ac:dyDescent="0.25">
      <c r="A41" s="1" t="s">
        <v>286</v>
      </c>
      <c r="B41" s="1" t="s">
        <v>182</v>
      </c>
      <c r="C41" s="1" t="s">
        <v>183</v>
      </c>
      <c r="D41" s="1" t="s">
        <v>287</v>
      </c>
      <c r="E41" s="1" t="s">
        <v>223</v>
      </c>
      <c r="F41" s="1" t="s">
        <v>234</v>
      </c>
      <c r="G41" s="8">
        <v>10</v>
      </c>
      <c r="H41" s="6">
        <v>1480000</v>
      </c>
      <c r="I41" s="7">
        <v>46296</v>
      </c>
      <c r="J41" s="7">
        <v>46210</v>
      </c>
      <c r="K41" s="6">
        <v>3700000</v>
      </c>
      <c r="L41" s="1" t="s">
        <v>214</v>
      </c>
      <c r="M41" s="1" t="s">
        <v>191</v>
      </c>
      <c r="N41" s="1" t="s">
        <v>185</v>
      </c>
      <c r="O41" s="1" t="s">
        <v>193</v>
      </c>
      <c r="P41" s="7">
        <v>46240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483B7-055D-48E8-ABF8-67C9443F4652}">
  <dimension ref="A1:P19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1.7109375" customWidth="1"/>
    <col min="2" max="2" width="16.7109375" customWidth="1"/>
    <col min="3" max="3" width="12.7109375" customWidth="1"/>
    <col min="4" max="4" width="21.7109375" customWidth="1"/>
    <col min="5" max="5" width="17.7109375" customWidth="1"/>
    <col min="6" max="6" width="26.7109375" customWidth="1"/>
    <col min="7" max="7" width="12.7109375" customWidth="1"/>
    <col min="8" max="8" width="17.7109375" customWidth="1"/>
    <col min="9" max="9" width="14.7109375" customWidth="1"/>
    <col min="10" max="10" width="18.7109375" customWidth="1"/>
    <col min="11" max="11" width="16.7109375" customWidth="1"/>
    <col min="12" max="12" width="15.7109375" customWidth="1"/>
    <col min="13" max="13" width="20.7109375" customWidth="1"/>
    <col min="14" max="14" width="16.7109375" customWidth="1"/>
    <col min="15" max="15" width="12.7109375" customWidth="1"/>
    <col min="16" max="16" width="16.7109375" customWidth="1"/>
  </cols>
  <sheetData>
    <row r="1" spans="1:16" ht="30" x14ac:dyDescent="0.25">
      <c r="A1" s="5" t="s">
        <v>88</v>
      </c>
      <c r="B1" s="5" t="s">
        <v>57</v>
      </c>
      <c r="C1" s="5" t="s">
        <v>40</v>
      </c>
      <c r="D1" s="5" t="s">
        <v>91</v>
      </c>
      <c r="E1" s="5" t="s">
        <v>93</v>
      </c>
      <c r="F1" s="5" t="s">
        <v>95</v>
      </c>
      <c r="G1" s="5" t="s">
        <v>97</v>
      </c>
      <c r="H1" s="5" t="s">
        <v>99</v>
      </c>
      <c r="I1" s="5" t="s">
        <v>101</v>
      </c>
      <c r="J1" s="5" t="s">
        <v>103</v>
      </c>
      <c r="K1" s="5" t="s">
        <v>105</v>
      </c>
      <c r="L1" s="5" t="s">
        <v>107</v>
      </c>
      <c r="M1" s="5" t="s">
        <v>109</v>
      </c>
      <c r="N1" s="5" t="s">
        <v>111</v>
      </c>
      <c r="O1" s="5" t="s">
        <v>113</v>
      </c>
      <c r="P1" s="5" t="s">
        <v>115</v>
      </c>
    </row>
    <row r="2" spans="1:16" x14ac:dyDescent="0.25">
      <c r="A2" s="1" t="s">
        <v>290</v>
      </c>
      <c r="B2" s="1" t="s">
        <v>187</v>
      </c>
      <c r="C2" s="1" t="s">
        <v>145</v>
      </c>
      <c r="D2" s="1" t="s">
        <v>192</v>
      </c>
      <c r="E2" s="1" t="s">
        <v>291</v>
      </c>
      <c r="F2" s="1" t="s">
        <v>292</v>
      </c>
      <c r="G2" s="9">
        <v>16</v>
      </c>
      <c r="H2" s="9">
        <v>40</v>
      </c>
      <c r="I2" s="9">
        <f t="shared" ref="I2" si="0">G2*H2</f>
        <v>640</v>
      </c>
      <c r="J2" s="9">
        <v>2560</v>
      </c>
      <c r="K2" s="1" t="s">
        <v>293</v>
      </c>
      <c r="L2" s="7">
        <v>46419</v>
      </c>
      <c r="M2" s="1" t="s">
        <v>294</v>
      </c>
      <c r="N2" s="1" t="s">
        <v>295</v>
      </c>
      <c r="O2" s="1" t="s">
        <v>296</v>
      </c>
      <c r="P2" s="1" t="s">
        <v>297</v>
      </c>
    </row>
    <row r="3" spans="1:16" x14ac:dyDescent="0.25">
      <c r="A3" s="1" t="s">
        <v>298</v>
      </c>
      <c r="B3" s="1" t="s">
        <v>187</v>
      </c>
      <c r="C3" s="1" t="s">
        <v>145</v>
      </c>
      <c r="D3" s="1" t="s">
        <v>192</v>
      </c>
      <c r="E3" s="1" t="s">
        <v>299</v>
      </c>
      <c r="F3" s="1" t="s">
        <v>300</v>
      </c>
      <c r="G3" s="9">
        <v>64</v>
      </c>
      <c r="H3" s="9">
        <v>30</v>
      </c>
      <c r="I3" s="9">
        <f t="shared" ref="I3:I34" si="1">G3*H3</f>
        <v>1920</v>
      </c>
      <c r="J3" s="9">
        <v>15360</v>
      </c>
      <c r="K3" s="1" t="s">
        <v>301</v>
      </c>
      <c r="L3" s="7">
        <v>46468</v>
      </c>
      <c r="M3" s="1" t="s">
        <v>302</v>
      </c>
      <c r="N3" s="1" t="s">
        <v>295</v>
      </c>
      <c r="O3" s="1" t="s">
        <v>303</v>
      </c>
      <c r="P3" s="1" t="s">
        <v>295</v>
      </c>
    </row>
    <row r="4" spans="1:16" x14ac:dyDescent="0.25">
      <c r="A4" s="1" t="s">
        <v>304</v>
      </c>
      <c r="B4" s="1" t="s">
        <v>187</v>
      </c>
      <c r="C4" s="1" t="s">
        <v>145</v>
      </c>
      <c r="D4" s="1" t="s">
        <v>191</v>
      </c>
      <c r="E4" s="1" t="s">
        <v>291</v>
      </c>
      <c r="F4" s="1" t="s">
        <v>305</v>
      </c>
      <c r="G4" s="9">
        <v>8</v>
      </c>
      <c r="H4" s="9">
        <v>40</v>
      </c>
      <c r="I4" s="9">
        <f t="shared" si="1"/>
        <v>320</v>
      </c>
      <c r="J4" s="9">
        <v>1280</v>
      </c>
      <c r="K4" s="1" t="s">
        <v>293</v>
      </c>
      <c r="L4" s="7">
        <v>46402</v>
      </c>
      <c r="M4" s="1" t="s">
        <v>294</v>
      </c>
      <c r="N4" s="1" t="s">
        <v>297</v>
      </c>
      <c r="O4" s="1" t="s">
        <v>303</v>
      </c>
      <c r="P4" s="1" t="s">
        <v>295</v>
      </c>
    </row>
    <row r="5" spans="1:16" x14ac:dyDescent="0.25">
      <c r="A5" s="1" t="s">
        <v>306</v>
      </c>
      <c r="B5" s="1" t="s">
        <v>187</v>
      </c>
      <c r="C5" s="1" t="s">
        <v>145</v>
      </c>
      <c r="D5" s="1" t="s">
        <v>191</v>
      </c>
      <c r="E5" s="1" t="s">
        <v>307</v>
      </c>
      <c r="F5" s="1" t="s">
        <v>308</v>
      </c>
      <c r="G5" s="9">
        <v>64</v>
      </c>
      <c r="H5" s="9">
        <v>60</v>
      </c>
      <c r="I5" s="9">
        <f t="shared" si="1"/>
        <v>3840</v>
      </c>
      <c r="J5" s="9">
        <v>15360</v>
      </c>
      <c r="K5" s="1" t="s">
        <v>293</v>
      </c>
      <c r="L5" s="7">
        <v>46408</v>
      </c>
      <c r="M5" s="1" t="s">
        <v>294</v>
      </c>
      <c r="N5" s="1" t="s">
        <v>295</v>
      </c>
      <c r="O5" s="1" t="s">
        <v>309</v>
      </c>
      <c r="P5" s="1" t="s">
        <v>295</v>
      </c>
    </row>
    <row r="6" spans="1:16" x14ac:dyDescent="0.25">
      <c r="A6" s="1" t="s">
        <v>310</v>
      </c>
      <c r="B6" s="1" t="s">
        <v>187</v>
      </c>
      <c r="C6" s="1" t="s">
        <v>145</v>
      </c>
      <c r="D6" s="1" t="s">
        <v>192</v>
      </c>
      <c r="E6" s="1" t="s">
        <v>299</v>
      </c>
      <c r="F6" s="1" t="s">
        <v>308</v>
      </c>
      <c r="G6" s="9">
        <v>64</v>
      </c>
      <c r="H6" s="9">
        <v>75</v>
      </c>
      <c r="I6" s="9">
        <f t="shared" si="1"/>
        <v>4800</v>
      </c>
      <c r="J6" s="9">
        <v>19200</v>
      </c>
      <c r="K6" s="1" t="s">
        <v>311</v>
      </c>
      <c r="L6" s="7">
        <v>46548</v>
      </c>
      <c r="M6" s="1" t="s">
        <v>294</v>
      </c>
      <c r="N6" s="1" t="s">
        <v>297</v>
      </c>
      <c r="O6" s="1" t="s">
        <v>303</v>
      </c>
      <c r="P6" s="1" t="s">
        <v>297</v>
      </c>
    </row>
    <row r="7" spans="1:16" x14ac:dyDescent="0.25">
      <c r="A7" s="1" t="s">
        <v>312</v>
      </c>
      <c r="B7" s="1" t="s">
        <v>194</v>
      </c>
      <c r="C7" s="1" t="s">
        <v>145</v>
      </c>
      <c r="D7" s="1" t="s">
        <v>192</v>
      </c>
      <c r="E7" s="1" t="s">
        <v>299</v>
      </c>
      <c r="F7" s="1" t="s">
        <v>313</v>
      </c>
      <c r="G7" s="9">
        <v>96</v>
      </c>
      <c r="H7" s="9">
        <v>20</v>
      </c>
      <c r="I7" s="9">
        <f t="shared" si="1"/>
        <v>1920</v>
      </c>
      <c r="J7" s="9">
        <v>38000</v>
      </c>
      <c r="K7" s="1" t="s">
        <v>301</v>
      </c>
      <c r="L7" s="7">
        <v>46442</v>
      </c>
      <c r="M7" s="1" t="s">
        <v>314</v>
      </c>
      <c r="N7" s="1" t="s">
        <v>297</v>
      </c>
      <c r="O7" s="1" t="s">
        <v>309</v>
      </c>
      <c r="P7" s="1" t="s">
        <v>297</v>
      </c>
    </row>
    <row r="8" spans="1:16" x14ac:dyDescent="0.25">
      <c r="A8" s="1" t="s">
        <v>315</v>
      </c>
      <c r="B8" s="1" t="s">
        <v>194</v>
      </c>
      <c r="C8" s="1" t="s">
        <v>145</v>
      </c>
      <c r="D8" s="1" t="s">
        <v>192</v>
      </c>
      <c r="E8" s="1" t="s">
        <v>307</v>
      </c>
      <c r="F8" s="1" t="s">
        <v>313</v>
      </c>
      <c r="G8" s="9">
        <v>96</v>
      </c>
      <c r="H8" s="9">
        <v>20</v>
      </c>
      <c r="I8" s="9">
        <f t="shared" si="1"/>
        <v>1920</v>
      </c>
      <c r="J8" s="9">
        <v>38000</v>
      </c>
      <c r="K8" s="1" t="s">
        <v>311</v>
      </c>
      <c r="L8" s="7">
        <v>46528</v>
      </c>
      <c r="M8" s="1" t="s">
        <v>314</v>
      </c>
      <c r="N8" s="1" t="s">
        <v>295</v>
      </c>
      <c r="O8" s="1" t="s">
        <v>309</v>
      </c>
      <c r="P8" s="1" t="s">
        <v>297</v>
      </c>
    </row>
    <row r="9" spans="1:16" x14ac:dyDescent="0.25">
      <c r="A9" s="1" t="s">
        <v>316</v>
      </c>
      <c r="B9" s="1" t="s">
        <v>194</v>
      </c>
      <c r="C9" s="1" t="s">
        <v>145</v>
      </c>
      <c r="D9" s="1" t="s">
        <v>192</v>
      </c>
      <c r="E9" s="1" t="s">
        <v>291</v>
      </c>
      <c r="F9" s="1" t="s">
        <v>317</v>
      </c>
      <c r="G9" s="9">
        <v>32</v>
      </c>
      <c r="H9" s="9">
        <v>60</v>
      </c>
      <c r="I9" s="9">
        <f t="shared" si="1"/>
        <v>1920</v>
      </c>
      <c r="J9" s="9">
        <v>7680</v>
      </c>
      <c r="K9" s="1" t="s">
        <v>301</v>
      </c>
      <c r="L9" s="7">
        <v>46442</v>
      </c>
      <c r="M9" s="1" t="s">
        <v>294</v>
      </c>
      <c r="N9" s="1" t="s">
        <v>295</v>
      </c>
      <c r="O9" s="1" t="s">
        <v>303</v>
      </c>
      <c r="P9" s="1" t="s">
        <v>297</v>
      </c>
    </row>
    <row r="10" spans="1:16" x14ac:dyDescent="0.25">
      <c r="A10" s="1" t="s">
        <v>318</v>
      </c>
      <c r="B10" s="1" t="s">
        <v>194</v>
      </c>
      <c r="C10" s="1" t="s">
        <v>145</v>
      </c>
      <c r="D10" s="1" t="s">
        <v>192</v>
      </c>
      <c r="E10" s="1" t="s">
        <v>307</v>
      </c>
      <c r="F10" s="1" t="s">
        <v>305</v>
      </c>
      <c r="G10" s="9">
        <v>8</v>
      </c>
      <c r="H10" s="9">
        <v>120</v>
      </c>
      <c r="I10" s="9">
        <f t="shared" si="1"/>
        <v>960</v>
      </c>
      <c r="J10" s="9">
        <v>3840</v>
      </c>
      <c r="K10" s="1" t="s">
        <v>311</v>
      </c>
      <c r="L10" s="7">
        <v>46541</v>
      </c>
      <c r="M10" s="1" t="s">
        <v>294</v>
      </c>
      <c r="N10" s="1" t="s">
        <v>295</v>
      </c>
      <c r="O10" s="1" t="s">
        <v>303</v>
      </c>
      <c r="P10" s="1" t="s">
        <v>295</v>
      </c>
    </row>
    <row r="11" spans="1:16" x14ac:dyDescent="0.25">
      <c r="A11" s="1" t="s">
        <v>319</v>
      </c>
      <c r="B11" s="1" t="s">
        <v>194</v>
      </c>
      <c r="C11" s="1" t="s">
        <v>145</v>
      </c>
      <c r="D11" s="1" t="s">
        <v>198</v>
      </c>
      <c r="E11" s="1" t="s">
        <v>299</v>
      </c>
      <c r="F11" s="1" t="s">
        <v>317</v>
      </c>
      <c r="G11" s="9">
        <v>32</v>
      </c>
      <c r="H11" s="9">
        <v>24</v>
      </c>
      <c r="I11" s="9">
        <f t="shared" si="1"/>
        <v>768</v>
      </c>
      <c r="J11" s="9">
        <v>3072</v>
      </c>
      <c r="K11" s="1" t="s">
        <v>311</v>
      </c>
      <c r="L11" s="7">
        <v>46538</v>
      </c>
      <c r="M11" s="1" t="s">
        <v>294</v>
      </c>
      <c r="N11" s="1" t="s">
        <v>295</v>
      </c>
      <c r="O11" s="1" t="s">
        <v>309</v>
      </c>
      <c r="P11" s="1" t="s">
        <v>297</v>
      </c>
    </row>
    <row r="12" spans="1:16" x14ac:dyDescent="0.25">
      <c r="A12" s="1" t="s">
        <v>320</v>
      </c>
      <c r="B12" s="1" t="s">
        <v>200</v>
      </c>
      <c r="C12" s="1" t="s">
        <v>145</v>
      </c>
      <c r="D12" s="1" t="s">
        <v>198</v>
      </c>
      <c r="E12" s="1" t="s">
        <v>307</v>
      </c>
      <c r="F12" s="1" t="s">
        <v>321</v>
      </c>
      <c r="G12" s="9">
        <v>128</v>
      </c>
      <c r="H12" s="9">
        <v>3</v>
      </c>
      <c r="I12" s="9">
        <f t="shared" si="1"/>
        <v>384</v>
      </c>
      <c r="J12" s="9">
        <v>11676</v>
      </c>
      <c r="K12" s="1" t="s">
        <v>301</v>
      </c>
      <c r="L12" s="7">
        <v>46620</v>
      </c>
      <c r="M12" s="1" t="s">
        <v>322</v>
      </c>
      <c r="N12" s="1" t="s">
        <v>295</v>
      </c>
      <c r="O12" s="1" t="s">
        <v>296</v>
      </c>
      <c r="P12" s="1" t="s">
        <v>297</v>
      </c>
    </row>
    <row r="13" spans="1:16" x14ac:dyDescent="0.25">
      <c r="A13" s="1" t="s">
        <v>323</v>
      </c>
      <c r="B13" s="1" t="s">
        <v>200</v>
      </c>
      <c r="C13" s="1" t="s">
        <v>145</v>
      </c>
      <c r="D13" s="1" t="s">
        <v>198</v>
      </c>
      <c r="E13" s="1" t="s">
        <v>299</v>
      </c>
      <c r="F13" s="1" t="s">
        <v>321</v>
      </c>
      <c r="G13" s="9">
        <v>128</v>
      </c>
      <c r="H13" s="9">
        <v>2</v>
      </c>
      <c r="I13" s="9">
        <f t="shared" si="1"/>
        <v>256</v>
      </c>
      <c r="J13" s="9">
        <v>7784</v>
      </c>
      <c r="K13" s="1" t="s">
        <v>301</v>
      </c>
      <c r="L13" s="7">
        <v>46614</v>
      </c>
      <c r="M13" s="1" t="s">
        <v>322</v>
      </c>
      <c r="N13" s="1" t="s">
        <v>297</v>
      </c>
      <c r="O13" s="1" t="s">
        <v>303</v>
      </c>
      <c r="P13" s="1" t="s">
        <v>297</v>
      </c>
    </row>
    <row r="14" spans="1:16" x14ac:dyDescent="0.25">
      <c r="A14" s="1" t="s">
        <v>324</v>
      </c>
      <c r="B14" s="1" t="s">
        <v>200</v>
      </c>
      <c r="C14" s="1" t="s">
        <v>145</v>
      </c>
      <c r="D14" s="1" t="s">
        <v>198</v>
      </c>
      <c r="E14" s="1" t="s">
        <v>307</v>
      </c>
      <c r="F14" s="1" t="s">
        <v>317</v>
      </c>
      <c r="G14" s="9">
        <v>32</v>
      </c>
      <c r="H14" s="9">
        <v>75</v>
      </c>
      <c r="I14" s="9">
        <f t="shared" si="1"/>
        <v>2400</v>
      </c>
      <c r="J14" s="9">
        <v>9600</v>
      </c>
      <c r="K14" s="1" t="s">
        <v>293</v>
      </c>
      <c r="L14" s="7">
        <v>46550</v>
      </c>
      <c r="M14" s="1" t="s">
        <v>294</v>
      </c>
      <c r="N14" s="1" t="s">
        <v>297</v>
      </c>
      <c r="O14" s="1" t="s">
        <v>303</v>
      </c>
      <c r="P14" s="1" t="s">
        <v>295</v>
      </c>
    </row>
    <row r="15" spans="1:16" x14ac:dyDescent="0.25">
      <c r="A15" s="1" t="s">
        <v>325</v>
      </c>
      <c r="B15" s="1" t="s">
        <v>200</v>
      </c>
      <c r="C15" s="1" t="s">
        <v>145</v>
      </c>
      <c r="D15" s="1" t="s">
        <v>198</v>
      </c>
      <c r="E15" s="1" t="s">
        <v>307</v>
      </c>
      <c r="F15" s="1" t="s">
        <v>326</v>
      </c>
      <c r="G15" s="9">
        <v>16</v>
      </c>
      <c r="H15" s="9">
        <v>24</v>
      </c>
      <c r="I15" s="9">
        <f t="shared" si="1"/>
        <v>384</v>
      </c>
      <c r="J15" s="9">
        <v>3072</v>
      </c>
      <c r="K15" s="1" t="s">
        <v>293</v>
      </c>
      <c r="L15" s="7">
        <v>46574</v>
      </c>
      <c r="M15" s="1" t="s">
        <v>302</v>
      </c>
      <c r="N15" s="1" t="s">
        <v>297</v>
      </c>
      <c r="O15" s="1" t="s">
        <v>303</v>
      </c>
      <c r="P15" s="1" t="s">
        <v>295</v>
      </c>
    </row>
    <row r="16" spans="1:16" x14ac:dyDescent="0.25">
      <c r="A16" s="1" t="s">
        <v>327</v>
      </c>
      <c r="B16" s="1" t="s">
        <v>200</v>
      </c>
      <c r="C16" s="1" t="s">
        <v>145</v>
      </c>
      <c r="D16" s="1" t="s">
        <v>202</v>
      </c>
      <c r="E16" s="1" t="s">
        <v>307</v>
      </c>
      <c r="F16" s="1" t="s">
        <v>308</v>
      </c>
      <c r="G16" s="9">
        <v>64</v>
      </c>
      <c r="H16" s="9">
        <v>16</v>
      </c>
      <c r="I16" s="9">
        <f t="shared" si="1"/>
        <v>1024</v>
      </c>
      <c r="J16" s="9">
        <v>4096</v>
      </c>
      <c r="K16" s="1" t="s">
        <v>311</v>
      </c>
      <c r="L16" s="7">
        <v>46699</v>
      </c>
      <c r="M16" s="1" t="s">
        <v>294</v>
      </c>
      <c r="N16" s="1" t="s">
        <v>295</v>
      </c>
      <c r="O16" s="1" t="s">
        <v>303</v>
      </c>
      <c r="P16" s="1" t="s">
        <v>297</v>
      </c>
    </row>
    <row r="17" spans="1:16" x14ac:dyDescent="0.25">
      <c r="A17" s="1" t="s">
        <v>328</v>
      </c>
      <c r="B17" s="1" t="s">
        <v>204</v>
      </c>
      <c r="C17" s="1" t="s">
        <v>145</v>
      </c>
      <c r="D17" s="1" t="s">
        <v>192</v>
      </c>
      <c r="E17" s="1" t="s">
        <v>307</v>
      </c>
      <c r="F17" s="1" t="s">
        <v>313</v>
      </c>
      <c r="G17" s="9">
        <v>96</v>
      </c>
      <c r="H17" s="9">
        <v>10</v>
      </c>
      <c r="I17" s="9">
        <f t="shared" si="1"/>
        <v>960</v>
      </c>
      <c r="J17" s="9">
        <v>19000</v>
      </c>
      <c r="K17" s="1" t="s">
        <v>311</v>
      </c>
      <c r="L17" s="7">
        <v>46736</v>
      </c>
      <c r="M17" s="1" t="s">
        <v>314</v>
      </c>
      <c r="N17" s="1" t="s">
        <v>297</v>
      </c>
      <c r="O17" s="1" t="s">
        <v>309</v>
      </c>
      <c r="P17" s="1" t="s">
        <v>295</v>
      </c>
    </row>
    <row r="18" spans="1:16" x14ac:dyDescent="0.25">
      <c r="A18" s="1" t="s">
        <v>329</v>
      </c>
      <c r="B18" s="1" t="s">
        <v>204</v>
      </c>
      <c r="C18" s="1" t="s">
        <v>145</v>
      </c>
      <c r="D18" s="1" t="s">
        <v>192</v>
      </c>
      <c r="E18" s="1" t="s">
        <v>291</v>
      </c>
      <c r="F18" s="1" t="s">
        <v>330</v>
      </c>
      <c r="G18" s="9">
        <v>40</v>
      </c>
      <c r="H18" s="9">
        <v>24</v>
      </c>
      <c r="I18" s="9">
        <f t="shared" si="1"/>
        <v>960</v>
      </c>
      <c r="J18" s="9">
        <v>7680</v>
      </c>
      <c r="K18" s="1" t="s">
        <v>311</v>
      </c>
      <c r="L18" s="7">
        <v>46737</v>
      </c>
      <c r="M18" s="1" t="s">
        <v>331</v>
      </c>
      <c r="N18" s="1" t="s">
        <v>295</v>
      </c>
      <c r="O18" s="1" t="s">
        <v>309</v>
      </c>
      <c r="P18" s="1" t="s">
        <v>297</v>
      </c>
    </row>
    <row r="19" spans="1:16" x14ac:dyDescent="0.25">
      <c r="A19" s="1" t="s">
        <v>332</v>
      </c>
      <c r="B19" s="1" t="s">
        <v>204</v>
      </c>
      <c r="C19" s="1" t="s">
        <v>145</v>
      </c>
      <c r="D19" s="1" t="s">
        <v>191</v>
      </c>
      <c r="E19" s="1" t="s">
        <v>307</v>
      </c>
      <c r="F19" s="1" t="s">
        <v>333</v>
      </c>
      <c r="G19" s="9">
        <v>16</v>
      </c>
      <c r="H19" s="9">
        <v>16</v>
      </c>
      <c r="I19" s="9">
        <f t="shared" si="1"/>
        <v>256</v>
      </c>
      <c r="J19" s="9">
        <v>2048</v>
      </c>
      <c r="K19" s="1" t="s">
        <v>311</v>
      </c>
      <c r="L19" s="7">
        <v>46735</v>
      </c>
      <c r="M19" s="1" t="s">
        <v>334</v>
      </c>
      <c r="N19" s="1" t="s">
        <v>297</v>
      </c>
      <c r="O19" s="1" t="s">
        <v>309</v>
      </c>
      <c r="P19" s="1" t="s">
        <v>295</v>
      </c>
    </row>
    <row r="20" spans="1:16" x14ac:dyDescent="0.25">
      <c r="A20" s="1" t="s">
        <v>335</v>
      </c>
      <c r="B20" s="1" t="s">
        <v>204</v>
      </c>
      <c r="C20" s="1" t="s">
        <v>145</v>
      </c>
      <c r="D20" s="1" t="s">
        <v>192</v>
      </c>
      <c r="E20" s="1" t="s">
        <v>307</v>
      </c>
      <c r="F20" s="1" t="s">
        <v>305</v>
      </c>
      <c r="G20" s="9">
        <v>8</v>
      </c>
      <c r="H20" s="9">
        <v>24</v>
      </c>
      <c r="I20" s="9">
        <f t="shared" si="1"/>
        <v>192</v>
      </c>
      <c r="J20" s="9">
        <v>768</v>
      </c>
      <c r="K20" s="1" t="s">
        <v>293</v>
      </c>
      <c r="L20" s="7">
        <v>46594</v>
      </c>
      <c r="M20" s="1" t="s">
        <v>294</v>
      </c>
      <c r="N20" s="1" t="s">
        <v>295</v>
      </c>
      <c r="O20" s="1" t="s">
        <v>296</v>
      </c>
      <c r="P20" s="1" t="s">
        <v>297</v>
      </c>
    </row>
    <row r="21" spans="1:16" x14ac:dyDescent="0.25">
      <c r="A21" s="1" t="s">
        <v>336</v>
      </c>
      <c r="B21" s="1" t="s">
        <v>204</v>
      </c>
      <c r="C21" s="1" t="s">
        <v>145</v>
      </c>
      <c r="D21" s="1" t="s">
        <v>192</v>
      </c>
      <c r="E21" s="1" t="s">
        <v>291</v>
      </c>
      <c r="F21" s="1" t="s">
        <v>337</v>
      </c>
      <c r="G21" s="9">
        <v>32</v>
      </c>
      <c r="H21" s="9">
        <v>48</v>
      </c>
      <c r="I21" s="9">
        <f t="shared" si="1"/>
        <v>1536</v>
      </c>
      <c r="J21" s="9">
        <v>12288</v>
      </c>
      <c r="K21" s="1" t="s">
        <v>301</v>
      </c>
      <c r="L21" s="7">
        <v>46655</v>
      </c>
      <c r="M21" s="1" t="s">
        <v>302</v>
      </c>
      <c r="N21" s="1" t="s">
        <v>295</v>
      </c>
      <c r="O21" s="1" t="s">
        <v>296</v>
      </c>
      <c r="P21" s="1" t="s">
        <v>297</v>
      </c>
    </row>
    <row r="22" spans="1:16" x14ac:dyDescent="0.25">
      <c r="A22" s="1" t="s">
        <v>338</v>
      </c>
      <c r="B22" s="1" t="s">
        <v>204</v>
      </c>
      <c r="C22" s="1" t="s">
        <v>145</v>
      </c>
      <c r="D22" s="1" t="s">
        <v>191</v>
      </c>
      <c r="E22" s="1" t="s">
        <v>291</v>
      </c>
      <c r="F22" s="1" t="s">
        <v>305</v>
      </c>
      <c r="G22" s="9">
        <v>8</v>
      </c>
      <c r="H22" s="9">
        <v>40</v>
      </c>
      <c r="I22" s="9">
        <f t="shared" si="1"/>
        <v>320</v>
      </c>
      <c r="J22" s="9">
        <v>1280</v>
      </c>
      <c r="K22" s="1" t="s">
        <v>301</v>
      </c>
      <c r="L22" s="7">
        <v>46643</v>
      </c>
      <c r="M22" s="1" t="s">
        <v>294</v>
      </c>
      <c r="N22" s="1" t="s">
        <v>297</v>
      </c>
      <c r="O22" s="1" t="s">
        <v>309</v>
      </c>
      <c r="P22" s="1" t="s">
        <v>295</v>
      </c>
    </row>
    <row r="23" spans="1:16" x14ac:dyDescent="0.25">
      <c r="A23" s="1" t="s">
        <v>339</v>
      </c>
      <c r="B23" s="1" t="s">
        <v>207</v>
      </c>
      <c r="C23" s="1" t="s">
        <v>145</v>
      </c>
      <c r="D23" s="1" t="s">
        <v>192</v>
      </c>
      <c r="E23" s="1" t="s">
        <v>291</v>
      </c>
      <c r="F23" s="1" t="s">
        <v>340</v>
      </c>
      <c r="G23" s="9">
        <v>32</v>
      </c>
      <c r="H23" s="9">
        <v>75</v>
      </c>
      <c r="I23" s="9">
        <f t="shared" si="1"/>
        <v>2400</v>
      </c>
      <c r="J23" s="9">
        <v>4800</v>
      </c>
      <c r="K23" s="1" t="s">
        <v>293</v>
      </c>
      <c r="L23" s="7">
        <v>46374</v>
      </c>
      <c r="M23" s="1" t="s">
        <v>341</v>
      </c>
      <c r="N23" s="1" t="s">
        <v>297</v>
      </c>
      <c r="O23" s="1" t="s">
        <v>309</v>
      </c>
      <c r="P23" s="1" t="s">
        <v>297</v>
      </c>
    </row>
    <row r="24" spans="1:16" x14ac:dyDescent="0.25">
      <c r="A24" s="1" t="s">
        <v>342</v>
      </c>
      <c r="B24" s="1" t="s">
        <v>207</v>
      </c>
      <c r="C24" s="1" t="s">
        <v>145</v>
      </c>
      <c r="D24" s="1" t="s">
        <v>192</v>
      </c>
      <c r="E24" s="1" t="s">
        <v>291</v>
      </c>
      <c r="F24" s="1" t="s">
        <v>333</v>
      </c>
      <c r="G24" s="9">
        <v>16</v>
      </c>
      <c r="H24" s="9">
        <v>90</v>
      </c>
      <c r="I24" s="9">
        <f t="shared" si="1"/>
        <v>1440</v>
      </c>
      <c r="J24" s="9">
        <v>11520</v>
      </c>
      <c r="K24" s="1" t="s">
        <v>293</v>
      </c>
      <c r="L24" s="7">
        <v>46392</v>
      </c>
      <c r="M24" s="1" t="s">
        <v>334</v>
      </c>
      <c r="N24" s="1" t="s">
        <v>297</v>
      </c>
      <c r="O24" s="1" t="s">
        <v>303</v>
      </c>
      <c r="P24" s="1" t="s">
        <v>295</v>
      </c>
    </row>
    <row r="25" spans="1:16" x14ac:dyDescent="0.25">
      <c r="A25" s="1" t="s">
        <v>343</v>
      </c>
      <c r="B25" s="1" t="s">
        <v>207</v>
      </c>
      <c r="C25" s="1" t="s">
        <v>145</v>
      </c>
      <c r="D25" s="1" t="s">
        <v>210</v>
      </c>
      <c r="E25" s="1" t="s">
        <v>299</v>
      </c>
      <c r="F25" s="1" t="s">
        <v>326</v>
      </c>
      <c r="G25" s="9">
        <v>16</v>
      </c>
      <c r="H25" s="9">
        <v>90</v>
      </c>
      <c r="I25" s="9">
        <f t="shared" si="1"/>
        <v>1440</v>
      </c>
      <c r="J25" s="9">
        <v>11520</v>
      </c>
      <c r="K25" s="1" t="s">
        <v>301</v>
      </c>
      <c r="L25" s="7">
        <v>46442</v>
      </c>
      <c r="M25" s="1" t="s">
        <v>302</v>
      </c>
      <c r="N25" s="1" t="s">
        <v>295</v>
      </c>
      <c r="O25" s="1" t="s">
        <v>303</v>
      </c>
      <c r="P25" s="1" t="s">
        <v>295</v>
      </c>
    </row>
    <row r="26" spans="1:16" x14ac:dyDescent="0.25">
      <c r="A26" s="1" t="s">
        <v>344</v>
      </c>
      <c r="B26" s="1" t="s">
        <v>211</v>
      </c>
      <c r="C26" s="1" t="s">
        <v>145</v>
      </c>
      <c r="D26" s="1" t="s">
        <v>213</v>
      </c>
      <c r="E26" s="1" t="s">
        <v>291</v>
      </c>
      <c r="F26" s="1" t="s">
        <v>305</v>
      </c>
      <c r="G26" s="9">
        <v>8</v>
      </c>
      <c r="H26" s="9">
        <v>60</v>
      </c>
      <c r="I26" s="9">
        <f t="shared" si="1"/>
        <v>480</v>
      </c>
      <c r="J26" s="9">
        <v>1920</v>
      </c>
      <c r="K26" s="1" t="s">
        <v>301</v>
      </c>
      <c r="L26" s="7">
        <v>46681</v>
      </c>
      <c r="M26" s="1" t="s">
        <v>294</v>
      </c>
      <c r="N26" s="1" t="s">
        <v>297</v>
      </c>
      <c r="O26" s="1" t="s">
        <v>296</v>
      </c>
      <c r="P26" s="1" t="s">
        <v>295</v>
      </c>
    </row>
    <row r="27" spans="1:16" x14ac:dyDescent="0.25">
      <c r="A27" s="1" t="s">
        <v>345</v>
      </c>
      <c r="B27" s="1" t="s">
        <v>211</v>
      </c>
      <c r="C27" s="1" t="s">
        <v>145</v>
      </c>
      <c r="D27" s="1" t="s">
        <v>214</v>
      </c>
      <c r="E27" s="1" t="s">
        <v>299</v>
      </c>
      <c r="F27" s="1" t="s">
        <v>333</v>
      </c>
      <c r="G27" s="9">
        <v>16</v>
      </c>
      <c r="H27" s="9">
        <v>24</v>
      </c>
      <c r="I27" s="9">
        <f t="shared" si="1"/>
        <v>384</v>
      </c>
      <c r="J27" s="9">
        <v>3072</v>
      </c>
      <c r="K27" s="1" t="s">
        <v>293</v>
      </c>
      <c r="L27" s="7">
        <v>46628</v>
      </c>
      <c r="M27" s="1" t="s">
        <v>334</v>
      </c>
      <c r="N27" s="1" t="s">
        <v>295</v>
      </c>
      <c r="O27" s="1" t="s">
        <v>296</v>
      </c>
      <c r="P27" s="1" t="s">
        <v>297</v>
      </c>
    </row>
    <row r="28" spans="1:16" x14ac:dyDescent="0.25">
      <c r="A28" s="1" t="s">
        <v>346</v>
      </c>
      <c r="B28" s="1" t="s">
        <v>211</v>
      </c>
      <c r="C28" s="1" t="s">
        <v>145</v>
      </c>
      <c r="D28" s="1" t="s">
        <v>213</v>
      </c>
      <c r="E28" s="1" t="s">
        <v>307</v>
      </c>
      <c r="F28" s="1" t="s">
        <v>340</v>
      </c>
      <c r="G28" s="9">
        <v>32</v>
      </c>
      <c r="H28" s="9">
        <v>16</v>
      </c>
      <c r="I28" s="9">
        <f t="shared" si="1"/>
        <v>512</v>
      </c>
      <c r="J28" s="9">
        <v>1024</v>
      </c>
      <c r="K28" s="1" t="s">
        <v>293</v>
      </c>
      <c r="L28" s="7">
        <v>46613</v>
      </c>
      <c r="M28" s="1" t="s">
        <v>341</v>
      </c>
      <c r="N28" s="1" t="s">
        <v>297</v>
      </c>
      <c r="O28" s="1" t="s">
        <v>303</v>
      </c>
      <c r="P28" s="1" t="s">
        <v>295</v>
      </c>
    </row>
    <row r="29" spans="1:16" x14ac:dyDescent="0.25">
      <c r="A29" s="1" t="s">
        <v>347</v>
      </c>
      <c r="B29" s="1" t="s">
        <v>211</v>
      </c>
      <c r="C29" s="1" t="s">
        <v>145</v>
      </c>
      <c r="D29" s="1" t="s">
        <v>213</v>
      </c>
      <c r="E29" s="1" t="s">
        <v>299</v>
      </c>
      <c r="F29" s="1" t="s">
        <v>300</v>
      </c>
      <c r="G29" s="9">
        <v>64</v>
      </c>
      <c r="H29" s="9">
        <v>24</v>
      </c>
      <c r="I29" s="9">
        <f t="shared" si="1"/>
        <v>1536</v>
      </c>
      <c r="J29" s="9">
        <v>12288</v>
      </c>
      <c r="K29" s="1" t="s">
        <v>301</v>
      </c>
      <c r="L29" s="7">
        <v>46689</v>
      </c>
      <c r="M29" s="1" t="s">
        <v>302</v>
      </c>
      <c r="N29" s="1" t="s">
        <v>295</v>
      </c>
      <c r="O29" s="1" t="s">
        <v>303</v>
      </c>
      <c r="P29" s="1" t="s">
        <v>297</v>
      </c>
    </row>
    <row r="30" spans="1:16" x14ac:dyDescent="0.25">
      <c r="A30" s="1" t="s">
        <v>348</v>
      </c>
      <c r="B30" s="1" t="s">
        <v>211</v>
      </c>
      <c r="C30" s="1" t="s">
        <v>145</v>
      </c>
      <c r="D30" s="1" t="s">
        <v>213</v>
      </c>
      <c r="E30" s="1" t="s">
        <v>299</v>
      </c>
      <c r="F30" s="1" t="s">
        <v>337</v>
      </c>
      <c r="G30" s="9">
        <v>32</v>
      </c>
      <c r="H30" s="9">
        <v>24</v>
      </c>
      <c r="I30" s="9">
        <f t="shared" si="1"/>
        <v>768</v>
      </c>
      <c r="J30" s="9">
        <v>6144</v>
      </c>
      <c r="K30" s="1" t="s">
        <v>293</v>
      </c>
      <c r="L30" s="7">
        <v>46627</v>
      </c>
      <c r="M30" s="1" t="s">
        <v>302</v>
      </c>
      <c r="N30" s="1" t="s">
        <v>295</v>
      </c>
      <c r="O30" s="1" t="s">
        <v>303</v>
      </c>
      <c r="P30" s="1" t="s">
        <v>295</v>
      </c>
    </row>
    <row r="31" spans="1:16" x14ac:dyDescent="0.25">
      <c r="A31" s="1" t="s">
        <v>349</v>
      </c>
      <c r="B31" s="1" t="s">
        <v>211</v>
      </c>
      <c r="C31" s="1" t="s">
        <v>145</v>
      </c>
      <c r="D31" s="1" t="s">
        <v>214</v>
      </c>
      <c r="E31" s="1" t="s">
        <v>291</v>
      </c>
      <c r="F31" s="1" t="s">
        <v>326</v>
      </c>
      <c r="G31" s="9">
        <v>16</v>
      </c>
      <c r="H31" s="9">
        <v>60</v>
      </c>
      <c r="I31" s="9">
        <f t="shared" si="1"/>
        <v>960</v>
      </c>
      <c r="J31" s="9">
        <v>7680</v>
      </c>
      <c r="K31" s="1" t="s">
        <v>301</v>
      </c>
      <c r="L31" s="7">
        <v>46689</v>
      </c>
      <c r="M31" s="1" t="s">
        <v>302</v>
      </c>
      <c r="N31" s="1" t="s">
        <v>297</v>
      </c>
      <c r="O31" s="1" t="s">
        <v>296</v>
      </c>
      <c r="P31" s="1" t="s">
        <v>295</v>
      </c>
    </row>
    <row r="32" spans="1:16" x14ac:dyDescent="0.25">
      <c r="A32" s="1" t="s">
        <v>350</v>
      </c>
      <c r="B32" s="1" t="s">
        <v>215</v>
      </c>
      <c r="C32" s="1" t="s">
        <v>151</v>
      </c>
      <c r="D32" s="1" t="s">
        <v>217</v>
      </c>
      <c r="E32" s="1" t="s">
        <v>299</v>
      </c>
      <c r="F32" s="1" t="s">
        <v>351</v>
      </c>
      <c r="G32" s="9">
        <v>176</v>
      </c>
      <c r="H32" s="9">
        <v>32</v>
      </c>
      <c r="I32" s="9">
        <f t="shared" si="1"/>
        <v>5632</v>
      </c>
      <c r="J32" s="9">
        <v>24576</v>
      </c>
      <c r="K32" s="1" t="s">
        <v>293</v>
      </c>
      <c r="L32" s="7">
        <v>46454</v>
      </c>
      <c r="M32" s="1" t="s">
        <v>352</v>
      </c>
      <c r="N32" s="1" t="s">
        <v>297</v>
      </c>
      <c r="O32" s="1" t="s">
        <v>296</v>
      </c>
      <c r="P32" s="1" t="s">
        <v>295</v>
      </c>
    </row>
    <row r="33" spans="1:16" x14ac:dyDescent="0.25">
      <c r="A33" s="1" t="s">
        <v>353</v>
      </c>
      <c r="B33" s="1" t="s">
        <v>215</v>
      </c>
      <c r="C33" s="1" t="s">
        <v>151</v>
      </c>
      <c r="D33" s="1" t="s">
        <v>217</v>
      </c>
      <c r="E33" s="1" t="s">
        <v>291</v>
      </c>
      <c r="F33" s="1" t="s">
        <v>351</v>
      </c>
      <c r="G33" s="9">
        <v>176</v>
      </c>
      <c r="H33" s="9">
        <v>16</v>
      </c>
      <c r="I33" s="9">
        <f t="shared" si="1"/>
        <v>2816</v>
      </c>
      <c r="J33" s="9">
        <v>12288</v>
      </c>
      <c r="K33" s="1" t="s">
        <v>293</v>
      </c>
      <c r="L33" s="7">
        <v>46464</v>
      </c>
      <c r="M33" s="1" t="s">
        <v>352</v>
      </c>
      <c r="N33" s="1" t="s">
        <v>297</v>
      </c>
      <c r="O33" s="1" t="s">
        <v>296</v>
      </c>
      <c r="P33" s="1" t="s">
        <v>295</v>
      </c>
    </row>
    <row r="34" spans="1:16" x14ac:dyDescent="0.25">
      <c r="A34" s="1" t="s">
        <v>354</v>
      </c>
      <c r="B34" s="1" t="s">
        <v>215</v>
      </c>
      <c r="C34" s="1" t="s">
        <v>151</v>
      </c>
      <c r="D34" s="1" t="s">
        <v>191</v>
      </c>
      <c r="E34" s="1" t="s">
        <v>299</v>
      </c>
      <c r="F34" s="1" t="s">
        <v>317</v>
      </c>
      <c r="G34" s="9">
        <v>32</v>
      </c>
      <c r="H34" s="9">
        <v>20</v>
      </c>
      <c r="I34" s="9">
        <f t="shared" si="1"/>
        <v>640</v>
      </c>
      <c r="J34" s="9">
        <v>2560</v>
      </c>
      <c r="K34" s="1" t="s">
        <v>311</v>
      </c>
      <c r="L34" s="7">
        <v>46607</v>
      </c>
      <c r="M34" s="1" t="s">
        <v>294</v>
      </c>
      <c r="N34" s="1" t="s">
        <v>297</v>
      </c>
      <c r="O34" s="1" t="s">
        <v>296</v>
      </c>
      <c r="P34" s="1" t="s">
        <v>295</v>
      </c>
    </row>
    <row r="35" spans="1:16" x14ac:dyDescent="0.25">
      <c r="A35" s="1" t="s">
        <v>355</v>
      </c>
      <c r="B35" s="1" t="s">
        <v>215</v>
      </c>
      <c r="C35" s="1" t="s">
        <v>151</v>
      </c>
      <c r="D35" s="1" t="s">
        <v>191</v>
      </c>
      <c r="E35" s="1" t="s">
        <v>291</v>
      </c>
      <c r="F35" s="1" t="s">
        <v>326</v>
      </c>
      <c r="G35" s="9">
        <v>16</v>
      </c>
      <c r="H35" s="9">
        <v>30</v>
      </c>
      <c r="I35" s="9">
        <f t="shared" ref="I35:I66" si="2">G35*H35</f>
        <v>480</v>
      </c>
      <c r="J35" s="9">
        <v>3840</v>
      </c>
      <c r="K35" s="1" t="s">
        <v>301</v>
      </c>
      <c r="L35" s="7">
        <v>46527</v>
      </c>
      <c r="M35" s="1" t="s">
        <v>302</v>
      </c>
      <c r="N35" s="1" t="s">
        <v>295</v>
      </c>
      <c r="O35" s="1" t="s">
        <v>296</v>
      </c>
      <c r="P35" s="1" t="s">
        <v>295</v>
      </c>
    </row>
    <row r="36" spans="1:16" x14ac:dyDescent="0.25">
      <c r="A36" s="1" t="s">
        <v>356</v>
      </c>
      <c r="B36" s="1" t="s">
        <v>215</v>
      </c>
      <c r="C36" s="1" t="s">
        <v>151</v>
      </c>
      <c r="D36" s="1" t="s">
        <v>217</v>
      </c>
      <c r="E36" s="1" t="s">
        <v>291</v>
      </c>
      <c r="F36" s="1" t="s">
        <v>326</v>
      </c>
      <c r="G36" s="9">
        <v>16</v>
      </c>
      <c r="H36" s="9">
        <v>90</v>
      </c>
      <c r="I36" s="9">
        <f t="shared" si="2"/>
        <v>1440</v>
      </c>
      <c r="J36" s="9">
        <v>11520</v>
      </c>
      <c r="K36" s="1" t="s">
        <v>311</v>
      </c>
      <c r="L36" s="7">
        <v>46599</v>
      </c>
      <c r="M36" s="1" t="s">
        <v>302</v>
      </c>
      <c r="N36" s="1" t="s">
        <v>295</v>
      </c>
      <c r="O36" s="1" t="s">
        <v>303</v>
      </c>
      <c r="P36" s="1" t="s">
        <v>297</v>
      </c>
    </row>
    <row r="37" spans="1:16" x14ac:dyDescent="0.25">
      <c r="A37" s="1" t="s">
        <v>357</v>
      </c>
      <c r="B37" s="1" t="s">
        <v>219</v>
      </c>
      <c r="C37" s="1" t="s">
        <v>151</v>
      </c>
      <c r="D37" s="1" t="s">
        <v>192</v>
      </c>
      <c r="E37" s="1" t="s">
        <v>299</v>
      </c>
      <c r="F37" s="1" t="s">
        <v>330</v>
      </c>
      <c r="G37" s="9">
        <v>40</v>
      </c>
      <c r="H37" s="9">
        <v>8</v>
      </c>
      <c r="I37" s="9">
        <f t="shared" si="2"/>
        <v>320</v>
      </c>
      <c r="J37" s="9">
        <v>2560</v>
      </c>
      <c r="K37" s="1" t="s">
        <v>293</v>
      </c>
      <c r="L37" s="7">
        <v>46514</v>
      </c>
      <c r="M37" s="1" t="s">
        <v>331</v>
      </c>
      <c r="N37" s="1" t="s">
        <v>295</v>
      </c>
      <c r="O37" s="1" t="s">
        <v>309</v>
      </c>
      <c r="P37" s="1" t="s">
        <v>295</v>
      </c>
    </row>
    <row r="38" spans="1:16" x14ac:dyDescent="0.25">
      <c r="A38" s="1" t="s">
        <v>358</v>
      </c>
      <c r="B38" s="1" t="s">
        <v>219</v>
      </c>
      <c r="C38" s="1" t="s">
        <v>151</v>
      </c>
      <c r="D38" s="1" t="s">
        <v>192</v>
      </c>
      <c r="E38" s="1" t="s">
        <v>291</v>
      </c>
      <c r="F38" s="1" t="s">
        <v>330</v>
      </c>
      <c r="G38" s="9">
        <v>40</v>
      </c>
      <c r="H38" s="9">
        <v>12</v>
      </c>
      <c r="I38" s="9">
        <f t="shared" si="2"/>
        <v>480</v>
      </c>
      <c r="J38" s="9">
        <v>3840</v>
      </c>
      <c r="K38" s="1" t="s">
        <v>311</v>
      </c>
      <c r="L38" s="7">
        <v>46646</v>
      </c>
      <c r="M38" s="1" t="s">
        <v>331</v>
      </c>
      <c r="N38" s="1" t="s">
        <v>297</v>
      </c>
      <c r="O38" s="1" t="s">
        <v>309</v>
      </c>
      <c r="P38" s="1" t="s">
        <v>295</v>
      </c>
    </row>
    <row r="39" spans="1:16" x14ac:dyDescent="0.25">
      <c r="A39" s="1" t="s">
        <v>359</v>
      </c>
      <c r="B39" s="1" t="s">
        <v>219</v>
      </c>
      <c r="C39" s="1" t="s">
        <v>151</v>
      </c>
      <c r="D39" s="1" t="s">
        <v>192</v>
      </c>
      <c r="E39" s="1" t="s">
        <v>291</v>
      </c>
      <c r="F39" s="1" t="s">
        <v>340</v>
      </c>
      <c r="G39" s="9">
        <v>32</v>
      </c>
      <c r="H39" s="9">
        <v>60</v>
      </c>
      <c r="I39" s="9">
        <f t="shared" si="2"/>
        <v>1920</v>
      </c>
      <c r="J39" s="9">
        <v>3840</v>
      </c>
      <c r="K39" s="1" t="s">
        <v>301</v>
      </c>
      <c r="L39" s="7">
        <v>46573</v>
      </c>
      <c r="M39" s="1" t="s">
        <v>341</v>
      </c>
      <c r="N39" s="1" t="s">
        <v>295</v>
      </c>
      <c r="O39" s="1" t="s">
        <v>296</v>
      </c>
      <c r="P39" s="1" t="s">
        <v>297</v>
      </c>
    </row>
    <row r="40" spans="1:16" x14ac:dyDescent="0.25">
      <c r="A40" s="1" t="s">
        <v>360</v>
      </c>
      <c r="B40" s="1" t="s">
        <v>219</v>
      </c>
      <c r="C40" s="1" t="s">
        <v>151</v>
      </c>
      <c r="D40" s="1" t="s">
        <v>192</v>
      </c>
      <c r="E40" s="1" t="s">
        <v>307</v>
      </c>
      <c r="F40" s="1" t="s">
        <v>337</v>
      </c>
      <c r="G40" s="9">
        <v>32</v>
      </c>
      <c r="H40" s="9">
        <v>90</v>
      </c>
      <c r="I40" s="9">
        <f t="shared" si="2"/>
        <v>2880</v>
      </c>
      <c r="J40" s="9">
        <v>23040</v>
      </c>
      <c r="K40" s="1" t="s">
        <v>293</v>
      </c>
      <c r="L40" s="7">
        <v>46505</v>
      </c>
      <c r="M40" s="1" t="s">
        <v>302</v>
      </c>
      <c r="N40" s="1" t="s">
        <v>295</v>
      </c>
      <c r="O40" s="1" t="s">
        <v>296</v>
      </c>
      <c r="P40" s="1" t="s">
        <v>295</v>
      </c>
    </row>
    <row r="41" spans="1:16" x14ac:dyDescent="0.25">
      <c r="A41" s="1" t="s">
        <v>361</v>
      </c>
      <c r="B41" s="1" t="s">
        <v>219</v>
      </c>
      <c r="C41" s="1" t="s">
        <v>151</v>
      </c>
      <c r="D41" s="1" t="s">
        <v>198</v>
      </c>
      <c r="E41" s="1" t="s">
        <v>307</v>
      </c>
      <c r="F41" s="1" t="s">
        <v>326</v>
      </c>
      <c r="G41" s="9">
        <v>16</v>
      </c>
      <c r="H41" s="9">
        <v>40</v>
      </c>
      <c r="I41" s="9">
        <f t="shared" si="2"/>
        <v>640</v>
      </c>
      <c r="J41" s="9">
        <v>5120</v>
      </c>
      <c r="K41" s="1" t="s">
        <v>293</v>
      </c>
      <c r="L41" s="7">
        <v>46508</v>
      </c>
      <c r="M41" s="1" t="s">
        <v>302</v>
      </c>
      <c r="N41" s="1" t="s">
        <v>295</v>
      </c>
      <c r="O41" s="1" t="s">
        <v>303</v>
      </c>
      <c r="P41" s="1" t="s">
        <v>297</v>
      </c>
    </row>
    <row r="42" spans="1:16" x14ac:dyDescent="0.25">
      <c r="A42" s="1" t="s">
        <v>362</v>
      </c>
      <c r="B42" s="1" t="s">
        <v>219</v>
      </c>
      <c r="C42" s="1" t="s">
        <v>151</v>
      </c>
      <c r="D42" s="1" t="s">
        <v>198</v>
      </c>
      <c r="E42" s="1" t="s">
        <v>291</v>
      </c>
      <c r="F42" s="1" t="s">
        <v>305</v>
      </c>
      <c r="G42" s="9">
        <v>8</v>
      </c>
      <c r="H42" s="9">
        <v>30</v>
      </c>
      <c r="I42" s="9">
        <f t="shared" si="2"/>
        <v>240</v>
      </c>
      <c r="J42" s="9">
        <v>960</v>
      </c>
      <c r="K42" s="1" t="s">
        <v>301</v>
      </c>
      <c r="L42" s="7">
        <v>46580</v>
      </c>
      <c r="M42" s="1" t="s">
        <v>294</v>
      </c>
      <c r="N42" s="1" t="s">
        <v>297</v>
      </c>
      <c r="O42" s="1" t="s">
        <v>309</v>
      </c>
      <c r="P42" s="1" t="s">
        <v>295</v>
      </c>
    </row>
    <row r="43" spans="1:16" x14ac:dyDescent="0.25">
      <c r="A43" s="1" t="s">
        <v>363</v>
      </c>
      <c r="B43" s="1" t="s">
        <v>221</v>
      </c>
      <c r="C43" s="1" t="s">
        <v>151</v>
      </c>
      <c r="D43" s="1" t="s">
        <v>217</v>
      </c>
      <c r="E43" s="1" t="s">
        <v>307</v>
      </c>
      <c r="F43" s="1" t="s">
        <v>321</v>
      </c>
      <c r="G43" s="9">
        <v>128</v>
      </c>
      <c r="H43" s="9">
        <v>6</v>
      </c>
      <c r="I43" s="9">
        <f t="shared" si="2"/>
        <v>768</v>
      </c>
      <c r="J43" s="9">
        <v>23352</v>
      </c>
      <c r="K43" s="1" t="s">
        <v>301</v>
      </c>
      <c r="L43" s="7">
        <v>46401</v>
      </c>
      <c r="M43" s="1" t="s">
        <v>322</v>
      </c>
      <c r="N43" s="1" t="s">
        <v>297</v>
      </c>
      <c r="O43" s="1" t="s">
        <v>296</v>
      </c>
      <c r="P43" s="1" t="s">
        <v>297</v>
      </c>
    </row>
    <row r="44" spans="1:16" x14ac:dyDescent="0.25">
      <c r="A44" s="1" t="s">
        <v>364</v>
      </c>
      <c r="B44" s="1" t="s">
        <v>221</v>
      </c>
      <c r="C44" s="1" t="s">
        <v>151</v>
      </c>
      <c r="D44" s="1" t="s">
        <v>217</v>
      </c>
      <c r="E44" s="1" t="s">
        <v>299</v>
      </c>
      <c r="F44" s="1" t="s">
        <v>292</v>
      </c>
      <c r="G44" s="9">
        <v>16</v>
      </c>
      <c r="H44" s="9">
        <v>24</v>
      </c>
      <c r="I44" s="9">
        <f t="shared" si="2"/>
        <v>384</v>
      </c>
      <c r="J44" s="9">
        <v>1536</v>
      </c>
      <c r="K44" s="1" t="s">
        <v>311</v>
      </c>
      <c r="L44" s="7">
        <v>46482</v>
      </c>
      <c r="M44" s="1" t="s">
        <v>294</v>
      </c>
      <c r="N44" s="1" t="s">
        <v>295</v>
      </c>
      <c r="O44" s="1" t="s">
        <v>303</v>
      </c>
      <c r="P44" s="1" t="s">
        <v>297</v>
      </c>
    </row>
    <row r="45" spans="1:16" x14ac:dyDescent="0.25">
      <c r="A45" s="1" t="s">
        <v>365</v>
      </c>
      <c r="B45" s="1" t="s">
        <v>221</v>
      </c>
      <c r="C45" s="1" t="s">
        <v>151</v>
      </c>
      <c r="D45" s="1" t="s">
        <v>224</v>
      </c>
      <c r="E45" s="1" t="s">
        <v>291</v>
      </c>
      <c r="F45" s="1" t="s">
        <v>366</v>
      </c>
      <c r="G45" s="9">
        <v>32</v>
      </c>
      <c r="H45" s="9">
        <v>16</v>
      </c>
      <c r="I45" s="9">
        <f t="shared" si="2"/>
        <v>512</v>
      </c>
      <c r="J45" s="9">
        <v>4096</v>
      </c>
      <c r="K45" s="1" t="s">
        <v>311</v>
      </c>
      <c r="L45" s="7">
        <v>46479</v>
      </c>
      <c r="M45" s="1" t="s">
        <v>302</v>
      </c>
      <c r="N45" s="1" t="s">
        <v>297</v>
      </c>
      <c r="O45" s="1" t="s">
        <v>309</v>
      </c>
      <c r="P45" s="1" t="s">
        <v>297</v>
      </c>
    </row>
    <row r="46" spans="1:16" x14ac:dyDescent="0.25">
      <c r="A46" s="1" t="s">
        <v>367</v>
      </c>
      <c r="B46" s="1" t="s">
        <v>225</v>
      </c>
      <c r="C46" s="1" t="s">
        <v>151</v>
      </c>
      <c r="D46" s="1" t="s">
        <v>214</v>
      </c>
      <c r="E46" s="1" t="s">
        <v>299</v>
      </c>
      <c r="F46" s="1" t="s">
        <v>366</v>
      </c>
      <c r="G46" s="9">
        <v>32</v>
      </c>
      <c r="H46" s="9">
        <v>60</v>
      </c>
      <c r="I46" s="9">
        <f t="shared" si="2"/>
        <v>1920</v>
      </c>
      <c r="J46" s="9">
        <v>15360</v>
      </c>
      <c r="K46" s="1" t="s">
        <v>311</v>
      </c>
      <c r="L46" s="7">
        <v>46640</v>
      </c>
      <c r="M46" s="1" t="s">
        <v>302</v>
      </c>
      <c r="N46" s="1" t="s">
        <v>295</v>
      </c>
      <c r="O46" s="1" t="s">
        <v>296</v>
      </c>
      <c r="P46" s="1" t="s">
        <v>295</v>
      </c>
    </row>
    <row r="47" spans="1:16" x14ac:dyDescent="0.25">
      <c r="A47" s="1" t="s">
        <v>368</v>
      </c>
      <c r="B47" s="1" t="s">
        <v>225</v>
      </c>
      <c r="C47" s="1" t="s">
        <v>151</v>
      </c>
      <c r="D47" s="1" t="s">
        <v>198</v>
      </c>
      <c r="E47" s="1" t="s">
        <v>307</v>
      </c>
      <c r="F47" s="1" t="s">
        <v>308</v>
      </c>
      <c r="G47" s="9">
        <v>64</v>
      </c>
      <c r="H47" s="9">
        <v>24</v>
      </c>
      <c r="I47" s="9">
        <f t="shared" si="2"/>
        <v>1536</v>
      </c>
      <c r="J47" s="9">
        <v>6144</v>
      </c>
      <c r="K47" s="1" t="s">
        <v>293</v>
      </c>
      <c r="L47" s="7">
        <v>46506</v>
      </c>
      <c r="M47" s="1" t="s">
        <v>294</v>
      </c>
      <c r="N47" s="1" t="s">
        <v>295</v>
      </c>
      <c r="O47" s="1" t="s">
        <v>309</v>
      </c>
      <c r="P47" s="1" t="s">
        <v>295</v>
      </c>
    </row>
    <row r="48" spans="1:16" x14ac:dyDescent="0.25">
      <c r="A48" s="1" t="s">
        <v>369</v>
      </c>
      <c r="B48" s="1" t="s">
        <v>225</v>
      </c>
      <c r="C48" s="1" t="s">
        <v>151</v>
      </c>
      <c r="D48" s="1" t="s">
        <v>198</v>
      </c>
      <c r="E48" s="1" t="s">
        <v>299</v>
      </c>
      <c r="F48" s="1" t="s">
        <v>326</v>
      </c>
      <c r="G48" s="9">
        <v>16</v>
      </c>
      <c r="H48" s="9">
        <v>24</v>
      </c>
      <c r="I48" s="9">
        <f t="shared" si="2"/>
        <v>384</v>
      </c>
      <c r="J48" s="9">
        <v>3072</v>
      </c>
      <c r="K48" s="1" t="s">
        <v>301</v>
      </c>
      <c r="L48" s="7">
        <v>46579</v>
      </c>
      <c r="M48" s="1" t="s">
        <v>302</v>
      </c>
      <c r="N48" s="1" t="s">
        <v>295</v>
      </c>
      <c r="O48" s="1" t="s">
        <v>309</v>
      </c>
      <c r="P48" s="1" t="s">
        <v>297</v>
      </c>
    </row>
    <row r="49" spans="1:16" x14ac:dyDescent="0.25">
      <c r="A49" s="1" t="s">
        <v>370</v>
      </c>
      <c r="B49" s="1" t="s">
        <v>227</v>
      </c>
      <c r="C49" s="1" t="s">
        <v>151</v>
      </c>
      <c r="D49" s="1" t="s">
        <v>198</v>
      </c>
      <c r="E49" s="1" t="s">
        <v>299</v>
      </c>
      <c r="F49" s="1" t="s">
        <v>366</v>
      </c>
      <c r="G49" s="9">
        <v>32</v>
      </c>
      <c r="H49" s="9">
        <v>60</v>
      </c>
      <c r="I49" s="9">
        <f t="shared" si="2"/>
        <v>1920</v>
      </c>
      <c r="J49" s="9">
        <v>15360</v>
      </c>
      <c r="K49" s="1" t="s">
        <v>301</v>
      </c>
      <c r="L49" s="7">
        <v>46405</v>
      </c>
      <c r="M49" s="1" t="s">
        <v>302</v>
      </c>
      <c r="N49" s="1" t="s">
        <v>295</v>
      </c>
      <c r="O49" s="1" t="s">
        <v>303</v>
      </c>
      <c r="P49" s="1" t="s">
        <v>295</v>
      </c>
    </row>
    <row r="50" spans="1:16" x14ac:dyDescent="0.25">
      <c r="A50" s="1" t="s">
        <v>371</v>
      </c>
      <c r="B50" s="1" t="s">
        <v>227</v>
      </c>
      <c r="C50" s="1" t="s">
        <v>151</v>
      </c>
      <c r="D50" s="1" t="s">
        <v>198</v>
      </c>
      <c r="E50" s="1" t="s">
        <v>299</v>
      </c>
      <c r="F50" s="1" t="s">
        <v>321</v>
      </c>
      <c r="G50" s="9">
        <v>128</v>
      </c>
      <c r="H50" s="9">
        <v>2</v>
      </c>
      <c r="I50" s="9">
        <f t="shared" si="2"/>
        <v>256</v>
      </c>
      <c r="J50" s="9">
        <v>7784</v>
      </c>
      <c r="K50" s="1" t="s">
        <v>311</v>
      </c>
      <c r="L50" s="7">
        <v>46477</v>
      </c>
      <c r="M50" s="1" t="s">
        <v>322</v>
      </c>
      <c r="N50" s="1" t="s">
        <v>297</v>
      </c>
      <c r="O50" s="1" t="s">
        <v>309</v>
      </c>
      <c r="P50" s="1" t="s">
        <v>295</v>
      </c>
    </row>
    <row r="51" spans="1:16" x14ac:dyDescent="0.25">
      <c r="A51" s="1" t="s">
        <v>372</v>
      </c>
      <c r="B51" s="1" t="s">
        <v>227</v>
      </c>
      <c r="C51" s="1" t="s">
        <v>151</v>
      </c>
      <c r="D51" s="1" t="s">
        <v>217</v>
      </c>
      <c r="E51" s="1" t="s">
        <v>307</v>
      </c>
      <c r="F51" s="1" t="s">
        <v>292</v>
      </c>
      <c r="G51" s="9">
        <v>16</v>
      </c>
      <c r="H51" s="9">
        <v>16</v>
      </c>
      <c r="I51" s="9">
        <f t="shared" si="2"/>
        <v>256</v>
      </c>
      <c r="J51" s="9">
        <v>1024</v>
      </c>
      <c r="K51" s="1" t="s">
        <v>301</v>
      </c>
      <c r="L51" s="7">
        <v>46389</v>
      </c>
      <c r="M51" s="1" t="s">
        <v>294</v>
      </c>
      <c r="N51" s="1" t="s">
        <v>295</v>
      </c>
      <c r="O51" s="1" t="s">
        <v>303</v>
      </c>
      <c r="P51" s="1" t="s">
        <v>297</v>
      </c>
    </row>
    <row r="52" spans="1:16" x14ac:dyDescent="0.25">
      <c r="A52" s="1" t="s">
        <v>373</v>
      </c>
      <c r="B52" s="1" t="s">
        <v>230</v>
      </c>
      <c r="C52" s="1" t="s">
        <v>156</v>
      </c>
      <c r="D52" s="1" t="s">
        <v>198</v>
      </c>
      <c r="E52" s="1" t="s">
        <v>307</v>
      </c>
      <c r="F52" s="1" t="s">
        <v>313</v>
      </c>
      <c r="G52" s="9">
        <v>96</v>
      </c>
      <c r="H52" s="9">
        <v>10</v>
      </c>
      <c r="I52" s="9">
        <f t="shared" si="2"/>
        <v>960</v>
      </c>
      <c r="J52" s="9">
        <v>19000</v>
      </c>
      <c r="K52" s="1" t="s">
        <v>293</v>
      </c>
      <c r="L52" s="7">
        <v>46538</v>
      </c>
      <c r="M52" s="1" t="s">
        <v>314</v>
      </c>
      <c r="N52" s="1" t="s">
        <v>295</v>
      </c>
      <c r="O52" s="1" t="s">
        <v>309</v>
      </c>
      <c r="P52" s="1" t="s">
        <v>295</v>
      </c>
    </row>
    <row r="53" spans="1:16" x14ac:dyDescent="0.25">
      <c r="A53" s="1" t="s">
        <v>374</v>
      </c>
      <c r="B53" s="1" t="s">
        <v>230</v>
      </c>
      <c r="C53" s="1" t="s">
        <v>156</v>
      </c>
      <c r="D53" s="1" t="s">
        <v>198</v>
      </c>
      <c r="E53" s="1" t="s">
        <v>291</v>
      </c>
      <c r="F53" s="1" t="s">
        <v>330</v>
      </c>
      <c r="G53" s="9">
        <v>40</v>
      </c>
      <c r="H53" s="9">
        <v>8</v>
      </c>
      <c r="I53" s="9">
        <f t="shared" si="2"/>
        <v>320</v>
      </c>
      <c r="J53" s="9">
        <v>2560</v>
      </c>
      <c r="K53" s="1" t="s">
        <v>311</v>
      </c>
      <c r="L53" s="7">
        <v>46672</v>
      </c>
      <c r="M53" s="1" t="s">
        <v>331</v>
      </c>
      <c r="N53" s="1" t="s">
        <v>295</v>
      </c>
      <c r="O53" s="1" t="s">
        <v>309</v>
      </c>
      <c r="P53" s="1" t="s">
        <v>295</v>
      </c>
    </row>
    <row r="54" spans="1:16" x14ac:dyDescent="0.25">
      <c r="A54" s="1" t="s">
        <v>375</v>
      </c>
      <c r="B54" s="1" t="s">
        <v>230</v>
      </c>
      <c r="C54" s="1" t="s">
        <v>156</v>
      </c>
      <c r="D54" s="1" t="s">
        <v>198</v>
      </c>
      <c r="E54" s="1" t="s">
        <v>291</v>
      </c>
      <c r="F54" s="1" t="s">
        <v>308</v>
      </c>
      <c r="G54" s="9">
        <v>64</v>
      </c>
      <c r="H54" s="9">
        <v>30</v>
      </c>
      <c r="I54" s="9">
        <f t="shared" si="2"/>
        <v>1920</v>
      </c>
      <c r="J54" s="9">
        <v>7680</v>
      </c>
      <c r="K54" s="1" t="s">
        <v>293</v>
      </c>
      <c r="L54" s="7">
        <v>46530</v>
      </c>
      <c r="M54" s="1" t="s">
        <v>294</v>
      </c>
      <c r="N54" s="1" t="s">
        <v>295</v>
      </c>
      <c r="O54" s="1" t="s">
        <v>296</v>
      </c>
      <c r="P54" s="1" t="s">
        <v>297</v>
      </c>
    </row>
    <row r="55" spans="1:16" x14ac:dyDescent="0.25">
      <c r="A55" s="1" t="s">
        <v>376</v>
      </c>
      <c r="B55" s="1" t="s">
        <v>230</v>
      </c>
      <c r="C55" s="1" t="s">
        <v>156</v>
      </c>
      <c r="D55" s="1" t="s">
        <v>210</v>
      </c>
      <c r="E55" s="1" t="s">
        <v>307</v>
      </c>
      <c r="F55" s="1" t="s">
        <v>317</v>
      </c>
      <c r="G55" s="9">
        <v>32</v>
      </c>
      <c r="H55" s="9">
        <v>16</v>
      </c>
      <c r="I55" s="9">
        <f t="shared" si="2"/>
        <v>512</v>
      </c>
      <c r="J55" s="9">
        <v>2048</v>
      </c>
      <c r="K55" s="1" t="s">
        <v>311</v>
      </c>
      <c r="L55" s="7">
        <v>46657</v>
      </c>
      <c r="M55" s="1" t="s">
        <v>294</v>
      </c>
      <c r="N55" s="1" t="s">
        <v>295</v>
      </c>
      <c r="O55" s="1" t="s">
        <v>309</v>
      </c>
      <c r="P55" s="1" t="s">
        <v>295</v>
      </c>
    </row>
    <row r="56" spans="1:16" x14ac:dyDescent="0.25">
      <c r="A56" s="1" t="s">
        <v>377</v>
      </c>
      <c r="B56" s="1" t="s">
        <v>230</v>
      </c>
      <c r="C56" s="1" t="s">
        <v>156</v>
      </c>
      <c r="D56" s="1" t="s">
        <v>210</v>
      </c>
      <c r="E56" s="1" t="s">
        <v>291</v>
      </c>
      <c r="F56" s="1" t="s">
        <v>326</v>
      </c>
      <c r="G56" s="9">
        <v>16</v>
      </c>
      <c r="H56" s="9">
        <v>20</v>
      </c>
      <c r="I56" s="9">
        <f t="shared" si="2"/>
        <v>320</v>
      </c>
      <c r="J56" s="9">
        <v>2560</v>
      </c>
      <c r="K56" s="1" t="s">
        <v>293</v>
      </c>
      <c r="L56" s="7">
        <v>46522</v>
      </c>
      <c r="M56" s="1" t="s">
        <v>302</v>
      </c>
      <c r="N56" s="1" t="s">
        <v>295</v>
      </c>
      <c r="O56" s="1" t="s">
        <v>296</v>
      </c>
      <c r="P56" s="1" t="s">
        <v>295</v>
      </c>
    </row>
    <row r="57" spans="1:16" x14ac:dyDescent="0.25">
      <c r="A57" s="1" t="s">
        <v>378</v>
      </c>
      <c r="B57" s="1" t="s">
        <v>232</v>
      </c>
      <c r="C57" s="1" t="s">
        <v>156</v>
      </c>
      <c r="D57" s="1" t="s">
        <v>191</v>
      </c>
      <c r="E57" s="1" t="s">
        <v>299</v>
      </c>
      <c r="F57" s="1" t="s">
        <v>333</v>
      </c>
      <c r="G57" s="9">
        <v>16</v>
      </c>
      <c r="H57" s="9">
        <v>75</v>
      </c>
      <c r="I57" s="9">
        <f t="shared" si="2"/>
        <v>1200</v>
      </c>
      <c r="J57" s="9">
        <v>9600</v>
      </c>
      <c r="K57" s="1" t="s">
        <v>293</v>
      </c>
      <c r="L57" s="7">
        <v>46596</v>
      </c>
      <c r="M57" s="1" t="s">
        <v>334</v>
      </c>
      <c r="N57" s="1" t="s">
        <v>295</v>
      </c>
      <c r="O57" s="1" t="s">
        <v>303</v>
      </c>
      <c r="P57" s="1" t="s">
        <v>297</v>
      </c>
    </row>
    <row r="58" spans="1:16" x14ac:dyDescent="0.25">
      <c r="A58" s="1" t="s">
        <v>379</v>
      </c>
      <c r="B58" s="1" t="s">
        <v>232</v>
      </c>
      <c r="C58" s="1" t="s">
        <v>156</v>
      </c>
      <c r="D58" s="1" t="s">
        <v>235</v>
      </c>
      <c r="E58" s="1" t="s">
        <v>299</v>
      </c>
      <c r="F58" s="1" t="s">
        <v>317</v>
      </c>
      <c r="G58" s="9">
        <v>32</v>
      </c>
      <c r="H58" s="9">
        <v>16</v>
      </c>
      <c r="I58" s="9">
        <f t="shared" si="2"/>
        <v>512</v>
      </c>
      <c r="J58" s="9">
        <v>2048</v>
      </c>
      <c r="K58" s="1" t="s">
        <v>301</v>
      </c>
      <c r="L58" s="7">
        <v>46662</v>
      </c>
      <c r="M58" s="1" t="s">
        <v>294</v>
      </c>
      <c r="N58" s="1" t="s">
        <v>297</v>
      </c>
      <c r="O58" s="1" t="s">
        <v>303</v>
      </c>
      <c r="P58" s="1" t="s">
        <v>295</v>
      </c>
    </row>
    <row r="59" spans="1:16" x14ac:dyDescent="0.25">
      <c r="A59" s="1" t="s">
        <v>380</v>
      </c>
      <c r="B59" s="1" t="s">
        <v>232</v>
      </c>
      <c r="C59" s="1" t="s">
        <v>156</v>
      </c>
      <c r="D59" s="1" t="s">
        <v>191</v>
      </c>
      <c r="E59" s="1" t="s">
        <v>299</v>
      </c>
      <c r="F59" s="1" t="s">
        <v>337</v>
      </c>
      <c r="G59" s="9">
        <v>32</v>
      </c>
      <c r="H59" s="9">
        <v>120</v>
      </c>
      <c r="I59" s="9">
        <f t="shared" si="2"/>
        <v>3840</v>
      </c>
      <c r="J59" s="9">
        <v>30720</v>
      </c>
      <c r="K59" s="1" t="s">
        <v>293</v>
      </c>
      <c r="L59" s="7">
        <v>46590</v>
      </c>
      <c r="M59" s="1" t="s">
        <v>302</v>
      </c>
      <c r="N59" s="1" t="s">
        <v>297</v>
      </c>
      <c r="O59" s="1" t="s">
        <v>296</v>
      </c>
      <c r="P59" s="1" t="s">
        <v>295</v>
      </c>
    </row>
    <row r="60" spans="1:16" x14ac:dyDescent="0.25">
      <c r="A60" s="1" t="s">
        <v>381</v>
      </c>
      <c r="B60" s="1" t="s">
        <v>236</v>
      </c>
      <c r="C60" s="1" t="s">
        <v>156</v>
      </c>
      <c r="D60" s="1" t="s">
        <v>198</v>
      </c>
      <c r="E60" s="1" t="s">
        <v>307</v>
      </c>
      <c r="F60" s="1" t="s">
        <v>382</v>
      </c>
      <c r="G60" s="9">
        <v>24</v>
      </c>
      <c r="H60" s="9">
        <v>32</v>
      </c>
      <c r="I60" s="9">
        <f t="shared" si="2"/>
        <v>768</v>
      </c>
      <c r="J60" s="9">
        <v>7040</v>
      </c>
      <c r="K60" s="1" t="s">
        <v>293</v>
      </c>
      <c r="L60" s="7">
        <v>46538</v>
      </c>
      <c r="M60" s="1" t="s">
        <v>331</v>
      </c>
      <c r="N60" s="1" t="s">
        <v>297</v>
      </c>
      <c r="O60" s="1" t="s">
        <v>309</v>
      </c>
      <c r="P60" s="1" t="s">
        <v>297</v>
      </c>
    </row>
    <row r="61" spans="1:16" x14ac:dyDescent="0.25">
      <c r="A61" s="1" t="s">
        <v>383</v>
      </c>
      <c r="B61" s="1" t="s">
        <v>236</v>
      </c>
      <c r="C61" s="1" t="s">
        <v>156</v>
      </c>
      <c r="D61" s="1" t="s">
        <v>198</v>
      </c>
      <c r="E61" s="1" t="s">
        <v>307</v>
      </c>
      <c r="F61" s="1" t="s">
        <v>330</v>
      </c>
      <c r="G61" s="9">
        <v>40</v>
      </c>
      <c r="H61" s="9">
        <v>32</v>
      </c>
      <c r="I61" s="9">
        <f t="shared" si="2"/>
        <v>1280</v>
      </c>
      <c r="J61" s="9">
        <v>10240</v>
      </c>
      <c r="K61" s="1" t="s">
        <v>311</v>
      </c>
      <c r="L61" s="7">
        <v>46677</v>
      </c>
      <c r="M61" s="1" t="s">
        <v>331</v>
      </c>
      <c r="N61" s="1" t="s">
        <v>297</v>
      </c>
      <c r="O61" s="1" t="s">
        <v>309</v>
      </c>
      <c r="P61" s="1" t="s">
        <v>295</v>
      </c>
    </row>
    <row r="62" spans="1:16" x14ac:dyDescent="0.25">
      <c r="A62" s="1" t="s">
        <v>384</v>
      </c>
      <c r="B62" s="1" t="s">
        <v>236</v>
      </c>
      <c r="C62" s="1" t="s">
        <v>156</v>
      </c>
      <c r="D62" s="1" t="s">
        <v>198</v>
      </c>
      <c r="E62" s="1" t="s">
        <v>307</v>
      </c>
      <c r="F62" s="1" t="s">
        <v>337</v>
      </c>
      <c r="G62" s="9">
        <v>32</v>
      </c>
      <c r="H62" s="9">
        <v>10</v>
      </c>
      <c r="I62" s="9">
        <f t="shared" si="2"/>
        <v>320</v>
      </c>
      <c r="J62" s="9">
        <v>2560</v>
      </c>
      <c r="K62" s="1" t="s">
        <v>301</v>
      </c>
      <c r="L62" s="7">
        <v>46575</v>
      </c>
      <c r="M62" s="1" t="s">
        <v>302</v>
      </c>
      <c r="N62" s="1" t="s">
        <v>297</v>
      </c>
      <c r="O62" s="1" t="s">
        <v>296</v>
      </c>
      <c r="P62" s="1" t="s">
        <v>297</v>
      </c>
    </row>
    <row r="63" spans="1:16" x14ac:dyDescent="0.25">
      <c r="A63" s="1" t="s">
        <v>385</v>
      </c>
      <c r="B63" s="1" t="s">
        <v>236</v>
      </c>
      <c r="C63" s="1" t="s">
        <v>156</v>
      </c>
      <c r="D63" s="1" t="s">
        <v>198</v>
      </c>
      <c r="E63" s="1" t="s">
        <v>291</v>
      </c>
      <c r="F63" s="1" t="s">
        <v>305</v>
      </c>
      <c r="G63" s="9">
        <v>8</v>
      </c>
      <c r="H63" s="9">
        <v>10</v>
      </c>
      <c r="I63" s="9">
        <f t="shared" si="2"/>
        <v>80</v>
      </c>
      <c r="J63" s="9">
        <v>320</v>
      </c>
      <c r="K63" s="1" t="s">
        <v>301</v>
      </c>
      <c r="L63" s="7">
        <v>46577</v>
      </c>
      <c r="M63" s="1" t="s">
        <v>294</v>
      </c>
      <c r="N63" s="1" t="s">
        <v>297</v>
      </c>
      <c r="O63" s="1" t="s">
        <v>303</v>
      </c>
      <c r="P63" s="1" t="s">
        <v>297</v>
      </c>
    </row>
    <row r="64" spans="1:16" x14ac:dyDescent="0.25">
      <c r="A64" s="1" t="s">
        <v>386</v>
      </c>
      <c r="B64" s="1" t="s">
        <v>236</v>
      </c>
      <c r="C64" s="1" t="s">
        <v>156</v>
      </c>
      <c r="D64" s="1" t="s">
        <v>210</v>
      </c>
      <c r="E64" s="1" t="s">
        <v>299</v>
      </c>
      <c r="F64" s="1" t="s">
        <v>340</v>
      </c>
      <c r="G64" s="9">
        <v>32</v>
      </c>
      <c r="H64" s="9">
        <v>75</v>
      </c>
      <c r="I64" s="9">
        <f t="shared" si="2"/>
        <v>2400</v>
      </c>
      <c r="J64" s="9">
        <v>4800</v>
      </c>
      <c r="K64" s="1" t="s">
        <v>293</v>
      </c>
      <c r="L64" s="7">
        <v>46537</v>
      </c>
      <c r="M64" s="1" t="s">
        <v>341</v>
      </c>
      <c r="N64" s="1" t="s">
        <v>297</v>
      </c>
      <c r="O64" s="1" t="s">
        <v>303</v>
      </c>
      <c r="P64" s="1" t="s">
        <v>297</v>
      </c>
    </row>
    <row r="65" spans="1:16" x14ac:dyDescent="0.25">
      <c r="A65" s="1" t="s">
        <v>387</v>
      </c>
      <c r="B65" s="1" t="s">
        <v>236</v>
      </c>
      <c r="C65" s="1" t="s">
        <v>156</v>
      </c>
      <c r="D65" s="1" t="s">
        <v>210</v>
      </c>
      <c r="E65" s="1" t="s">
        <v>307</v>
      </c>
      <c r="F65" s="1" t="s">
        <v>337</v>
      </c>
      <c r="G65" s="9">
        <v>32</v>
      </c>
      <c r="H65" s="9">
        <v>40</v>
      </c>
      <c r="I65" s="9">
        <f t="shared" si="2"/>
        <v>1280</v>
      </c>
      <c r="J65" s="9">
        <v>10240</v>
      </c>
      <c r="K65" s="1" t="s">
        <v>311</v>
      </c>
      <c r="L65" s="7">
        <v>46678</v>
      </c>
      <c r="M65" s="1" t="s">
        <v>302</v>
      </c>
      <c r="N65" s="1" t="s">
        <v>297</v>
      </c>
      <c r="O65" s="1" t="s">
        <v>296</v>
      </c>
      <c r="P65" s="1" t="s">
        <v>295</v>
      </c>
    </row>
    <row r="66" spans="1:16" x14ac:dyDescent="0.25">
      <c r="A66" s="1" t="s">
        <v>388</v>
      </c>
      <c r="B66" s="1" t="s">
        <v>238</v>
      </c>
      <c r="C66" s="1" t="s">
        <v>156</v>
      </c>
      <c r="D66" s="1" t="s">
        <v>191</v>
      </c>
      <c r="E66" s="1" t="s">
        <v>307</v>
      </c>
      <c r="F66" s="1" t="s">
        <v>292</v>
      </c>
      <c r="G66" s="9">
        <v>16</v>
      </c>
      <c r="H66" s="9">
        <v>16</v>
      </c>
      <c r="I66" s="9">
        <f t="shared" si="2"/>
        <v>256</v>
      </c>
      <c r="J66" s="9">
        <v>1024</v>
      </c>
      <c r="K66" s="1" t="s">
        <v>293</v>
      </c>
      <c r="L66" s="7">
        <v>46298</v>
      </c>
      <c r="M66" s="1" t="s">
        <v>294</v>
      </c>
      <c r="N66" s="1" t="s">
        <v>297</v>
      </c>
      <c r="O66" s="1" t="s">
        <v>309</v>
      </c>
      <c r="P66" s="1" t="s">
        <v>297</v>
      </c>
    </row>
    <row r="67" spans="1:16" x14ac:dyDescent="0.25">
      <c r="A67" s="1" t="s">
        <v>389</v>
      </c>
      <c r="B67" s="1" t="s">
        <v>238</v>
      </c>
      <c r="C67" s="1" t="s">
        <v>156</v>
      </c>
      <c r="D67" s="1" t="s">
        <v>191</v>
      </c>
      <c r="E67" s="1" t="s">
        <v>291</v>
      </c>
      <c r="F67" s="1" t="s">
        <v>317</v>
      </c>
      <c r="G67" s="9">
        <v>32</v>
      </c>
      <c r="H67" s="9">
        <v>24</v>
      </c>
      <c r="I67" s="9">
        <f t="shared" ref="I67:I98" si="3">G67*H67</f>
        <v>768</v>
      </c>
      <c r="J67" s="9">
        <v>3072</v>
      </c>
      <c r="K67" s="1" t="s">
        <v>301</v>
      </c>
      <c r="L67" s="7">
        <v>46377</v>
      </c>
      <c r="M67" s="1" t="s">
        <v>294</v>
      </c>
      <c r="N67" s="1" t="s">
        <v>295</v>
      </c>
      <c r="O67" s="1" t="s">
        <v>296</v>
      </c>
      <c r="P67" s="1" t="s">
        <v>295</v>
      </c>
    </row>
    <row r="68" spans="1:16" x14ac:dyDescent="0.25">
      <c r="A68" s="1" t="s">
        <v>390</v>
      </c>
      <c r="B68" s="1" t="s">
        <v>238</v>
      </c>
      <c r="C68" s="1" t="s">
        <v>156</v>
      </c>
      <c r="D68" s="1" t="s">
        <v>191</v>
      </c>
      <c r="E68" s="1" t="s">
        <v>291</v>
      </c>
      <c r="F68" s="1" t="s">
        <v>366</v>
      </c>
      <c r="G68" s="9">
        <v>32</v>
      </c>
      <c r="H68" s="9">
        <v>75</v>
      </c>
      <c r="I68" s="9">
        <f t="shared" si="3"/>
        <v>2400</v>
      </c>
      <c r="J68" s="9">
        <v>19200</v>
      </c>
      <c r="K68" s="1" t="s">
        <v>301</v>
      </c>
      <c r="L68" s="7">
        <v>46382</v>
      </c>
      <c r="M68" s="1" t="s">
        <v>302</v>
      </c>
      <c r="N68" s="1" t="s">
        <v>297</v>
      </c>
      <c r="O68" s="1" t="s">
        <v>296</v>
      </c>
      <c r="P68" s="1" t="s">
        <v>295</v>
      </c>
    </row>
    <row r="69" spans="1:16" x14ac:dyDescent="0.25">
      <c r="A69" s="1" t="s">
        <v>391</v>
      </c>
      <c r="B69" s="1" t="s">
        <v>238</v>
      </c>
      <c r="C69" s="1" t="s">
        <v>156</v>
      </c>
      <c r="D69" s="1" t="s">
        <v>191</v>
      </c>
      <c r="E69" s="1" t="s">
        <v>291</v>
      </c>
      <c r="F69" s="1" t="s">
        <v>340</v>
      </c>
      <c r="G69" s="9">
        <v>32</v>
      </c>
      <c r="H69" s="9">
        <v>60</v>
      </c>
      <c r="I69" s="9">
        <f t="shared" si="3"/>
        <v>1920</v>
      </c>
      <c r="J69" s="9">
        <v>3840</v>
      </c>
      <c r="K69" s="1" t="s">
        <v>293</v>
      </c>
      <c r="L69" s="7">
        <v>46312</v>
      </c>
      <c r="M69" s="1" t="s">
        <v>341</v>
      </c>
      <c r="N69" s="1" t="s">
        <v>297</v>
      </c>
      <c r="O69" s="1" t="s">
        <v>303</v>
      </c>
      <c r="P69" s="1" t="s">
        <v>295</v>
      </c>
    </row>
    <row r="70" spans="1:16" x14ac:dyDescent="0.25">
      <c r="A70" s="1" t="s">
        <v>392</v>
      </c>
      <c r="B70" s="1" t="s">
        <v>238</v>
      </c>
      <c r="C70" s="1" t="s">
        <v>156</v>
      </c>
      <c r="D70" s="1" t="s">
        <v>191</v>
      </c>
      <c r="E70" s="1" t="s">
        <v>307</v>
      </c>
      <c r="F70" s="1" t="s">
        <v>351</v>
      </c>
      <c r="G70" s="9">
        <v>176</v>
      </c>
      <c r="H70" s="9">
        <v>12</v>
      </c>
      <c r="I70" s="9">
        <f t="shared" si="3"/>
        <v>2112</v>
      </c>
      <c r="J70" s="9">
        <v>9216</v>
      </c>
      <c r="K70" s="1" t="s">
        <v>301</v>
      </c>
      <c r="L70" s="7">
        <v>46371</v>
      </c>
      <c r="M70" s="1" t="s">
        <v>352</v>
      </c>
      <c r="N70" s="1" t="s">
        <v>295</v>
      </c>
      <c r="O70" s="1" t="s">
        <v>296</v>
      </c>
      <c r="P70" s="1" t="s">
        <v>295</v>
      </c>
    </row>
    <row r="71" spans="1:16" x14ac:dyDescent="0.25">
      <c r="A71" s="1" t="s">
        <v>393</v>
      </c>
      <c r="B71" s="1" t="s">
        <v>238</v>
      </c>
      <c r="C71" s="1" t="s">
        <v>156</v>
      </c>
      <c r="D71" s="1" t="s">
        <v>213</v>
      </c>
      <c r="E71" s="1" t="s">
        <v>299</v>
      </c>
      <c r="F71" s="1" t="s">
        <v>337</v>
      </c>
      <c r="G71" s="9">
        <v>32</v>
      </c>
      <c r="H71" s="9">
        <v>120</v>
      </c>
      <c r="I71" s="9">
        <f t="shared" si="3"/>
        <v>3840</v>
      </c>
      <c r="J71" s="9">
        <v>30720</v>
      </c>
      <c r="K71" s="1" t="s">
        <v>293</v>
      </c>
      <c r="L71" s="7">
        <v>46317</v>
      </c>
      <c r="M71" s="1" t="s">
        <v>302</v>
      </c>
      <c r="N71" s="1" t="s">
        <v>295</v>
      </c>
      <c r="O71" s="1" t="s">
        <v>309</v>
      </c>
      <c r="P71" s="1" t="s">
        <v>295</v>
      </c>
    </row>
    <row r="72" spans="1:16" x14ac:dyDescent="0.25">
      <c r="A72" s="1" t="s">
        <v>394</v>
      </c>
      <c r="B72" s="1" t="s">
        <v>240</v>
      </c>
      <c r="C72" s="1" t="s">
        <v>156</v>
      </c>
      <c r="D72" s="1" t="s">
        <v>224</v>
      </c>
      <c r="E72" s="1" t="s">
        <v>291</v>
      </c>
      <c r="F72" s="1" t="s">
        <v>333</v>
      </c>
      <c r="G72" s="9">
        <v>16</v>
      </c>
      <c r="H72" s="9">
        <v>120</v>
      </c>
      <c r="I72" s="9">
        <f t="shared" si="3"/>
        <v>1920</v>
      </c>
      <c r="J72" s="9">
        <v>15360</v>
      </c>
      <c r="K72" s="1" t="s">
        <v>311</v>
      </c>
      <c r="L72" s="7">
        <v>46507</v>
      </c>
      <c r="M72" s="1" t="s">
        <v>334</v>
      </c>
      <c r="N72" s="1" t="s">
        <v>295</v>
      </c>
      <c r="O72" s="1" t="s">
        <v>309</v>
      </c>
      <c r="P72" s="1" t="s">
        <v>297</v>
      </c>
    </row>
    <row r="73" spans="1:16" x14ac:dyDescent="0.25">
      <c r="A73" s="1" t="s">
        <v>395</v>
      </c>
      <c r="B73" s="1" t="s">
        <v>240</v>
      </c>
      <c r="C73" s="1" t="s">
        <v>156</v>
      </c>
      <c r="D73" s="1" t="s">
        <v>202</v>
      </c>
      <c r="E73" s="1" t="s">
        <v>307</v>
      </c>
      <c r="F73" s="1" t="s">
        <v>317</v>
      </c>
      <c r="G73" s="9">
        <v>32</v>
      </c>
      <c r="H73" s="9">
        <v>20</v>
      </c>
      <c r="I73" s="9">
        <f t="shared" si="3"/>
        <v>640</v>
      </c>
      <c r="J73" s="9">
        <v>2560</v>
      </c>
      <c r="K73" s="1" t="s">
        <v>293</v>
      </c>
      <c r="L73" s="7">
        <v>46368</v>
      </c>
      <c r="M73" s="1" t="s">
        <v>294</v>
      </c>
      <c r="N73" s="1" t="s">
        <v>295</v>
      </c>
      <c r="O73" s="1" t="s">
        <v>303</v>
      </c>
      <c r="P73" s="1" t="s">
        <v>297</v>
      </c>
    </row>
    <row r="74" spans="1:16" x14ac:dyDescent="0.25">
      <c r="A74" s="1" t="s">
        <v>396</v>
      </c>
      <c r="B74" s="1" t="s">
        <v>240</v>
      </c>
      <c r="C74" s="1" t="s">
        <v>156</v>
      </c>
      <c r="D74" s="1" t="s">
        <v>202</v>
      </c>
      <c r="E74" s="1" t="s">
        <v>307</v>
      </c>
      <c r="F74" s="1" t="s">
        <v>337</v>
      </c>
      <c r="G74" s="9">
        <v>32</v>
      </c>
      <c r="H74" s="9">
        <v>16</v>
      </c>
      <c r="I74" s="9">
        <f t="shared" si="3"/>
        <v>512</v>
      </c>
      <c r="J74" s="9">
        <v>4096</v>
      </c>
      <c r="K74" s="1" t="s">
        <v>311</v>
      </c>
      <c r="L74" s="7">
        <v>46507</v>
      </c>
      <c r="M74" s="1" t="s">
        <v>302</v>
      </c>
      <c r="N74" s="1" t="s">
        <v>297</v>
      </c>
      <c r="O74" s="1" t="s">
        <v>296</v>
      </c>
      <c r="P74" s="1" t="s">
        <v>295</v>
      </c>
    </row>
    <row r="75" spans="1:16" x14ac:dyDescent="0.25">
      <c r="A75" s="1" t="s">
        <v>397</v>
      </c>
      <c r="B75" s="1" t="s">
        <v>240</v>
      </c>
      <c r="C75" s="1" t="s">
        <v>156</v>
      </c>
      <c r="D75" s="1" t="s">
        <v>224</v>
      </c>
      <c r="E75" s="1" t="s">
        <v>291</v>
      </c>
      <c r="F75" s="1" t="s">
        <v>300</v>
      </c>
      <c r="G75" s="9">
        <v>64</v>
      </c>
      <c r="H75" s="9">
        <v>90</v>
      </c>
      <c r="I75" s="9">
        <f t="shared" si="3"/>
        <v>5760</v>
      </c>
      <c r="J75" s="9">
        <v>46080</v>
      </c>
      <c r="K75" s="1" t="s">
        <v>311</v>
      </c>
      <c r="L75" s="7">
        <v>46497</v>
      </c>
      <c r="M75" s="1" t="s">
        <v>302</v>
      </c>
      <c r="N75" s="1" t="s">
        <v>295</v>
      </c>
      <c r="O75" s="1" t="s">
        <v>309</v>
      </c>
      <c r="P75" s="1" t="s">
        <v>297</v>
      </c>
    </row>
    <row r="76" spans="1:16" x14ac:dyDescent="0.25">
      <c r="A76" s="1" t="s">
        <v>398</v>
      </c>
      <c r="B76" s="1" t="s">
        <v>242</v>
      </c>
      <c r="C76" s="1" t="s">
        <v>161</v>
      </c>
      <c r="D76" s="1" t="s">
        <v>217</v>
      </c>
      <c r="E76" s="1" t="s">
        <v>291</v>
      </c>
      <c r="F76" s="1" t="s">
        <v>326</v>
      </c>
      <c r="G76" s="9">
        <v>16</v>
      </c>
      <c r="H76" s="9">
        <v>30</v>
      </c>
      <c r="I76" s="9">
        <f t="shared" si="3"/>
        <v>480</v>
      </c>
      <c r="J76" s="9">
        <v>3840</v>
      </c>
      <c r="K76" s="1" t="s">
        <v>301</v>
      </c>
      <c r="L76" s="7">
        <v>46620</v>
      </c>
      <c r="M76" s="1" t="s">
        <v>302</v>
      </c>
      <c r="N76" s="1" t="s">
        <v>295</v>
      </c>
      <c r="O76" s="1" t="s">
        <v>296</v>
      </c>
      <c r="P76" s="1" t="s">
        <v>297</v>
      </c>
    </row>
    <row r="77" spans="1:16" x14ac:dyDescent="0.25">
      <c r="A77" s="1" t="s">
        <v>399</v>
      </c>
      <c r="B77" s="1" t="s">
        <v>242</v>
      </c>
      <c r="C77" s="1" t="s">
        <v>161</v>
      </c>
      <c r="D77" s="1" t="s">
        <v>198</v>
      </c>
      <c r="E77" s="1" t="s">
        <v>307</v>
      </c>
      <c r="F77" s="1" t="s">
        <v>292</v>
      </c>
      <c r="G77" s="9">
        <v>16</v>
      </c>
      <c r="H77" s="9">
        <v>75</v>
      </c>
      <c r="I77" s="9">
        <f t="shared" si="3"/>
        <v>1200</v>
      </c>
      <c r="J77" s="9">
        <v>4800</v>
      </c>
      <c r="K77" s="1" t="s">
        <v>301</v>
      </c>
      <c r="L77" s="7">
        <v>46635</v>
      </c>
      <c r="M77" s="1" t="s">
        <v>294</v>
      </c>
      <c r="N77" s="1" t="s">
        <v>295</v>
      </c>
      <c r="O77" s="1" t="s">
        <v>309</v>
      </c>
      <c r="P77" s="1" t="s">
        <v>295</v>
      </c>
    </row>
    <row r="78" spans="1:16" x14ac:dyDescent="0.25">
      <c r="A78" s="1" t="s">
        <v>400</v>
      </c>
      <c r="B78" s="1" t="s">
        <v>242</v>
      </c>
      <c r="C78" s="1" t="s">
        <v>161</v>
      </c>
      <c r="D78" s="1" t="s">
        <v>217</v>
      </c>
      <c r="E78" s="1" t="s">
        <v>307</v>
      </c>
      <c r="F78" s="1" t="s">
        <v>321</v>
      </c>
      <c r="G78" s="9">
        <v>128</v>
      </c>
      <c r="H78" s="9">
        <v>2</v>
      </c>
      <c r="I78" s="9">
        <f t="shared" si="3"/>
        <v>256</v>
      </c>
      <c r="J78" s="9">
        <v>7784</v>
      </c>
      <c r="K78" s="1" t="s">
        <v>293</v>
      </c>
      <c r="L78" s="7">
        <v>46557</v>
      </c>
      <c r="M78" s="1" t="s">
        <v>322</v>
      </c>
      <c r="N78" s="1" t="s">
        <v>297</v>
      </c>
      <c r="O78" s="1" t="s">
        <v>296</v>
      </c>
      <c r="P78" s="1" t="s">
        <v>295</v>
      </c>
    </row>
    <row r="79" spans="1:16" x14ac:dyDescent="0.25">
      <c r="A79" s="1" t="s">
        <v>401</v>
      </c>
      <c r="B79" s="1" t="s">
        <v>242</v>
      </c>
      <c r="C79" s="1" t="s">
        <v>161</v>
      </c>
      <c r="D79" s="1" t="s">
        <v>198</v>
      </c>
      <c r="E79" s="1" t="s">
        <v>307</v>
      </c>
      <c r="F79" s="1" t="s">
        <v>402</v>
      </c>
      <c r="G79" s="9">
        <v>16</v>
      </c>
      <c r="H79" s="9">
        <v>60</v>
      </c>
      <c r="I79" s="9">
        <f t="shared" si="3"/>
        <v>960</v>
      </c>
      <c r="J79" s="9">
        <v>3840</v>
      </c>
      <c r="K79" s="1" t="s">
        <v>311</v>
      </c>
      <c r="L79" s="7">
        <v>46705</v>
      </c>
      <c r="M79" s="1" t="s">
        <v>294</v>
      </c>
      <c r="N79" s="1" t="s">
        <v>295</v>
      </c>
      <c r="O79" s="1" t="s">
        <v>309</v>
      </c>
      <c r="P79" s="1" t="s">
        <v>297</v>
      </c>
    </row>
    <row r="80" spans="1:16" x14ac:dyDescent="0.25">
      <c r="A80" s="1" t="s">
        <v>403</v>
      </c>
      <c r="B80" s="1" t="s">
        <v>242</v>
      </c>
      <c r="C80" s="1" t="s">
        <v>161</v>
      </c>
      <c r="D80" s="1" t="s">
        <v>217</v>
      </c>
      <c r="E80" s="1" t="s">
        <v>291</v>
      </c>
      <c r="F80" s="1" t="s">
        <v>326</v>
      </c>
      <c r="G80" s="9">
        <v>16</v>
      </c>
      <c r="H80" s="9">
        <v>20</v>
      </c>
      <c r="I80" s="9">
        <f t="shared" si="3"/>
        <v>320</v>
      </c>
      <c r="J80" s="9">
        <v>2560</v>
      </c>
      <c r="K80" s="1" t="s">
        <v>301</v>
      </c>
      <c r="L80" s="7">
        <v>46640</v>
      </c>
      <c r="M80" s="1" t="s">
        <v>302</v>
      </c>
      <c r="N80" s="1" t="s">
        <v>295</v>
      </c>
      <c r="O80" s="1" t="s">
        <v>309</v>
      </c>
      <c r="P80" s="1" t="s">
        <v>295</v>
      </c>
    </row>
    <row r="81" spans="1:16" x14ac:dyDescent="0.25">
      <c r="A81" s="1" t="s">
        <v>404</v>
      </c>
      <c r="B81" s="1" t="s">
        <v>244</v>
      </c>
      <c r="C81" s="1" t="s">
        <v>161</v>
      </c>
      <c r="D81" s="1" t="s">
        <v>198</v>
      </c>
      <c r="E81" s="1" t="s">
        <v>291</v>
      </c>
      <c r="F81" s="1" t="s">
        <v>382</v>
      </c>
      <c r="G81" s="9">
        <v>24</v>
      </c>
      <c r="H81" s="9">
        <v>32</v>
      </c>
      <c r="I81" s="9">
        <f t="shared" si="3"/>
        <v>768</v>
      </c>
      <c r="J81" s="9">
        <v>7040</v>
      </c>
      <c r="K81" s="1" t="s">
        <v>293</v>
      </c>
      <c r="L81" s="7">
        <v>46359</v>
      </c>
      <c r="M81" s="1" t="s">
        <v>331</v>
      </c>
      <c r="N81" s="1" t="s">
        <v>297</v>
      </c>
      <c r="O81" s="1" t="s">
        <v>309</v>
      </c>
      <c r="P81" s="1" t="s">
        <v>295</v>
      </c>
    </row>
    <row r="82" spans="1:16" x14ac:dyDescent="0.25">
      <c r="A82" s="1" t="s">
        <v>405</v>
      </c>
      <c r="B82" s="1" t="s">
        <v>244</v>
      </c>
      <c r="C82" s="1" t="s">
        <v>161</v>
      </c>
      <c r="D82" s="1" t="s">
        <v>198</v>
      </c>
      <c r="E82" s="1" t="s">
        <v>299</v>
      </c>
      <c r="F82" s="1" t="s">
        <v>382</v>
      </c>
      <c r="G82" s="9">
        <v>24</v>
      </c>
      <c r="H82" s="9">
        <v>6</v>
      </c>
      <c r="I82" s="9">
        <f t="shared" si="3"/>
        <v>144</v>
      </c>
      <c r="J82" s="9">
        <v>1320</v>
      </c>
      <c r="K82" s="1" t="s">
        <v>311</v>
      </c>
      <c r="L82" s="7">
        <v>46493</v>
      </c>
      <c r="M82" s="1" t="s">
        <v>331</v>
      </c>
      <c r="N82" s="1" t="s">
        <v>295</v>
      </c>
      <c r="O82" s="1" t="s">
        <v>309</v>
      </c>
      <c r="P82" s="1" t="s">
        <v>297</v>
      </c>
    </row>
    <row r="83" spans="1:16" x14ac:dyDescent="0.25">
      <c r="A83" s="1" t="s">
        <v>406</v>
      </c>
      <c r="B83" s="1" t="s">
        <v>244</v>
      </c>
      <c r="C83" s="1" t="s">
        <v>161</v>
      </c>
      <c r="D83" s="1" t="s">
        <v>198</v>
      </c>
      <c r="E83" s="1" t="s">
        <v>307</v>
      </c>
      <c r="F83" s="1" t="s">
        <v>351</v>
      </c>
      <c r="G83" s="9">
        <v>176</v>
      </c>
      <c r="H83" s="9">
        <v>8</v>
      </c>
      <c r="I83" s="9">
        <f t="shared" si="3"/>
        <v>1408</v>
      </c>
      <c r="J83" s="9">
        <v>6144</v>
      </c>
      <c r="K83" s="1" t="s">
        <v>301</v>
      </c>
      <c r="L83" s="7">
        <v>46405</v>
      </c>
      <c r="M83" s="1" t="s">
        <v>352</v>
      </c>
      <c r="N83" s="1" t="s">
        <v>295</v>
      </c>
      <c r="O83" s="1" t="s">
        <v>296</v>
      </c>
      <c r="P83" s="1" t="s">
        <v>295</v>
      </c>
    </row>
    <row r="84" spans="1:16" x14ac:dyDescent="0.25">
      <c r="A84" s="1" t="s">
        <v>407</v>
      </c>
      <c r="B84" s="1" t="s">
        <v>244</v>
      </c>
      <c r="C84" s="1" t="s">
        <v>161</v>
      </c>
      <c r="D84" s="1" t="s">
        <v>198</v>
      </c>
      <c r="E84" s="1" t="s">
        <v>299</v>
      </c>
      <c r="F84" s="1" t="s">
        <v>333</v>
      </c>
      <c r="G84" s="9">
        <v>16</v>
      </c>
      <c r="H84" s="9">
        <v>20</v>
      </c>
      <c r="I84" s="9">
        <f t="shared" si="3"/>
        <v>320</v>
      </c>
      <c r="J84" s="9">
        <v>2560</v>
      </c>
      <c r="K84" s="1" t="s">
        <v>301</v>
      </c>
      <c r="L84" s="7">
        <v>46409</v>
      </c>
      <c r="M84" s="1" t="s">
        <v>334</v>
      </c>
      <c r="N84" s="1" t="s">
        <v>297</v>
      </c>
      <c r="O84" s="1" t="s">
        <v>296</v>
      </c>
      <c r="P84" s="1" t="s">
        <v>295</v>
      </c>
    </row>
    <row r="85" spans="1:16" x14ac:dyDescent="0.25">
      <c r="A85" s="1" t="s">
        <v>408</v>
      </c>
      <c r="B85" s="1" t="s">
        <v>244</v>
      </c>
      <c r="C85" s="1" t="s">
        <v>161</v>
      </c>
      <c r="D85" s="1" t="s">
        <v>198</v>
      </c>
      <c r="E85" s="1" t="s">
        <v>291</v>
      </c>
      <c r="F85" s="1" t="s">
        <v>300</v>
      </c>
      <c r="G85" s="9">
        <v>64</v>
      </c>
      <c r="H85" s="9">
        <v>24</v>
      </c>
      <c r="I85" s="9">
        <f t="shared" si="3"/>
        <v>1536</v>
      </c>
      <c r="J85" s="9">
        <v>12288</v>
      </c>
      <c r="K85" s="1" t="s">
        <v>311</v>
      </c>
      <c r="L85" s="7">
        <v>46474</v>
      </c>
      <c r="M85" s="1" t="s">
        <v>302</v>
      </c>
      <c r="N85" s="1" t="s">
        <v>295</v>
      </c>
      <c r="O85" s="1" t="s">
        <v>296</v>
      </c>
      <c r="P85" s="1" t="s">
        <v>297</v>
      </c>
    </row>
    <row r="86" spans="1:16" x14ac:dyDescent="0.25">
      <c r="A86" s="1" t="s">
        <v>409</v>
      </c>
      <c r="B86" s="1" t="s">
        <v>244</v>
      </c>
      <c r="C86" s="1" t="s">
        <v>161</v>
      </c>
      <c r="D86" s="1" t="s">
        <v>235</v>
      </c>
      <c r="E86" s="1" t="s">
        <v>307</v>
      </c>
      <c r="F86" s="1" t="s">
        <v>402</v>
      </c>
      <c r="G86" s="9">
        <v>16</v>
      </c>
      <c r="H86" s="9">
        <v>75</v>
      </c>
      <c r="I86" s="9">
        <f t="shared" si="3"/>
        <v>1200</v>
      </c>
      <c r="J86" s="9">
        <v>4800</v>
      </c>
      <c r="K86" s="1" t="s">
        <v>311</v>
      </c>
      <c r="L86" s="7">
        <v>46476</v>
      </c>
      <c r="M86" s="1" t="s">
        <v>294</v>
      </c>
      <c r="N86" s="1" t="s">
        <v>295</v>
      </c>
      <c r="O86" s="1" t="s">
        <v>309</v>
      </c>
      <c r="P86" s="1" t="s">
        <v>297</v>
      </c>
    </row>
    <row r="87" spans="1:16" x14ac:dyDescent="0.25">
      <c r="A87" s="1" t="s">
        <v>410</v>
      </c>
      <c r="B87" s="1" t="s">
        <v>246</v>
      </c>
      <c r="C87" s="1" t="s">
        <v>161</v>
      </c>
      <c r="D87" s="1" t="s">
        <v>217</v>
      </c>
      <c r="E87" s="1" t="s">
        <v>291</v>
      </c>
      <c r="F87" s="1" t="s">
        <v>305</v>
      </c>
      <c r="G87" s="9">
        <v>8</v>
      </c>
      <c r="H87" s="9">
        <v>16</v>
      </c>
      <c r="I87" s="9">
        <f t="shared" si="3"/>
        <v>128</v>
      </c>
      <c r="J87" s="9">
        <v>512</v>
      </c>
      <c r="K87" s="1" t="s">
        <v>311</v>
      </c>
      <c r="L87" s="7">
        <v>46726</v>
      </c>
      <c r="M87" s="1" t="s">
        <v>294</v>
      </c>
      <c r="N87" s="1" t="s">
        <v>297</v>
      </c>
      <c r="O87" s="1" t="s">
        <v>296</v>
      </c>
      <c r="P87" s="1" t="s">
        <v>297</v>
      </c>
    </row>
    <row r="88" spans="1:16" x14ac:dyDescent="0.25">
      <c r="A88" s="1" t="s">
        <v>411</v>
      </c>
      <c r="B88" s="1" t="s">
        <v>246</v>
      </c>
      <c r="C88" s="1" t="s">
        <v>161</v>
      </c>
      <c r="D88" s="1" t="s">
        <v>217</v>
      </c>
      <c r="E88" s="1" t="s">
        <v>307</v>
      </c>
      <c r="F88" s="1" t="s">
        <v>337</v>
      </c>
      <c r="G88" s="9">
        <v>32</v>
      </c>
      <c r="H88" s="9">
        <v>90</v>
      </c>
      <c r="I88" s="9">
        <f t="shared" si="3"/>
        <v>2880</v>
      </c>
      <c r="J88" s="9">
        <v>23040</v>
      </c>
      <c r="K88" s="1" t="s">
        <v>301</v>
      </c>
      <c r="L88" s="7">
        <v>46652</v>
      </c>
      <c r="M88" s="1" t="s">
        <v>302</v>
      </c>
      <c r="N88" s="1" t="s">
        <v>297</v>
      </c>
      <c r="O88" s="1" t="s">
        <v>303</v>
      </c>
      <c r="P88" s="1" t="s">
        <v>295</v>
      </c>
    </row>
    <row r="89" spans="1:16" x14ac:dyDescent="0.25">
      <c r="A89" s="1" t="s">
        <v>412</v>
      </c>
      <c r="B89" s="1" t="s">
        <v>246</v>
      </c>
      <c r="C89" s="1" t="s">
        <v>161</v>
      </c>
      <c r="D89" s="1" t="s">
        <v>198</v>
      </c>
      <c r="E89" s="1" t="s">
        <v>299</v>
      </c>
      <c r="F89" s="1" t="s">
        <v>317</v>
      </c>
      <c r="G89" s="9">
        <v>32</v>
      </c>
      <c r="H89" s="9">
        <v>20</v>
      </c>
      <c r="I89" s="9">
        <f t="shared" si="3"/>
        <v>640</v>
      </c>
      <c r="J89" s="9">
        <v>2560</v>
      </c>
      <c r="K89" s="1" t="s">
        <v>301</v>
      </c>
      <c r="L89" s="7">
        <v>46647</v>
      </c>
      <c r="M89" s="1" t="s">
        <v>294</v>
      </c>
      <c r="N89" s="1" t="s">
        <v>297</v>
      </c>
      <c r="O89" s="1" t="s">
        <v>303</v>
      </c>
      <c r="P89" s="1" t="s">
        <v>297</v>
      </c>
    </row>
    <row r="90" spans="1:16" x14ac:dyDescent="0.25">
      <c r="A90" s="1" t="s">
        <v>413</v>
      </c>
      <c r="B90" s="1" t="s">
        <v>248</v>
      </c>
      <c r="C90" s="1" t="s">
        <v>161</v>
      </c>
      <c r="D90" s="1" t="s">
        <v>198</v>
      </c>
      <c r="E90" s="1" t="s">
        <v>291</v>
      </c>
      <c r="F90" s="1" t="s">
        <v>300</v>
      </c>
      <c r="G90" s="9">
        <v>64</v>
      </c>
      <c r="H90" s="9">
        <v>60</v>
      </c>
      <c r="I90" s="9">
        <f t="shared" si="3"/>
        <v>3840</v>
      </c>
      <c r="J90" s="9">
        <v>30720</v>
      </c>
      <c r="K90" s="1" t="s">
        <v>301</v>
      </c>
      <c r="L90" s="7">
        <v>46649</v>
      </c>
      <c r="M90" s="1" t="s">
        <v>302</v>
      </c>
      <c r="N90" s="1" t="s">
        <v>297</v>
      </c>
      <c r="O90" s="1" t="s">
        <v>309</v>
      </c>
      <c r="P90" s="1" t="s">
        <v>297</v>
      </c>
    </row>
    <row r="91" spans="1:16" x14ac:dyDescent="0.25">
      <c r="A91" s="1" t="s">
        <v>414</v>
      </c>
      <c r="B91" s="1" t="s">
        <v>248</v>
      </c>
      <c r="C91" s="1" t="s">
        <v>161</v>
      </c>
      <c r="D91" s="1" t="s">
        <v>198</v>
      </c>
      <c r="E91" s="1" t="s">
        <v>307</v>
      </c>
      <c r="F91" s="1" t="s">
        <v>321</v>
      </c>
      <c r="G91" s="9">
        <v>128</v>
      </c>
      <c r="H91" s="9">
        <v>2</v>
      </c>
      <c r="I91" s="9">
        <f t="shared" si="3"/>
        <v>256</v>
      </c>
      <c r="J91" s="9">
        <v>7784</v>
      </c>
      <c r="K91" s="1" t="s">
        <v>311</v>
      </c>
      <c r="L91" s="7">
        <v>46742</v>
      </c>
      <c r="M91" s="1" t="s">
        <v>322</v>
      </c>
      <c r="N91" s="1" t="s">
        <v>297</v>
      </c>
      <c r="O91" s="1" t="s">
        <v>296</v>
      </c>
      <c r="P91" s="1" t="s">
        <v>297</v>
      </c>
    </row>
    <row r="92" spans="1:16" x14ac:dyDescent="0.25">
      <c r="A92" s="1" t="s">
        <v>415</v>
      </c>
      <c r="B92" s="1" t="s">
        <v>248</v>
      </c>
      <c r="C92" s="1" t="s">
        <v>161</v>
      </c>
      <c r="D92" s="1" t="s">
        <v>198</v>
      </c>
      <c r="E92" s="1" t="s">
        <v>299</v>
      </c>
      <c r="F92" s="1" t="s">
        <v>326</v>
      </c>
      <c r="G92" s="9">
        <v>16</v>
      </c>
      <c r="H92" s="9">
        <v>60</v>
      </c>
      <c r="I92" s="9">
        <f t="shared" si="3"/>
        <v>960</v>
      </c>
      <c r="J92" s="9">
        <v>7680</v>
      </c>
      <c r="K92" s="1" t="s">
        <v>293</v>
      </c>
      <c r="L92" s="7">
        <v>46603</v>
      </c>
      <c r="M92" s="1" t="s">
        <v>302</v>
      </c>
      <c r="N92" s="1" t="s">
        <v>297</v>
      </c>
      <c r="O92" s="1" t="s">
        <v>309</v>
      </c>
      <c r="P92" s="1" t="s">
        <v>297</v>
      </c>
    </row>
    <row r="93" spans="1:16" x14ac:dyDescent="0.25">
      <c r="A93" s="1" t="s">
        <v>416</v>
      </c>
      <c r="B93" s="1" t="s">
        <v>248</v>
      </c>
      <c r="C93" s="1" t="s">
        <v>161</v>
      </c>
      <c r="D93" s="1" t="s">
        <v>198</v>
      </c>
      <c r="E93" s="1" t="s">
        <v>291</v>
      </c>
      <c r="F93" s="1" t="s">
        <v>292</v>
      </c>
      <c r="G93" s="9">
        <v>16</v>
      </c>
      <c r="H93" s="9">
        <v>60</v>
      </c>
      <c r="I93" s="9">
        <f t="shared" si="3"/>
        <v>960</v>
      </c>
      <c r="J93" s="9">
        <v>3840</v>
      </c>
      <c r="K93" s="1" t="s">
        <v>293</v>
      </c>
      <c r="L93" s="7">
        <v>46579</v>
      </c>
      <c r="M93" s="1" t="s">
        <v>294</v>
      </c>
      <c r="N93" s="1" t="s">
        <v>295</v>
      </c>
      <c r="O93" s="1" t="s">
        <v>309</v>
      </c>
      <c r="P93" s="1" t="s">
        <v>295</v>
      </c>
    </row>
    <row r="94" spans="1:16" x14ac:dyDescent="0.25">
      <c r="A94" s="1" t="s">
        <v>417</v>
      </c>
      <c r="B94" s="1" t="s">
        <v>248</v>
      </c>
      <c r="C94" s="1" t="s">
        <v>161</v>
      </c>
      <c r="D94" s="1" t="s">
        <v>198</v>
      </c>
      <c r="E94" s="1" t="s">
        <v>299</v>
      </c>
      <c r="F94" s="1" t="s">
        <v>402</v>
      </c>
      <c r="G94" s="9">
        <v>16</v>
      </c>
      <c r="H94" s="9">
        <v>60</v>
      </c>
      <c r="I94" s="9">
        <f t="shared" si="3"/>
        <v>960</v>
      </c>
      <c r="J94" s="9">
        <v>3840</v>
      </c>
      <c r="K94" s="1" t="s">
        <v>301</v>
      </c>
      <c r="L94" s="7">
        <v>46650</v>
      </c>
      <c r="M94" s="1" t="s">
        <v>294</v>
      </c>
      <c r="N94" s="1" t="s">
        <v>297</v>
      </c>
      <c r="O94" s="1" t="s">
        <v>309</v>
      </c>
      <c r="P94" s="1" t="s">
        <v>295</v>
      </c>
    </row>
    <row r="95" spans="1:16" x14ac:dyDescent="0.25">
      <c r="A95" s="1" t="s">
        <v>418</v>
      </c>
      <c r="B95" s="1" t="s">
        <v>248</v>
      </c>
      <c r="C95" s="1" t="s">
        <v>161</v>
      </c>
      <c r="D95" s="1" t="s">
        <v>202</v>
      </c>
      <c r="E95" s="1" t="s">
        <v>299</v>
      </c>
      <c r="F95" s="1" t="s">
        <v>337</v>
      </c>
      <c r="G95" s="9">
        <v>32</v>
      </c>
      <c r="H95" s="9">
        <v>30</v>
      </c>
      <c r="I95" s="9">
        <f t="shared" si="3"/>
        <v>960</v>
      </c>
      <c r="J95" s="9">
        <v>7680</v>
      </c>
      <c r="K95" s="1" t="s">
        <v>293</v>
      </c>
      <c r="L95" s="7">
        <v>46586</v>
      </c>
      <c r="M95" s="1" t="s">
        <v>302</v>
      </c>
      <c r="N95" s="1" t="s">
        <v>295</v>
      </c>
      <c r="O95" s="1" t="s">
        <v>296</v>
      </c>
      <c r="P95" s="1" t="s">
        <v>297</v>
      </c>
    </row>
    <row r="96" spans="1:16" x14ac:dyDescent="0.25">
      <c r="A96" s="1" t="s">
        <v>419</v>
      </c>
      <c r="B96" s="1" t="s">
        <v>250</v>
      </c>
      <c r="C96" s="1" t="s">
        <v>167</v>
      </c>
      <c r="D96" s="1" t="s">
        <v>210</v>
      </c>
      <c r="E96" s="1" t="s">
        <v>307</v>
      </c>
      <c r="F96" s="1" t="s">
        <v>305</v>
      </c>
      <c r="G96" s="9">
        <v>8</v>
      </c>
      <c r="H96" s="9">
        <v>75</v>
      </c>
      <c r="I96" s="9">
        <f t="shared" si="3"/>
        <v>600</v>
      </c>
      <c r="J96" s="9">
        <v>2400</v>
      </c>
      <c r="K96" s="1" t="s">
        <v>293</v>
      </c>
      <c r="L96" s="7">
        <v>46514</v>
      </c>
      <c r="M96" s="1" t="s">
        <v>294</v>
      </c>
      <c r="N96" s="1" t="s">
        <v>295</v>
      </c>
      <c r="O96" s="1" t="s">
        <v>303</v>
      </c>
      <c r="P96" s="1" t="s">
        <v>295</v>
      </c>
    </row>
    <row r="97" spans="1:16" x14ac:dyDescent="0.25">
      <c r="A97" s="1" t="s">
        <v>420</v>
      </c>
      <c r="B97" s="1" t="s">
        <v>250</v>
      </c>
      <c r="C97" s="1" t="s">
        <v>167</v>
      </c>
      <c r="D97" s="1" t="s">
        <v>235</v>
      </c>
      <c r="E97" s="1" t="s">
        <v>299</v>
      </c>
      <c r="F97" s="1" t="s">
        <v>351</v>
      </c>
      <c r="G97" s="9">
        <v>176</v>
      </c>
      <c r="H97" s="9">
        <v>24</v>
      </c>
      <c r="I97" s="9">
        <f t="shared" si="3"/>
        <v>4224</v>
      </c>
      <c r="J97" s="9">
        <v>18432</v>
      </c>
      <c r="K97" s="1" t="s">
        <v>293</v>
      </c>
      <c r="L97" s="7">
        <v>46516</v>
      </c>
      <c r="M97" s="1" t="s">
        <v>352</v>
      </c>
      <c r="N97" s="1" t="s">
        <v>295</v>
      </c>
      <c r="O97" s="1" t="s">
        <v>303</v>
      </c>
      <c r="P97" s="1" t="s">
        <v>297</v>
      </c>
    </row>
    <row r="98" spans="1:16" x14ac:dyDescent="0.25">
      <c r="A98" s="1" t="s">
        <v>421</v>
      </c>
      <c r="B98" s="1" t="s">
        <v>250</v>
      </c>
      <c r="C98" s="1" t="s">
        <v>167</v>
      </c>
      <c r="D98" s="1" t="s">
        <v>235</v>
      </c>
      <c r="E98" s="1" t="s">
        <v>299</v>
      </c>
      <c r="F98" s="1" t="s">
        <v>300</v>
      </c>
      <c r="G98" s="9">
        <v>64</v>
      </c>
      <c r="H98" s="9">
        <v>48</v>
      </c>
      <c r="I98" s="9">
        <f t="shared" si="3"/>
        <v>3072</v>
      </c>
      <c r="J98" s="9">
        <v>24576</v>
      </c>
      <c r="K98" s="1" t="s">
        <v>311</v>
      </c>
      <c r="L98" s="7">
        <v>46673</v>
      </c>
      <c r="M98" s="1" t="s">
        <v>302</v>
      </c>
      <c r="N98" s="1" t="s">
        <v>297</v>
      </c>
      <c r="O98" s="1" t="s">
        <v>309</v>
      </c>
      <c r="P98" s="1" t="s">
        <v>297</v>
      </c>
    </row>
    <row r="99" spans="1:16" x14ac:dyDescent="0.25">
      <c r="A99" s="1" t="s">
        <v>422</v>
      </c>
      <c r="B99" s="1" t="s">
        <v>252</v>
      </c>
      <c r="C99" s="1" t="s">
        <v>167</v>
      </c>
      <c r="D99" s="1" t="s">
        <v>213</v>
      </c>
      <c r="E99" s="1" t="s">
        <v>299</v>
      </c>
      <c r="F99" s="1" t="s">
        <v>313</v>
      </c>
      <c r="G99" s="9">
        <v>96</v>
      </c>
      <c r="H99" s="9">
        <v>24</v>
      </c>
      <c r="I99" s="9">
        <f t="shared" ref="I99:I130" si="4">G99*H99</f>
        <v>2304</v>
      </c>
      <c r="J99" s="9">
        <v>45600</v>
      </c>
      <c r="K99" s="1" t="s">
        <v>301</v>
      </c>
      <c r="L99" s="7">
        <v>46524</v>
      </c>
      <c r="M99" s="1" t="s">
        <v>314</v>
      </c>
      <c r="N99" s="1" t="s">
        <v>297</v>
      </c>
      <c r="O99" s="1" t="s">
        <v>309</v>
      </c>
      <c r="P99" s="1" t="s">
        <v>295</v>
      </c>
    </row>
    <row r="100" spans="1:16" x14ac:dyDescent="0.25">
      <c r="A100" s="1" t="s">
        <v>423</v>
      </c>
      <c r="B100" s="1" t="s">
        <v>252</v>
      </c>
      <c r="C100" s="1" t="s">
        <v>167</v>
      </c>
      <c r="D100" s="1" t="s">
        <v>213</v>
      </c>
      <c r="E100" s="1" t="s">
        <v>299</v>
      </c>
      <c r="F100" s="1" t="s">
        <v>382</v>
      </c>
      <c r="G100" s="9">
        <v>24</v>
      </c>
      <c r="H100" s="9">
        <v>24</v>
      </c>
      <c r="I100" s="9">
        <f t="shared" si="4"/>
        <v>576</v>
      </c>
      <c r="J100" s="9">
        <v>5280</v>
      </c>
      <c r="K100" s="1" t="s">
        <v>293</v>
      </c>
      <c r="L100" s="7">
        <v>46473</v>
      </c>
      <c r="M100" s="1" t="s">
        <v>331</v>
      </c>
      <c r="N100" s="1" t="s">
        <v>295</v>
      </c>
      <c r="O100" s="1" t="s">
        <v>309</v>
      </c>
      <c r="P100" s="1" t="s">
        <v>297</v>
      </c>
    </row>
    <row r="101" spans="1:16" x14ac:dyDescent="0.25">
      <c r="A101" s="1" t="s">
        <v>424</v>
      </c>
      <c r="B101" s="1" t="s">
        <v>252</v>
      </c>
      <c r="C101" s="1" t="s">
        <v>167</v>
      </c>
      <c r="D101" s="1" t="s">
        <v>235</v>
      </c>
      <c r="E101" s="1" t="s">
        <v>291</v>
      </c>
      <c r="F101" s="1" t="s">
        <v>351</v>
      </c>
      <c r="G101" s="9">
        <v>176</v>
      </c>
      <c r="H101" s="9">
        <v>12</v>
      </c>
      <c r="I101" s="9">
        <f t="shared" si="4"/>
        <v>2112</v>
      </c>
      <c r="J101" s="9">
        <v>9216</v>
      </c>
      <c r="K101" s="1" t="s">
        <v>293</v>
      </c>
      <c r="L101" s="7">
        <v>46450</v>
      </c>
      <c r="M101" s="1" t="s">
        <v>352</v>
      </c>
      <c r="N101" s="1" t="s">
        <v>297</v>
      </c>
      <c r="O101" s="1" t="s">
        <v>309</v>
      </c>
      <c r="P101" s="1" t="s">
        <v>295</v>
      </c>
    </row>
    <row r="102" spans="1:16" x14ac:dyDescent="0.25">
      <c r="A102" s="1" t="s">
        <v>425</v>
      </c>
      <c r="B102" s="1" t="s">
        <v>252</v>
      </c>
      <c r="C102" s="1" t="s">
        <v>167</v>
      </c>
      <c r="D102" s="1" t="s">
        <v>235</v>
      </c>
      <c r="E102" s="1" t="s">
        <v>307</v>
      </c>
      <c r="F102" s="1" t="s">
        <v>292</v>
      </c>
      <c r="G102" s="9">
        <v>16</v>
      </c>
      <c r="H102" s="9">
        <v>24</v>
      </c>
      <c r="I102" s="9">
        <f t="shared" si="4"/>
        <v>384</v>
      </c>
      <c r="J102" s="9">
        <v>1536</v>
      </c>
      <c r="K102" s="1" t="s">
        <v>301</v>
      </c>
      <c r="L102" s="7">
        <v>46529</v>
      </c>
      <c r="M102" s="1" t="s">
        <v>294</v>
      </c>
      <c r="N102" s="1" t="s">
        <v>295</v>
      </c>
      <c r="O102" s="1" t="s">
        <v>303</v>
      </c>
      <c r="P102" s="1" t="s">
        <v>295</v>
      </c>
    </row>
    <row r="103" spans="1:16" x14ac:dyDescent="0.25">
      <c r="A103" s="1" t="s">
        <v>426</v>
      </c>
      <c r="B103" s="1" t="s">
        <v>252</v>
      </c>
      <c r="C103" s="1" t="s">
        <v>167</v>
      </c>
      <c r="D103" s="1" t="s">
        <v>235</v>
      </c>
      <c r="E103" s="1" t="s">
        <v>291</v>
      </c>
      <c r="F103" s="1" t="s">
        <v>326</v>
      </c>
      <c r="G103" s="9">
        <v>16</v>
      </c>
      <c r="H103" s="9">
        <v>120</v>
      </c>
      <c r="I103" s="9">
        <f t="shared" si="4"/>
        <v>1920</v>
      </c>
      <c r="J103" s="9">
        <v>15360</v>
      </c>
      <c r="K103" s="1" t="s">
        <v>301</v>
      </c>
      <c r="L103" s="7">
        <v>46516</v>
      </c>
      <c r="M103" s="1" t="s">
        <v>302</v>
      </c>
      <c r="N103" s="1" t="s">
        <v>295</v>
      </c>
      <c r="O103" s="1" t="s">
        <v>309</v>
      </c>
      <c r="P103" s="1" t="s">
        <v>297</v>
      </c>
    </row>
    <row r="104" spans="1:16" x14ac:dyDescent="0.25">
      <c r="A104" s="1" t="s">
        <v>427</v>
      </c>
      <c r="B104" s="1" t="s">
        <v>254</v>
      </c>
      <c r="C104" s="1" t="s">
        <v>167</v>
      </c>
      <c r="D104" s="1" t="s">
        <v>192</v>
      </c>
      <c r="E104" s="1" t="s">
        <v>291</v>
      </c>
      <c r="F104" s="1" t="s">
        <v>382</v>
      </c>
      <c r="G104" s="9">
        <v>24</v>
      </c>
      <c r="H104" s="9">
        <v>10</v>
      </c>
      <c r="I104" s="9">
        <f t="shared" si="4"/>
        <v>240</v>
      </c>
      <c r="J104" s="9">
        <v>2200</v>
      </c>
      <c r="K104" s="1" t="s">
        <v>301</v>
      </c>
      <c r="L104" s="7">
        <v>46443</v>
      </c>
      <c r="M104" s="1" t="s">
        <v>331</v>
      </c>
      <c r="N104" s="1" t="s">
        <v>297</v>
      </c>
      <c r="O104" s="1" t="s">
        <v>309</v>
      </c>
      <c r="P104" s="1" t="s">
        <v>297</v>
      </c>
    </row>
    <row r="105" spans="1:16" x14ac:dyDescent="0.25">
      <c r="A105" s="1" t="s">
        <v>428</v>
      </c>
      <c r="B105" s="1" t="s">
        <v>254</v>
      </c>
      <c r="C105" s="1" t="s">
        <v>167</v>
      </c>
      <c r="D105" s="1" t="s">
        <v>192</v>
      </c>
      <c r="E105" s="1" t="s">
        <v>307</v>
      </c>
      <c r="F105" s="1" t="s">
        <v>382</v>
      </c>
      <c r="G105" s="9">
        <v>24</v>
      </c>
      <c r="H105" s="9">
        <v>16</v>
      </c>
      <c r="I105" s="9">
        <f t="shared" si="4"/>
        <v>384</v>
      </c>
      <c r="J105" s="9">
        <v>3520</v>
      </c>
      <c r="K105" s="1" t="s">
        <v>293</v>
      </c>
      <c r="L105" s="7">
        <v>46387</v>
      </c>
      <c r="M105" s="1" t="s">
        <v>331</v>
      </c>
      <c r="N105" s="1" t="s">
        <v>295</v>
      </c>
      <c r="O105" s="1" t="s">
        <v>309</v>
      </c>
      <c r="P105" s="1" t="s">
        <v>297</v>
      </c>
    </row>
    <row r="106" spans="1:16" x14ac:dyDescent="0.25">
      <c r="A106" s="1" t="s">
        <v>429</v>
      </c>
      <c r="B106" s="1" t="s">
        <v>254</v>
      </c>
      <c r="C106" s="1" t="s">
        <v>167</v>
      </c>
      <c r="D106" s="1" t="s">
        <v>192</v>
      </c>
      <c r="E106" s="1" t="s">
        <v>307</v>
      </c>
      <c r="F106" s="1" t="s">
        <v>326</v>
      </c>
      <c r="G106" s="9">
        <v>16</v>
      </c>
      <c r="H106" s="9">
        <v>120</v>
      </c>
      <c r="I106" s="9">
        <f t="shared" si="4"/>
        <v>1920</v>
      </c>
      <c r="J106" s="9">
        <v>15360</v>
      </c>
      <c r="K106" s="1" t="s">
        <v>293</v>
      </c>
      <c r="L106" s="7">
        <v>46405</v>
      </c>
      <c r="M106" s="1" t="s">
        <v>302</v>
      </c>
      <c r="N106" s="1" t="s">
        <v>295</v>
      </c>
      <c r="O106" s="1" t="s">
        <v>303</v>
      </c>
      <c r="P106" s="1" t="s">
        <v>295</v>
      </c>
    </row>
    <row r="107" spans="1:16" x14ac:dyDescent="0.25">
      <c r="A107" s="1" t="s">
        <v>430</v>
      </c>
      <c r="B107" s="1" t="s">
        <v>254</v>
      </c>
      <c r="C107" s="1" t="s">
        <v>167</v>
      </c>
      <c r="D107" s="1" t="s">
        <v>191</v>
      </c>
      <c r="E107" s="1" t="s">
        <v>307</v>
      </c>
      <c r="F107" s="1" t="s">
        <v>366</v>
      </c>
      <c r="G107" s="9">
        <v>32</v>
      </c>
      <c r="H107" s="9">
        <v>40</v>
      </c>
      <c r="I107" s="9">
        <f t="shared" si="4"/>
        <v>1280</v>
      </c>
      <c r="J107" s="9">
        <v>10240</v>
      </c>
      <c r="K107" s="1" t="s">
        <v>293</v>
      </c>
      <c r="L107" s="7">
        <v>46388</v>
      </c>
      <c r="M107" s="1" t="s">
        <v>302</v>
      </c>
      <c r="N107" s="1" t="s">
        <v>295</v>
      </c>
      <c r="O107" s="1" t="s">
        <v>303</v>
      </c>
      <c r="P107" s="1" t="s">
        <v>295</v>
      </c>
    </row>
    <row r="108" spans="1:16" x14ac:dyDescent="0.25">
      <c r="A108" s="1" t="s">
        <v>431</v>
      </c>
      <c r="B108" s="1" t="s">
        <v>256</v>
      </c>
      <c r="C108" s="1" t="s">
        <v>167</v>
      </c>
      <c r="D108" s="1" t="s">
        <v>214</v>
      </c>
      <c r="E108" s="1" t="s">
        <v>299</v>
      </c>
      <c r="F108" s="1" t="s">
        <v>366</v>
      </c>
      <c r="G108" s="9">
        <v>32</v>
      </c>
      <c r="H108" s="9">
        <v>30</v>
      </c>
      <c r="I108" s="9">
        <f t="shared" si="4"/>
        <v>960</v>
      </c>
      <c r="J108" s="9">
        <v>7680</v>
      </c>
      <c r="K108" s="1" t="s">
        <v>311</v>
      </c>
      <c r="L108" s="7">
        <v>46800</v>
      </c>
      <c r="M108" s="1" t="s">
        <v>302</v>
      </c>
      <c r="N108" s="1" t="s">
        <v>297</v>
      </c>
      <c r="O108" s="1" t="s">
        <v>309</v>
      </c>
      <c r="P108" s="1" t="s">
        <v>295</v>
      </c>
    </row>
    <row r="109" spans="1:16" x14ac:dyDescent="0.25">
      <c r="A109" s="1" t="s">
        <v>432</v>
      </c>
      <c r="B109" s="1" t="s">
        <v>256</v>
      </c>
      <c r="C109" s="1" t="s">
        <v>167</v>
      </c>
      <c r="D109" s="1" t="s">
        <v>214</v>
      </c>
      <c r="E109" s="1" t="s">
        <v>299</v>
      </c>
      <c r="F109" s="1" t="s">
        <v>292</v>
      </c>
      <c r="G109" s="9">
        <v>16</v>
      </c>
      <c r="H109" s="9">
        <v>60</v>
      </c>
      <c r="I109" s="9">
        <f t="shared" si="4"/>
        <v>960</v>
      </c>
      <c r="J109" s="9">
        <v>3840</v>
      </c>
      <c r="K109" s="1" t="s">
        <v>293</v>
      </c>
      <c r="L109" s="7">
        <v>46650</v>
      </c>
      <c r="M109" s="1" t="s">
        <v>294</v>
      </c>
      <c r="N109" s="1" t="s">
        <v>295</v>
      </c>
      <c r="O109" s="1" t="s">
        <v>309</v>
      </c>
      <c r="P109" s="1" t="s">
        <v>297</v>
      </c>
    </row>
    <row r="110" spans="1:16" x14ac:dyDescent="0.25">
      <c r="A110" s="1" t="s">
        <v>433</v>
      </c>
      <c r="B110" s="1" t="s">
        <v>256</v>
      </c>
      <c r="C110" s="1" t="s">
        <v>167</v>
      </c>
      <c r="D110" s="1" t="s">
        <v>213</v>
      </c>
      <c r="E110" s="1" t="s">
        <v>307</v>
      </c>
      <c r="F110" s="1" t="s">
        <v>366</v>
      </c>
      <c r="G110" s="9">
        <v>32</v>
      </c>
      <c r="H110" s="9">
        <v>40</v>
      </c>
      <c r="I110" s="9">
        <f t="shared" si="4"/>
        <v>1280</v>
      </c>
      <c r="J110" s="9">
        <v>10240</v>
      </c>
      <c r="K110" s="1" t="s">
        <v>293</v>
      </c>
      <c r="L110" s="7">
        <v>46655</v>
      </c>
      <c r="M110" s="1" t="s">
        <v>302</v>
      </c>
      <c r="N110" s="1" t="s">
        <v>297</v>
      </c>
      <c r="O110" s="1" t="s">
        <v>303</v>
      </c>
      <c r="P110" s="1" t="s">
        <v>297</v>
      </c>
    </row>
    <row r="111" spans="1:16" x14ac:dyDescent="0.25">
      <c r="A111" s="1" t="s">
        <v>434</v>
      </c>
      <c r="B111" s="1" t="s">
        <v>258</v>
      </c>
      <c r="C111" s="1" t="s">
        <v>167</v>
      </c>
      <c r="D111" s="1" t="s">
        <v>210</v>
      </c>
      <c r="E111" s="1" t="s">
        <v>291</v>
      </c>
      <c r="F111" s="1" t="s">
        <v>351</v>
      </c>
      <c r="G111" s="9">
        <v>176</v>
      </c>
      <c r="H111" s="9">
        <v>12</v>
      </c>
      <c r="I111" s="9">
        <f t="shared" si="4"/>
        <v>2112</v>
      </c>
      <c r="J111" s="9">
        <v>9216</v>
      </c>
      <c r="K111" s="1" t="s">
        <v>311</v>
      </c>
      <c r="L111" s="7">
        <v>46497</v>
      </c>
      <c r="M111" s="1" t="s">
        <v>352</v>
      </c>
      <c r="N111" s="1" t="s">
        <v>297</v>
      </c>
      <c r="O111" s="1" t="s">
        <v>309</v>
      </c>
      <c r="P111" s="1" t="s">
        <v>295</v>
      </c>
    </row>
    <row r="112" spans="1:16" x14ac:dyDescent="0.25">
      <c r="A112" s="1" t="s">
        <v>435</v>
      </c>
      <c r="B112" s="1" t="s">
        <v>258</v>
      </c>
      <c r="C112" s="1" t="s">
        <v>167</v>
      </c>
      <c r="D112" s="1" t="s">
        <v>210</v>
      </c>
      <c r="E112" s="1" t="s">
        <v>299</v>
      </c>
      <c r="F112" s="1" t="s">
        <v>292</v>
      </c>
      <c r="G112" s="9">
        <v>16</v>
      </c>
      <c r="H112" s="9">
        <v>20</v>
      </c>
      <c r="I112" s="9">
        <f t="shared" si="4"/>
        <v>320</v>
      </c>
      <c r="J112" s="9">
        <v>1280</v>
      </c>
      <c r="K112" s="1" t="s">
        <v>293</v>
      </c>
      <c r="L112" s="7">
        <v>46361</v>
      </c>
      <c r="M112" s="1" t="s">
        <v>294</v>
      </c>
      <c r="N112" s="1" t="s">
        <v>297</v>
      </c>
      <c r="O112" s="1" t="s">
        <v>296</v>
      </c>
      <c r="P112" s="1" t="s">
        <v>297</v>
      </c>
    </row>
    <row r="113" spans="1:16" x14ac:dyDescent="0.25">
      <c r="A113" s="1" t="s">
        <v>436</v>
      </c>
      <c r="B113" s="1" t="s">
        <v>258</v>
      </c>
      <c r="C113" s="1" t="s">
        <v>167</v>
      </c>
      <c r="D113" s="1" t="s">
        <v>210</v>
      </c>
      <c r="E113" s="1" t="s">
        <v>299</v>
      </c>
      <c r="F113" s="1" t="s">
        <v>305</v>
      </c>
      <c r="G113" s="9">
        <v>8</v>
      </c>
      <c r="H113" s="9">
        <v>60</v>
      </c>
      <c r="I113" s="9">
        <f t="shared" si="4"/>
        <v>480</v>
      </c>
      <c r="J113" s="9">
        <v>1920</v>
      </c>
      <c r="K113" s="1" t="s">
        <v>311</v>
      </c>
      <c r="L113" s="7">
        <v>46500</v>
      </c>
      <c r="M113" s="1" t="s">
        <v>294</v>
      </c>
      <c r="N113" s="1" t="s">
        <v>297</v>
      </c>
      <c r="O113" s="1" t="s">
        <v>296</v>
      </c>
      <c r="P113" s="1" t="s">
        <v>297</v>
      </c>
    </row>
    <row r="114" spans="1:16" x14ac:dyDescent="0.25">
      <c r="A114" s="1" t="s">
        <v>437</v>
      </c>
      <c r="B114" s="1" t="s">
        <v>258</v>
      </c>
      <c r="C114" s="1" t="s">
        <v>167</v>
      </c>
      <c r="D114" s="1" t="s">
        <v>235</v>
      </c>
      <c r="E114" s="1" t="s">
        <v>299</v>
      </c>
      <c r="F114" s="1" t="s">
        <v>317</v>
      </c>
      <c r="G114" s="9">
        <v>32</v>
      </c>
      <c r="H114" s="9">
        <v>60</v>
      </c>
      <c r="I114" s="9">
        <f t="shared" si="4"/>
        <v>1920</v>
      </c>
      <c r="J114" s="9">
        <v>7680</v>
      </c>
      <c r="K114" s="1" t="s">
        <v>301</v>
      </c>
      <c r="L114" s="7">
        <v>46423</v>
      </c>
      <c r="M114" s="1" t="s">
        <v>294</v>
      </c>
      <c r="N114" s="1" t="s">
        <v>295</v>
      </c>
      <c r="O114" s="1" t="s">
        <v>303</v>
      </c>
      <c r="P114" s="1" t="s">
        <v>297</v>
      </c>
    </row>
    <row r="115" spans="1:16" x14ac:dyDescent="0.25">
      <c r="A115" s="1" t="s">
        <v>438</v>
      </c>
      <c r="B115" s="1" t="s">
        <v>260</v>
      </c>
      <c r="C115" s="1" t="s">
        <v>167</v>
      </c>
      <c r="D115" s="1" t="s">
        <v>192</v>
      </c>
      <c r="E115" s="1" t="s">
        <v>307</v>
      </c>
      <c r="F115" s="1" t="s">
        <v>313</v>
      </c>
      <c r="G115" s="9">
        <v>96</v>
      </c>
      <c r="H115" s="9">
        <v>32</v>
      </c>
      <c r="I115" s="9">
        <f t="shared" si="4"/>
        <v>3072</v>
      </c>
      <c r="J115" s="9">
        <v>60800</v>
      </c>
      <c r="K115" s="1" t="s">
        <v>293</v>
      </c>
      <c r="L115" s="7">
        <v>46532</v>
      </c>
      <c r="M115" s="1" t="s">
        <v>314</v>
      </c>
      <c r="N115" s="1" t="s">
        <v>297</v>
      </c>
      <c r="O115" s="1" t="s">
        <v>309</v>
      </c>
      <c r="P115" s="1" t="s">
        <v>295</v>
      </c>
    </row>
    <row r="116" spans="1:16" x14ac:dyDescent="0.25">
      <c r="A116" s="1" t="s">
        <v>439</v>
      </c>
      <c r="B116" s="1" t="s">
        <v>260</v>
      </c>
      <c r="C116" s="1" t="s">
        <v>167</v>
      </c>
      <c r="D116" s="1" t="s">
        <v>192</v>
      </c>
      <c r="E116" s="1" t="s">
        <v>299</v>
      </c>
      <c r="F116" s="1" t="s">
        <v>382</v>
      </c>
      <c r="G116" s="9">
        <v>24</v>
      </c>
      <c r="H116" s="9">
        <v>24</v>
      </c>
      <c r="I116" s="9">
        <f t="shared" si="4"/>
        <v>576</v>
      </c>
      <c r="J116" s="9">
        <v>5280</v>
      </c>
      <c r="K116" s="1" t="s">
        <v>293</v>
      </c>
      <c r="L116" s="7">
        <v>46537</v>
      </c>
      <c r="M116" s="1" t="s">
        <v>331</v>
      </c>
      <c r="N116" s="1" t="s">
        <v>297</v>
      </c>
      <c r="O116" s="1" t="s">
        <v>309</v>
      </c>
      <c r="P116" s="1" t="s">
        <v>297</v>
      </c>
    </row>
    <row r="117" spans="1:16" x14ac:dyDescent="0.25">
      <c r="A117" s="1" t="s">
        <v>440</v>
      </c>
      <c r="B117" s="1" t="s">
        <v>260</v>
      </c>
      <c r="C117" s="1" t="s">
        <v>167</v>
      </c>
      <c r="D117" s="1" t="s">
        <v>192</v>
      </c>
      <c r="E117" s="1" t="s">
        <v>291</v>
      </c>
      <c r="F117" s="1" t="s">
        <v>300</v>
      </c>
      <c r="G117" s="9">
        <v>64</v>
      </c>
      <c r="H117" s="9">
        <v>16</v>
      </c>
      <c r="I117" s="9">
        <f t="shared" si="4"/>
        <v>1024</v>
      </c>
      <c r="J117" s="9">
        <v>8192</v>
      </c>
      <c r="K117" s="1" t="s">
        <v>311</v>
      </c>
      <c r="L117" s="7">
        <v>46684</v>
      </c>
      <c r="M117" s="1" t="s">
        <v>302</v>
      </c>
      <c r="N117" s="1" t="s">
        <v>295</v>
      </c>
      <c r="O117" s="1" t="s">
        <v>303</v>
      </c>
      <c r="P117" s="1" t="s">
        <v>295</v>
      </c>
    </row>
    <row r="118" spans="1:16" x14ac:dyDescent="0.25">
      <c r="A118" s="1" t="s">
        <v>441</v>
      </c>
      <c r="B118" s="1" t="s">
        <v>260</v>
      </c>
      <c r="C118" s="1" t="s">
        <v>167</v>
      </c>
      <c r="D118" s="1" t="s">
        <v>192</v>
      </c>
      <c r="E118" s="1" t="s">
        <v>307</v>
      </c>
      <c r="F118" s="1" t="s">
        <v>317</v>
      </c>
      <c r="G118" s="9">
        <v>32</v>
      </c>
      <c r="H118" s="9">
        <v>24</v>
      </c>
      <c r="I118" s="9">
        <f t="shared" si="4"/>
        <v>768</v>
      </c>
      <c r="J118" s="9">
        <v>3072</v>
      </c>
      <c r="K118" s="1" t="s">
        <v>293</v>
      </c>
      <c r="L118" s="7">
        <v>46530</v>
      </c>
      <c r="M118" s="1" t="s">
        <v>294</v>
      </c>
      <c r="N118" s="1" t="s">
        <v>295</v>
      </c>
      <c r="O118" s="1" t="s">
        <v>303</v>
      </c>
      <c r="P118" s="1" t="s">
        <v>297</v>
      </c>
    </row>
    <row r="119" spans="1:16" x14ac:dyDescent="0.25">
      <c r="A119" s="1" t="s">
        <v>442</v>
      </c>
      <c r="B119" s="1" t="s">
        <v>260</v>
      </c>
      <c r="C119" s="1" t="s">
        <v>167</v>
      </c>
      <c r="D119" s="1" t="s">
        <v>198</v>
      </c>
      <c r="E119" s="1" t="s">
        <v>307</v>
      </c>
      <c r="F119" s="1" t="s">
        <v>326</v>
      </c>
      <c r="G119" s="9">
        <v>16</v>
      </c>
      <c r="H119" s="9">
        <v>30</v>
      </c>
      <c r="I119" s="9">
        <f t="shared" si="4"/>
        <v>480</v>
      </c>
      <c r="J119" s="9">
        <v>3840</v>
      </c>
      <c r="K119" s="1" t="s">
        <v>301</v>
      </c>
      <c r="L119" s="7">
        <v>46592</v>
      </c>
      <c r="M119" s="1" t="s">
        <v>302</v>
      </c>
      <c r="N119" s="1" t="s">
        <v>297</v>
      </c>
      <c r="O119" s="1" t="s">
        <v>309</v>
      </c>
      <c r="P119" s="1" t="s">
        <v>297</v>
      </c>
    </row>
    <row r="120" spans="1:16" x14ac:dyDescent="0.25">
      <c r="A120" s="1" t="s">
        <v>443</v>
      </c>
      <c r="B120" s="1" t="s">
        <v>262</v>
      </c>
      <c r="C120" s="1" t="s">
        <v>167</v>
      </c>
      <c r="D120" s="1" t="s">
        <v>214</v>
      </c>
      <c r="E120" s="1" t="s">
        <v>291</v>
      </c>
      <c r="F120" s="1" t="s">
        <v>366</v>
      </c>
      <c r="G120" s="9">
        <v>32</v>
      </c>
      <c r="H120" s="9">
        <v>10</v>
      </c>
      <c r="I120" s="9">
        <f t="shared" si="4"/>
        <v>320</v>
      </c>
      <c r="J120" s="9">
        <v>2560</v>
      </c>
      <c r="K120" s="1" t="s">
        <v>301</v>
      </c>
      <c r="L120" s="7">
        <v>46702</v>
      </c>
      <c r="M120" s="1" t="s">
        <v>302</v>
      </c>
      <c r="N120" s="1" t="s">
        <v>297</v>
      </c>
      <c r="O120" s="1" t="s">
        <v>303</v>
      </c>
      <c r="P120" s="1" t="s">
        <v>295</v>
      </c>
    </row>
    <row r="121" spans="1:16" x14ac:dyDescent="0.25">
      <c r="A121" s="1" t="s">
        <v>444</v>
      </c>
      <c r="B121" s="1" t="s">
        <v>262</v>
      </c>
      <c r="C121" s="1" t="s">
        <v>167</v>
      </c>
      <c r="D121" s="1" t="s">
        <v>214</v>
      </c>
      <c r="E121" s="1" t="s">
        <v>299</v>
      </c>
      <c r="F121" s="1" t="s">
        <v>351</v>
      </c>
      <c r="G121" s="9">
        <v>176</v>
      </c>
      <c r="H121" s="9">
        <v>12</v>
      </c>
      <c r="I121" s="9">
        <f t="shared" si="4"/>
        <v>2112</v>
      </c>
      <c r="J121" s="9">
        <v>9216</v>
      </c>
      <c r="K121" s="1" t="s">
        <v>301</v>
      </c>
      <c r="L121" s="7">
        <v>46696</v>
      </c>
      <c r="M121" s="1" t="s">
        <v>352</v>
      </c>
      <c r="N121" s="1" t="s">
        <v>297</v>
      </c>
      <c r="O121" s="1" t="s">
        <v>296</v>
      </c>
      <c r="P121" s="1" t="s">
        <v>297</v>
      </c>
    </row>
    <row r="122" spans="1:16" x14ac:dyDescent="0.25">
      <c r="A122" s="1" t="s">
        <v>445</v>
      </c>
      <c r="B122" s="1" t="s">
        <v>262</v>
      </c>
      <c r="C122" s="1" t="s">
        <v>167</v>
      </c>
      <c r="D122" s="1" t="s">
        <v>214</v>
      </c>
      <c r="E122" s="1" t="s">
        <v>299</v>
      </c>
      <c r="F122" s="1" t="s">
        <v>337</v>
      </c>
      <c r="G122" s="9">
        <v>32</v>
      </c>
      <c r="H122" s="9">
        <v>48</v>
      </c>
      <c r="I122" s="9">
        <f t="shared" si="4"/>
        <v>1536</v>
      </c>
      <c r="J122" s="9">
        <v>12288</v>
      </c>
      <c r="K122" s="1" t="s">
        <v>311</v>
      </c>
      <c r="L122" s="7">
        <v>46758</v>
      </c>
      <c r="M122" s="1" t="s">
        <v>302</v>
      </c>
      <c r="N122" s="1" t="s">
        <v>295</v>
      </c>
      <c r="O122" s="1" t="s">
        <v>303</v>
      </c>
      <c r="P122" s="1" t="s">
        <v>295</v>
      </c>
    </row>
    <row r="123" spans="1:16" x14ac:dyDescent="0.25">
      <c r="A123" s="1" t="s">
        <v>446</v>
      </c>
      <c r="B123" s="1" t="s">
        <v>262</v>
      </c>
      <c r="C123" s="1" t="s">
        <v>167</v>
      </c>
      <c r="D123" s="1" t="s">
        <v>214</v>
      </c>
      <c r="E123" s="1" t="s">
        <v>291</v>
      </c>
      <c r="F123" s="1" t="s">
        <v>300</v>
      </c>
      <c r="G123" s="9">
        <v>64</v>
      </c>
      <c r="H123" s="9">
        <v>120</v>
      </c>
      <c r="I123" s="9">
        <f t="shared" si="4"/>
        <v>7680</v>
      </c>
      <c r="J123" s="9">
        <v>61440</v>
      </c>
      <c r="K123" s="1" t="s">
        <v>311</v>
      </c>
      <c r="L123" s="7">
        <v>46759</v>
      </c>
      <c r="M123" s="1" t="s">
        <v>302</v>
      </c>
      <c r="N123" s="1" t="s">
        <v>297</v>
      </c>
      <c r="O123" s="1" t="s">
        <v>303</v>
      </c>
      <c r="P123" s="1" t="s">
        <v>297</v>
      </c>
    </row>
    <row r="124" spans="1:16" x14ac:dyDescent="0.25">
      <c r="A124" s="1" t="s">
        <v>447</v>
      </c>
      <c r="B124" s="1" t="s">
        <v>262</v>
      </c>
      <c r="C124" s="1" t="s">
        <v>167</v>
      </c>
      <c r="D124" s="1" t="s">
        <v>214</v>
      </c>
      <c r="E124" s="1" t="s">
        <v>291</v>
      </c>
      <c r="F124" s="1" t="s">
        <v>333</v>
      </c>
      <c r="G124" s="9">
        <v>16</v>
      </c>
      <c r="H124" s="9">
        <v>10</v>
      </c>
      <c r="I124" s="9">
        <f t="shared" si="4"/>
        <v>160</v>
      </c>
      <c r="J124" s="9">
        <v>1280</v>
      </c>
      <c r="K124" s="1" t="s">
        <v>301</v>
      </c>
      <c r="L124" s="7">
        <v>46702</v>
      </c>
      <c r="M124" s="1" t="s">
        <v>334</v>
      </c>
      <c r="N124" s="1" t="s">
        <v>295</v>
      </c>
      <c r="O124" s="1" t="s">
        <v>303</v>
      </c>
      <c r="P124" s="1" t="s">
        <v>297</v>
      </c>
    </row>
    <row r="125" spans="1:16" x14ac:dyDescent="0.25">
      <c r="A125" s="1" t="s">
        <v>448</v>
      </c>
      <c r="B125" s="1" t="s">
        <v>262</v>
      </c>
      <c r="C125" s="1" t="s">
        <v>167</v>
      </c>
      <c r="D125" s="1" t="s">
        <v>235</v>
      </c>
      <c r="E125" s="1" t="s">
        <v>299</v>
      </c>
      <c r="F125" s="1" t="s">
        <v>337</v>
      </c>
      <c r="G125" s="9">
        <v>32</v>
      </c>
      <c r="H125" s="9">
        <v>90</v>
      </c>
      <c r="I125" s="9">
        <f t="shared" si="4"/>
        <v>2880</v>
      </c>
      <c r="J125" s="9">
        <v>23040</v>
      </c>
      <c r="K125" s="1" t="s">
        <v>293</v>
      </c>
      <c r="L125" s="7">
        <v>46630</v>
      </c>
      <c r="M125" s="1" t="s">
        <v>302</v>
      </c>
      <c r="N125" s="1" t="s">
        <v>295</v>
      </c>
      <c r="O125" s="1" t="s">
        <v>309</v>
      </c>
      <c r="P125" s="1" t="s">
        <v>297</v>
      </c>
    </row>
    <row r="126" spans="1:16" x14ac:dyDescent="0.25">
      <c r="A126" s="1" t="s">
        <v>449</v>
      </c>
      <c r="B126" s="1" t="s">
        <v>264</v>
      </c>
      <c r="C126" s="1" t="s">
        <v>172</v>
      </c>
      <c r="D126" s="1" t="s">
        <v>192</v>
      </c>
      <c r="E126" s="1" t="s">
        <v>299</v>
      </c>
      <c r="F126" s="1" t="s">
        <v>330</v>
      </c>
      <c r="G126" s="9">
        <v>40</v>
      </c>
      <c r="H126" s="9">
        <v>4</v>
      </c>
      <c r="I126" s="9">
        <f t="shared" si="4"/>
        <v>160</v>
      </c>
      <c r="J126" s="9">
        <v>1280</v>
      </c>
      <c r="K126" s="1" t="s">
        <v>301</v>
      </c>
      <c r="L126" s="7">
        <v>46496</v>
      </c>
      <c r="M126" s="1" t="s">
        <v>331</v>
      </c>
      <c r="N126" s="1" t="s">
        <v>297</v>
      </c>
      <c r="O126" s="1" t="s">
        <v>309</v>
      </c>
      <c r="P126" s="1" t="s">
        <v>297</v>
      </c>
    </row>
    <row r="127" spans="1:16" x14ac:dyDescent="0.25">
      <c r="A127" s="1" t="s">
        <v>450</v>
      </c>
      <c r="B127" s="1" t="s">
        <v>264</v>
      </c>
      <c r="C127" s="1" t="s">
        <v>172</v>
      </c>
      <c r="D127" s="1" t="s">
        <v>192</v>
      </c>
      <c r="E127" s="1" t="s">
        <v>291</v>
      </c>
      <c r="F127" s="1" t="s">
        <v>330</v>
      </c>
      <c r="G127" s="9">
        <v>40</v>
      </c>
      <c r="H127" s="9">
        <v>4</v>
      </c>
      <c r="I127" s="9">
        <f t="shared" si="4"/>
        <v>160</v>
      </c>
      <c r="J127" s="9">
        <v>1280</v>
      </c>
      <c r="K127" s="1" t="s">
        <v>293</v>
      </c>
      <c r="L127" s="7">
        <v>46430</v>
      </c>
      <c r="M127" s="1" t="s">
        <v>331</v>
      </c>
      <c r="N127" s="1" t="s">
        <v>297</v>
      </c>
      <c r="O127" s="1" t="s">
        <v>309</v>
      </c>
      <c r="P127" s="1" t="s">
        <v>295</v>
      </c>
    </row>
    <row r="128" spans="1:16" x14ac:dyDescent="0.25">
      <c r="A128" s="1" t="s">
        <v>451</v>
      </c>
      <c r="B128" s="1" t="s">
        <v>264</v>
      </c>
      <c r="C128" s="1" t="s">
        <v>172</v>
      </c>
      <c r="D128" s="1" t="s">
        <v>192</v>
      </c>
      <c r="E128" s="1" t="s">
        <v>291</v>
      </c>
      <c r="F128" s="1" t="s">
        <v>340</v>
      </c>
      <c r="G128" s="9">
        <v>32</v>
      </c>
      <c r="H128" s="9">
        <v>30</v>
      </c>
      <c r="I128" s="9">
        <f t="shared" si="4"/>
        <v>960</v>
      </c>
      <c r="J128" s="9">
        <v>1920</v>
      </c>
      <c r="K128" s="1" t="s">
        <v>311</v>
      </c>
      <c r="L128" s="7">
        <v>46573</v>
      </c>
      <c r="M128" s="1" t="s">
        <v>341</v>
      </c>
      <c r="N128" s="1" t="s">
        <v>295</v>
      </c>
      <c r="O128" s="1" t="s">
        <v>309</v>
      </c>
      <c r="P128" s="1" t="s">
        <v>297</v>
      </c>
    </row>
    <row r="129" spans="1:16" x14ac:dyDescent="0.25">
      <c r="A129" s="1" t="s">
        <v>452</v>
      </c>
      <c r="B129" s="1" t="s">
        <v>264</v>
      </c>
      <c r="C129" s="1" t="s">
        <v>172</v>
      </c>
      <c r="D129" s="1" t="s">
        <v>202</v>
      </c>
      <c r="E129" s="1" t="s">
        <v>291</v>
      </c>
      <c r="F129" s="1" t="s">
        <v>317</v>
      </c>
      <c r="G129" s="9">
        <v>32</v>
      </c>
      <c r="H129" s="9">
        <v>120</v>
      </c>
      <c r="I129" s="9">
        <f t="shared" si="4"/>
        <v>3840</v>
      </c>
      <c r="J129" s="9">
        <v>15360</v>
      </c>
      <c r="K129" s="1" t="s">
        <v>293</v>
      </c>
      <c r="L129" s="7">
        <v>46426</v>
      </c>
      <c r="M129" s="1" t="s">
        <v>294</v>
      </c>
      <c r="N129" s="1" t="s">
        <v>297</v>
      </c>
      <c r="O129" s="1" t="s">
        <v>303</v>
      </c>
      <c r="P129" s="1" t="s">
        <v>297</v>
      </c>
    </row>
    <row r="130" spans="1:16" x14ac:dyDescent="0.25">
      <c r="A130" s="1" t="s">
        <v>453</v>
      </c>
      <c r="B130" s="1" t="s">
        <v>266</v>
      </c>
      <c r="C130" s="1" t="s">
        <v>172</v>
      </c>
      <c r="D130" s="1" t="s">
        <v>202</v>
      </c>
      <c r="E130" s="1" t="s">
        <v>291</v>
      </c>
      <c r="F130" s="1" t="s">
        <v>402</v>
      </c>
      <c r="G130" s="9">
        <v>16</v>
      </c>
      <c r="H130" s="9">
        <v>30</v>
      </c>
      <c r="I130" s="9">
        <f t="shared" si="4"/>
        <v>480</v>
      </c>
      <c r="J130" s="9">
        <v>1920</v>
      </c>
      <c r="K130" s="1" t="s">
        <v>301</v>
      </c>
      <c r="L130" s="7">
        <v>46464</v>
      </c>
      <c r="M130" s="1" t="s">
        <v>294</v>
      </c>
      <c r="N130" s="1" t="s">
        <v>295</v>
      </c>
      <c r="O130" s="1" t="s">
        <v>296</v>
      </c>
      <c r="P130" s="1" t="s">
        <v>295</v>
      </c>
    </row>
    <row r="131" spans="1:16" x14ac:dyDescent="0.25">
      <c r="A131" s="1" t="s">
        <v>454</v>
      </c>
      <c r="B131" s="1" t="s">
        <v>266</v>
      </c>
      <c r="C131" s="1" t="s">
        <v>172</v>
      </c>
      <c r="D131" s="1" t="s">
        <v>224</v>
      </c>
      <c r="E131" s="1" t="s">
        <v>307</v>
      </c>
      <c r="F131" s="1" t="s">
        <v>326</v>
      </c>
      <c r="G131" s="9">
        <v>16</v>
      </c>
      <c r="H131" s="9">
        <v>120</v>
      </c>
      <c r="I131" s="9">
        <f t="shared" ref="I131:I162" si="5">G131*H131</f>
        <v>1920</v>
      </c>
      <c r="J131" s="9">
        <v>15360</v>
      </c>
      <c r="K131" s="1" t="s">
        <v>301</v>
      </c>
      <c r="L131" s="7">
        <v>46456</v>
      </c>
      <c r="M131" s="1" t="s">
        <v>302</v>
      </c>
      <c r="N131" s="1" t="s">
        <v>297</v>
      </c>
      <c r="O131" s="1" t="s">
        <v>309</v>
      </c>
      <c r="P131" s="1" t="s">
        <v>297</v>
      </c>
    </row>
    <row r="132" spans="1:16" x14ac:dyDescent="0.25">
      <c r="A132" s="1" t="s">
        <v>455</v>
      </c>
      <c r="B132" s="1" t="s">
        <v>266</v>
      </c>
      <c r="C132" s="1" t="s">
        <v>172</v>
      </c>
      <c r="D132" s="1" t="s">
        <v>224</v>
      </c>
      <c r="E132" s="1" t="s">
        <v>291</v>
      </c>
      <c r="F132" s="1" t="s">
        <v>321</v>
      </c>
      <c r="G132" s="9">
        <v>128</v>
      </c>
      <c r="H132" s="9">
        <v>2</v>
      </c>
      <c r="I132" s="9">
        <f t="shared" si="5"/>
        <v>256</v>
      </c>
      <c r="J132" s="9">
        <v>7784</v>
      </c>
      <c r="K132" s="1" t="s">
        <v>293</v>
      </c>
      <c r="L132" s="7">
        <v>46390</v>
      </c>
      <c r="M132" s="1" t="s">
        <v>322</v>
      </c>
      <c r="N132" s="1" t="s">
        <v>295</v>
      </c>
      <c r="O132" s="1" t="s">
        <v>309</v>
      </c>
      <c r="P132" s="1" t="s">
        <v>297</v>
      </c>
    </row>
    <row r="133" spans="1:16" x14ac:dyDescent="0.25">
      <c r="A133" s="1" t="s">
        <v>456</v>
      </c>
      <c r="B133" s="1" t="s">
        <v>266</v>
      </c>
      <c r="C133" s="1" t="s">
        <v>172</v>
      </c>
      <c r="D133" s="1" t="s">
        <v>224</v>
      </c>
      <c r="E133" s="1" t="s">
        <v>299</v>
      </c>
      <c r="F133" s="1" t="s">
        <v>300</v>
      </c>
      <c r="G133" s="9">
        <v>64</v>
      </c>
      <c r="H133" s="9">
        <v>40</v>
      </c>
      <c r="I133" s="9">
        <f t="shared" si="5"/>
        <v>2560</v>
      </c>
      <c r="J133" s="9">
        <v>20480</v>
      </c>
      <c r="K133" s="1" t="s">
        <v>311</v>
      </c>
      <c r="L133" s="7">
        <v>46527</v>
      </c>
      <c r="M133" s="1" t="s">
        <v>302</v>
      </c>
      <c r="N133" s="1" t="s">
        <v>295</v>
      </c>
      <c r="O133" s="1" t="s">
        <v>309</v>
      </c>
      <c r="P133" s="1" t="s">
        <v>295</v>
      </c>
    </row>
    <row r="134" spans="1:16" x14ac:dyDescent="0.25">
      <c r="A134" s="1" t="s">
        <v>457</v>
      </c>
      <c r="B134" s="1" t="s">
        <v>266</v>
      </c>
      <c r="C134" s="1" t="s">
        <v>172</v>
      </c>
      <c r="D134" s="1" t="s">
        <v>224</v>
      </c>
      <c r="E134" s="1" t="s">
        <v>291</v>
      </c>
      <c r="F134" s="1" t="s">
        <v>300</v>
      </c>
      <c r="G134" s="9">
        <v>64</v>
      </c>
      <c r="H134" s="9">
        <v>16</v>
      </c>
      <c r="I134" s="9">
        <f t="shared" si="5"/>
        <v>1024</v>
      </c>
      <c r="J134" s="9">
        <v>8192</v>
      </c>
      <c r="K134" s="1" t="s">
        <v>311</v>
      </c>
      <c r="L134" s="7">
        <v>46526</v>
      </c>
      <c r="M134" s="1" t="s">
        <v>302</v>
      </c>
      <c r="N134" s="1" t="s">
        <v>295</v>
      </c>
      <c r="O134" s="1" t="s">
        <v>296</v>
      </c>
      <c r="P134" s="1" t="s">
        <v>297</v>
      </c>
    </row>
    <row r="135" spans="1:16" x14ac:dyDescent="0.25">
      <c r="A135" s="1" t="s">
        <v>458</v>
      </c>
      <c r="B135" s="1" t="s">
        <v>266</v>
      </c>
      <c r="C135" s="1" t="s">
        <v>172</v>
      </c>
      <c r="D135" s="1" t="s">
        <v>202</v>
      </c>
      <c r="E135" s="1" t="s">
        <v>299</v>
      </c>
      <c r="F135" s="1" t="s">
        <v>337</v>
      </c>
      <c r="G135" s="9">
        <v>32</v>
      </c>
      <c r="H135" s="9">
        <v>40</v>
      </c>
      <c r="I135" s="9">
        <f t="shared" si="5"/>
        <v>1280</v>
      </c>
      <c r="J135" s="9">
        <v>10240</v>
      </c>
      <c r="K135" s="1" t="s">
        <v>311</v>
      </c>
      <c r="L135" s="7">
        <v>46546</v>
      </c>
      <c r="M135" s="1" t="s">
        <v>302</v>
      </c>
      <c r="N135" s="1" t="s">
        <v>297</v>
      </c>
      <c r="O135" s="1" t="s">
        <v>303</v>
      </c>
      <c r="P135" s="1" t="s">
        <v>297</v>
      </c>
    </row>
    <row r="136" spans="1:16" x14ac:dyDescent="0.25">
      <c r="A136" s="1" t="s">
        <v>459</v>
      </c>
      <c r="B136" s="1" t="s">
        <v>268</v>
      </c>
      <c r="C136" s="1" t="s">
        <v>172</v>
      </c>
      <c r="D136" s="1" t="s">
        <v>214</v>
      </c>
      <c r="E136" s="1" t="s">
        <v>291</v>
      </c>
      <c r="F136" s="1" t="s">
        <v>317</v>
      </c>
      <c r="G136" s="9">
        <v>32</v>
      </c>
      <c r="H136" s="9">
        <v>10</v>
      </c>
      <c r="I136" s="9">
        <f t="shared" si="5"/>
        <v>320</v>
      </c>
      <c r="J136" s="9">
        <v>1280</v>
      </c>
      <c r="K136" s="1" t="s">
        <v>293</v>
      </c>
      <c r="L136" s="7">
        <v>46657</v>
      </c>
      <c r="M136" s="1" t="s">
        <v>294</v>
      </c>
      <c r="N136" s="1" t="s">
        <v>297</v>
      </c>
      <c r="O136" s="1" t="s">
        <v>303</v>
      </c>
      <c r="P136" s="1" t="s">
        <v>297</v>
      </c>
    </row>
    <row r="137" spans="1:16" x14ac:dyDescent="0.25">
      <c r="A137" s="1" t="s">
        <v>460</v>
      </c>
      <c r="B137" s="1" t="s">
        <v>268</v>
      </c>
      <c r="C137" s="1" t="s">
        <v>172</v>
      </c>
      <c r="D137" s="1" t="s">
        <v>217</v>
      </c>
      <c r="E137" s="1" t="s">
        <v>307</v>
      </c>
      <c r="F137" s="1" t="s">
        <v>366</v>
      </c>
      <c r="G137" s="9">
        <v>32</v>
      </c>
      <c r="H137" s="9">
        <v>16</v>
      </c>
      <c r="I137" s="9">
        <f t="shared" si="5"/>
        <v>512</v>
      </c>
      <c r="J137" s="9">
        <v>4096</v>
      </c>
      <c r="K137" s="1" t="s">
        <v>293</v>
      </c>
      <c r="L137" s="7">
        <v>46648</v>
      </c>
      <c r="M137" s="1" t="s">
        <v>302</v>
      </c>
      <c r="N137" s="1" t="s">
        <v>297</v>
      </c>
      <c r="O137" s="1" t="s">
        <v>296</v>
      </c>
      <c r="P137" s="1" t="s">
        <v>297</v>
      </c>
    </row>
    <row r="138" spans="1:16" x14ac:dyDescent="0.25">
      <c r="A138" s="1" t="s">
        <v>461</v>
      </c>
      <c r="B138" s="1" t="s">
        <v>268</v>
      </c>
      <c r="C138" s="1" t="s">
        <v>172</v>
      </c>
      <c r="D138" s="1" t="s">
        <v>217</v>
      </c>
      <c r="E138" s="1" t="s">
        <v>299</v>
      </c>
      <c r="F138" s="1" t="s">
        <v>300</v>
      </c>
      <c r="G138" s="9">
        <v>64</v>
      </c>
      <c r="H138" s="9">
        <v>60</v>
      </c>
      <c r="I138" s="9">
        <f t="shared" si="5"/>
        <v>3840</v>
      </c>
      <c r="J138" s="9">
        <v>30720</v>
      </c>
      <c r="K138" s="1" t="s">
        <v>311</v>
      </c>
      <c r="L138" s="7">
        <v>46796</v>
      </c>
      <c r="M138" s="1" t="s">
        <v>302</v>
      </c>
      <c r="N138" s="1" t="s">
        <v>297</v>
      </c>
      <c r="O138" s="1" t="s">
        <v>296</v>
      </c>
      <c r="P138" s="1" t="s">
        <v>297</v>
      </c>
    </row>
    <row r="139" spans="1:16" x14ac:dyDescent="0.25">
      <c r="A139" s="1" t="s">
        <v>462</v>
      </c>
      <c r="B139" s="1" t="s">
        <v>268</v>
      </c>
      <c r="C139" s="1" t="s">
        <v>172</v>
      </c>
      <c r="D139" s="1" t="s">
        <v>217</v>
      </c>
      <c r="E139" s="1" t="s">
        <v>291</v>
      </c>
      <c r="F139" s="1" t="s">
        <v>366</v>
      </c>
      <c r="G139" s="9">
        <v>32</v>
      </c>
      <c r="H139" s="9">
        <v>75</v>
      </c>
      <c r="I139" s="9">
        <f t="shared" si="5"/>
        <v>2400</v>
      </c>
      <c r="J139" s="9">
        <v>19200</v>
      </c>
      <c r="K139" s="1" t="s">
        <v>301</v>
      </c>
      <c r="L139" s="7">
        <v>46694</v>
      </c>
      <c r="M139" s="1" t="s">
        <v>302</v>
      </c>
      <c r="N139" s="1" t="s">
        <v>295</v>
      </c>
      <c r="O139" s="1" t="s">
        <v>309</v>
      </c>
      <c r="P139" s="1" t="s">
        <v>297</v>
      </c>
    </row>
    <row r="140" spans="1:16" x14ac:dyDescent="0.25">
      <c r="A140" s="1" t="s">
        <v>463</v>
      </c>
      <c r="B140" s="1" t="s">
        <v>268</v>
      </c>
      <c r="C140" s="1" t="s">
        <v>172</v>
      </c>
      <c r="D140" s="1" t="s">
        <v>217</v>
      </c>
      <c r="E140" s="1" t="s">
        <v>307</v>
      </c>
      <c r="F140" s="1" t="s">
        <v>340</v>
      </c>
      <c r="G140" s="9">
        <v>32</v>
      </c>
      <c r="H140" s="9">
        <v>30</v>
      </c>
      <c r="I140" s="9">
        <f t="shared" si="5"/>
        <v>960</v>
      </c>
      <c r="J140" s="9">
        <v>1920</v>
      </c>
      <c r="K140" s="1" t="s">
        <v>301</v>
      </c>
      <c r="L140" s="7">
        <v>46709</v>
      </c>
      <c r="M140" s="1" t="s">
        <v>341</v>
      </c>
      <c r="N140" s="1" t="s">
        <v>297</v>
      </c>
      <c r="O140" s="1" t="s">
        <v>296</v>
      </c>
      <c r="P140" s="1" t="s">
        <v>297</v>
      </c>
    </row>
    <row r="141" spans="1:16" x14ac:dyDescent="0.25">
      <c r="A141" s="1" t="s">
        <v>464</v>
      </c>
      <c r="B141" s="1" t="s">
        <v>268</v>
      </c>
      <c r="C141" s="1" t="s">
        <v>172</v>
      </c>
      <c r="D141" s="1" t="s">
        <v>214</v>
      </c>
      <c r="E141" s="1" t="s">
        <v>291</v>
      </c>
      <c r="F141" s="1" t="s">
        <v>305</v>
      </c>
      <c r="G141" s="9">
        <v>8</v>
      </c>
      <c r="H141" s="9">
        <v>16</v>
      </c>
      <c r="I141" s="9">
        <f t="shared" si="5"/>
        <v>128</v>
      </c>
      <c r="J141" s="9">
        <v>512</v>
      </c>
      <c r="K141" s="1" t="s">
        <v>293</v>
      </c>
      <c r="L141" s="7">
        <v>46648</v>
      </c>
      <c r="M141" s="1" t="s">
        <v>294</v>
      </c>
      <c r="N141" s="1" t="s">
        <v>295</v>
      </c>
      <c r="O141" s="1" t="s">
        <v>309</v>
      </c>
      <c r="P141" s="1" t="s">
        <v>297</v>
      </c>
    </row>
    <row r="142" spans="1:16" x14ac:dyDescent="0.25">
      <c r="A142" s="1" t="s">
        <v>465</v>
      </c>
      <c r="B142" s="1" t="s">
        <v>270</v>
      </c>
      <c r="C142" s="1" t="s">
        <v>172</v>
      </c>
      <c r="D142" s="1" t="s">
        <v>192</v>
      </c>
      <c r="E142" s="1" t="s">
        <v>307</v>
      </c>
      <c r="F142" s="1" t="s">
        <v>313</v>
      </c>
      <c r="G142" s="9">
        <v>96</v>
      </c>
      <c r="H142" s="9">
        <v>16</v>
      </c>
      <c r="I142" s="9">
        <f t="shared" si="5"/>
        <v>1536</v>
      </c>
      <c r="J142" s="9">
        <v>30400</v>
      </c>
      <c r="K142" s="1" t="s">
        <v>301</v>
      </c>
      <c r="L142" s="7">
        <v>46459</v>
      </c>
      <c r="M142" s="1" t="s">
        <v>314</v>
      </c>
      <c r="N142" s="1" t="s">
        <v>295</v>
      </c>
      <c r="O142" s="1" t="s">
        <v>309</v>
      </c>
      <c r="P142" s="1" t="s">
        <v>295</v>
      </c>
    </row>
    <row r="143" spans="1:16" x14ac:dyDescent="0.25">
      <c r="A143" s="1" t="s">
        <v>466</v>
      </c>
      <c r="B143" s="1" t="s">
        <v>270</v>
      </c>
      <c r="C143" s="1" t="s">
        <v>172</v>
      </c>
      <c r="D143" s="1" t="s">
        <v>192</v>
      </c>
      <c r="E143" s="1" t="s">
        <v>307</v>
      </c>
      <c r="F143" s="1" t="s">
        <v>330</v>
      </c>
      <c r="G143" s="9">
        <v>40</v>
      </c>
      <c r="H143" s="9">
        <v>32</v>
      </c>
      <c r="I143" s="9">
        <f t="shared" si="5"/>
        <v>1280</v>
      </c>
      <c r="J143" s="9">
        <v>10240</v>
      </c>
      <c r="K143" s="1" t="s">
        <v>301</v>
      </c>
      <c r="L143" s="7">
        <v>46456</v>
      </c>
      <c r="M143" s="1" t="s">
        <v>331</v>
      </c>
      <c r="N143" s="1" t="s">
        <v>295</v>
      </c>
      <c r="O143" s="1" t="s">
        <v>309</v>
      </c>
      <c r="P143" s="1" t="s">
        <v>295</v>
      </c>
    </row>
    <row r="144" spans="1:16" x14ac:dyDescent="0.25">
      <c r="A144" s="1" t="s">
        <v>467</v>
      </c>
      <c r="B144" s="1" t="s">
        <v>270</v>
      </c>
      <c r="C144" s="1" t="s">
        <v>172</v>
      </c>
      <c r="D144" s="1" t="s">
        <v>213</v>
      </c>
      <c r="E144" s="1" t="s">
        <v>291</v>
      </c>
      <c r="F144" s="1" t="s">
        <v>326</v>
      </c>
      <c r="G144" s="9">
        <v>16</v>
      </c>
      <c r="H144" s="9">
        <v>48</v>
      </c>
      <c r="I144" s="9">
        <f t="shared" si="5"/>
        <v>768</v>
      </c>
      <c r="J144" s="9">
        <v>6144</v>
      </c>
      <c r="K144" s="1" t="s">
        <v>311</v>
      </c>
      <c r="L144" s="7">
        <v>46521</v>
      </c>
      <c r="M144" s="1" t="s">
        <v>302</v>
      </c>
      <c r="N144" s="1" t="s">
        <v>297</v>
      </c>
      <c r="O144" s="1" t="s">
        <v>296</v>
      </c>
      <c r="P144" s="1" t="s">
        <v>297</v>
      </c>
    </row>
    <row r="145" spans="1:16" x14ac:dyDescent="0.25">
      <c r="A145" s="1" t="s">
        <v>468</v>
      </c>
      <c r="B145" s="1" t="s">
        <v>270</v>
      </c>
      <c r="C145" s="1" t="s">
        <v>172</v>
      </c>
      <c r="D145" s="1" t="s">
        <v>192</v>
      </c>
      <c r="E145" s="1" t="s">
        <v>307</v>
      </c>
      <c r="F145" s="1" t="s">
        <v>326</v>
      </c>
      <c r="G145" s="9">
        <v>16</v>
      </c>
      <c r="H145" s="9">
        <v>20</v>
      </c>
      <c r="I145" s="9">
        <f t="shared" si="5"/>
        <v>320</v>
      </c>
      <c r="J145" s="9">
        <v>2560</v>
      </c>
      <c r="K145" s="1" t="s">
        <v>293</v>
      </c>
      <c r="L145" s="7">
        <v>46387</v>
      </c>
      <c r="M145" s="1" t="s">
        <v>302</v>
      </c>
      <c r="N145" s="1" t="s">
        <v>295</v>
      </c>
      <c r="O145" s="1" t="s">
        <v>309</v>
      </c>
      <c r="P145" s="1" t="s">
        <v>295</v>
      </c>
    </row>
    <row r="146" spans="1:16" x14ac:dyDescent="0.25">
      <c r="A146" s="1" t="s">
        <v>469</v>
      </c>
      <c r="B146" s="1" t="s">
        <v>270</v>
      </c>
      <c r="C146" s="1" t="s">
        <v>172</v>
      </c>
      <c r="D146" s="1" t="s">
        <v>192</v>
      </c>
      <c r="E146" s="1" t="s">
        <v>291</v>
      </c>
      <c r="F146" s="1" t="s">
        <v>366</v>
      </c>
      <c r="G146" s="9">
        <v>32</v>
      </c>
      <c r="H146" s="9">
        <v>60</v>
      </c>
      <c r="I146" s="9">
        <f t="shared" si="5"/>
        <v>1920</v>
      </c>
      <c r="J146" s="9">
        <v>15360</v>
      </c>
      <c r="K146" s="1" t="s">
        <v>311</v>
      </c>
      <c r="L146" s="7">
        <v>46527</v>
      </c>
      <c r="M146" s="1" t="s">
        <v>302</v>
      </c>
      <c r="N146" s="1" t="s">
        <v>297</v>
      </c>
      <c r="O146" s="1" t="s">
        <v>296</v>
      </c>
      <c r="P146" s="1" t="s">
        <v>297</v>
      </c>
    </row>
    <row r="147" spans="1:16" x14ac:dyDescent="0.25">
      <c r="A147" s="1" t="s">
        <v>470</v>
      </c>
      <c r="B147" s="1" t="s">
        <v>270</v>
      </c>
      <c r="C147" s="1" t="s">
        <v>172</v>
      </c>
      <c r="D147" s="1" t="s">
        <v>192</v>
      </c>
      <c r="E147" s="1" t="s">
        <v>291</v>
      </c>
      <c r="F147" s="1" t="s">
        <v>300</v>
      </c>
      <c r="G147" s="9">
        <v>64</v>
      </c>
      <c r="H147" s="9">
        <v>30</v>
      </c>
      <c r="I147" s="9">
        <f t="shared" si="5"/>
        <v>1920</v>
      </c>
      <c r="J147" s="9">
        <v>15360</v>
      </c>
      <c r="K147" s="1" t="s">
        <v>301</v>
      </c>
      <c r="L147" s="7">
        <v>46440</v>
      </c>
      <c r="M147" s="1" t="s">
        <v>302</v>
      </c>
      <c r="N147" s="1" t="s">
        <v>295</v>
      </c>
      <c r="O147" s="1" t="s">
        <v>309</v>
      </c>
      <c r="P147" s="1" t="s">
        <v>295</v>
      </c>
    </row>
    <row r="148" spans="1:16" x14ac:dyDescent="0.25">
      <c r="A148" s="1" t="s">
        <v>471</v>
      </c>
      <c r="B148" s="1" t="s">
        <v>270</v>
      </c>
      <c r="C148" s="1" t="s">
        <v>172</v>
      </c>
      <c r="D148" s="1" t="s">
        <v>213</v>
      </c>
      <c r="E148" s="1" t="s">
        <v>299</v>
      </c>
      <c r="F148" s="1" t="s">
        <v>326</v>
      </c>
      <c r="G148" s="9">
        <v>16</v>
      </c>
      <c r="H148" s="9">
        <v>75</v>
      </c>
      <c r="I148" s="9">
        <f t="shared" si="5"/>
        <v>1200</v>
      </c>
      <c r="J148" s="9">
        <v>9600</v>
      </c>
      <c r="K148" s="1" t="s">
        <v>293</v>
      </c>
      <c r="L148" s="7">
        <v>46382</v>
      </c>
      <c r="M148" s="1" t="s">
        <v>302</v>
      </c>
      <c r="N148" s="1" t="s">
        <v>295</v>
      </c>
      <c r="O148" s="1" t="s">
        <v>296</v>
      </c>
      <c r="P148" s="1" t="s">
        <v>295</v>
      </c>
    </row>
    <row r="149" spans="1:16" x14ac:dyDescent="0.25">
      <c r="A149" s="1" t="s">
        <v>472</v>
      </c>
      <c r="B149" s="1" t="s">
        <v>272</v>
      </c>
      <c r="C149" s="1" t="s">
        <v>177</v>
      </c>
      <c r="D149" s="1" t="s">
        <v>213</v>
      </c>
      <c r="E149" s="1" t="s">
        <v>299</v>
      </c>
      <c r="F149" s="1" t="s">
        <v>330</v>
      </c>
      <c r="G149" s="9">
        <v>40</v>
      </c>
      <c r="H149" s="9">
        <v>10</v>
      </c>
      <c r="I149" s="9">
        <f t="shared" si="5"/>
        <v>400</v>
      </c>
      <c r="J149" s="9">
        <v>3200</v>
      </c>
      <c r="K149" s="1" t="s">
        <v>301</v>
      </c>
      <c r="L149" s="7">
        <v>46588</v>
      </c>
      <c r="M149" s="1" t="s">
        <v>331</v>
      </c>
      <c r="N149" s="1" t="s">
        <v>297</v>
      </c>
      <c r="O149" s="1" t="s">
        <v>309</v>
      </c>
      <c r="P149" s="1" t="s">
        <v>295</v>
      </c>
    </row>
    <row r="150" spans="1:16" x14ac:dyDescent="0.25">
      <c r="A150" s="1" t="s">
        <v>473</v>
      </c>
      <c r="B150" s="1" t="s">
        <v>272</v>
      </c>
      <c r="C150" s="1" t="s">
        <v>177</v>
      </c>
      <c r="D150" s="1" t="s">
        <v>213</v>
      </c>
      <c r="E150" s="1" t="s">
        <v>291</v>
      </c>
      <c r="F150" s="1" t="s">
        <v>382</v>
      </c>
      <c r="G150" s="9">
        <v>24</v>
      </c>
      <c r="H150" s="9">
        <v>6</v>
      </c>
      <c r="I150" s="9">
        <f t="shared" si="5"/>
        <v>144</v>
      </c>
      <c r="J150" s="9">
        <v>1320</v>
      </c>
      <c r="K150" s="1" t="s">
        <v>311</v>
      </c>
      <c r="L150" s="7">
        <v>46674</v>
      </c>
      <c r="M150" s="1" t="s">
        <v>331</v>
      </c>
      <c r="N150" s="1" t="s">
        <v>295</v>
      </c>
      <c r="O150" s="1" t="s">
        <v>309</v>
      </c>
      <c r="P150" s="1" t="s">
        <v>297</v>
      </c>
    </row>
    <row r="151" spans="1:16" x14ac:dyDescent="0.25">
      <c r="A151" s="1" t="s">
        <v>474</v>
      </c>
      <c r="B151" s="1" t="s">
        <v>272</v>
      </c>
      <c r="C151" s="1" t="s">
        <v>177</v>
      </c>
      <c r="D151" s="1" t="s">
        <v>213</v>
      </c>
      <c r="E151" s="1" t="s">
        <v>299</v>
      </c>
      <c r="F151" s="1" t="s">
        <v>321</v>
      </c>
      <c r="G151" s="9">
        <v>128</v>
      </c>
      <c r="H151" s="9">
        <v>6</v>
      </c>
      <c r="I151" s="9">
        <f t="shared" si="5"/>
        <v>768</v>
      </c>
      <c r="J151" s="9">
        <v>23352</v>
      </c>
      <c r="K151" s="1" t="s">
        <v>301</v>
      </c>
      <c r="L151" s="7">
        <v>46589</v>
      </c>
      <c r="M151" s="1" t="s">
        <v>322</v>
      </c>
      <c r="N151" s="1" t="s">
        <v>295</v>
      </c>
      <c r="O151" s="1" t="s">
        <v>309</v>
      </c>
      <c r="P151" s="1" t="s">
        <v>295</v>
      </c>
    </row>
    <row r="152" spans="1:16" x14ac:dyDescent="0.25">
      <c r="A152" s="1" t="s">
        <v>475</v>
      </c>
      <c r="B152" s="1" t="s">
        <v>272</v>
      </c>
      <c r="C152" s="1" t="s">
        <v>177</v>
      </c>
      <c r="D152" s="1" t="s">
        <v>213</v>
      </c>
      <c r="E152" s="1" t="s">
        <v>307</v>
      </c>
      <c r="F152" s="1" t="s">
        <v>337</v>
      </c>
      <c r="G152" s="9">
        <v>32</v>
      </c>
      <c r="H152" s="9">
        <v>75</v>
      </c>
      <c r="I152" s="9">
        <f t="shared" si="5"/>
        <v>2400</v>
      </c>
      <c r="J152" s="9">
        <v>19200</v>
      </c>
      <c r="K152" s="1" t="s">
        <v>293</v>
      </c>
      <c r="L152" s="7">
        <v>46530</v>
      </c>
      <c r="M152" s="1" t="s">
        <v>302</v>
      </c>
      <c r="N152" s="1" t="s">
        <v>297</v>
      </c>
      <c r="O152" s="1" t="s">
        <v>303</v>
      </c>
      <c r="P152" s="1" t="s">
        <v>295</v>
      </c>
    </row>
    <row r="153" spans="1:16" x14ac:dyDescent="0.25">
      <c r="A153" s="1" t="s">
        <v>476</v>
      </c>
      <c r="B153" s="1" t="s">
        <v>272</v>
      </c>
      <c r="C153" s="1" t="s">
        <v>177</v>
      </c>
      <c r="D153" s="1" t="s">
        <v>213</v>
      </c>
      <c r="E153" s="1" t="s">
        <v>299</v>
      </c>
      <c r="F153" s="1" t="s">
        <v>300</v>
      </c>
      <c r="G153" s="9">
        <v>64</v>
      </c>
      <c r="H153" s="9">
        <v>16</v>
      </c>
      <c r="I153" s="9">
        <f t="shared" si="5"/>
        <v>1024</v>
      </c>
      <c r="J153" s="9">
        <v>8192</v>
      </c>
      <c r="K153" s="1" t="s">
        <v>301</v>
      </c>
      <c r="L153" s="7">
        <v>46576</v>
      </c>
      <c r="M153" s="1" t="s">
        <v>302</v>
      </c>
      <c r="N153" s="1" t="s">
        <v>295</v>
      </c>
      <c r="O153" s="1" t="s">
        <v>309</v>
      </c>
      <c r="P153" s="1" t="s">
        <v>295</v>
      </c>
    </row>
    <row r="154" spans="1:16" x14ac:dyDescent="0.25">
      <c r="A154" s="1" t="s">
        <v>477</v>
      </c>
      <c r="B154" s="1" t="s">
        <v>272</v>
      </c>
      <c r="C154" s="1" t="s">
        <v>177</v>
      </c>
      <c r="D154" s="1" t="s">
        <v>224</v>
      </c>
      <c r="E154" s="1" t="s">
        <v>291</v>
      </c>
      <c r="F154" s="1" t="s">
        <v>300</v>
      </c>
      <c r="G154" s="9">
        <v>64</v>
      </c>
      <c r="H154" s="9">
        <v>75</v>
      </c>
      <c r="I154" s="9">
        <f t="shared" si="5"/>
        <v>4800</v>
      </c>
      <c r="J154" s="9">
        <v>38400</v>
      </c>
      <c r="K154" s="1" t="s">
        <v>301</v>
      </c>
      <c r="L154" s="7">
        <v>46582</v>
      </c>
      <c r="M154" s="1" t="s">
        <v>302</v>
      </c>
      <c r="N154" s="1" t="s">
        <v>297</v>
      </c>
      <c r="O154" s="1" t="s">
        <v>296</v>
      </c>
      <c r="P154" s="1" t="s">
        <v>295</v>
      </c>
    </row>
    <row r="155" spans="1:16" x14ac:dyDescent="0.25">
      <c r="A155" s="1" t="s">
        <v>478</v>
      </c>
      <c r="B155" s="1" t="s">
        <v>274</v>
      </c>
      <c r="C155" s="1" t="s">
        <v>177</v>
      </c>
      <c r="D155" s="1" t="s">
        <v>198</v>
      </c>
      <c r="E155" s="1" t="s">
        <v>291</v>
      </c>
      <c r="F155" s="1" t="s">
        <v>330</v>
      </c>
      <c r="G155" s="9">
        <v>40</v>
      </c>
      <c r="H155" s="9">
        <v>12</v>
      </c>
      <c r="I155" s="9">
        <f t="shared" si="5"/>
        <v>480</v>
      </c>
      <c r="J155" s="9">
        <v>3840</v>
      </c>
      <c r="K155" s="1" t="s">
        <v>311</v>
      </c>
      <c r="L155" s="7">
        <v>46552</v>
      </c>
      <c r="M155" s="1" t="s">
        <v>331</v>
      </c>
      <c r="N155" s="1" t="s">
        <v>297</v>
      </c>
      <c r="O155" s="1" t="s">
        <v>309</v>
      </c>
      <c r="P155" s="1" t="s">
        <v>297</v>
      </c>
    </row>
    <row r="156" spans="1:16" x14ac:dyDescent="0.25">
      <c r="A156" s="1" t="s">
        <v>479</v>
      </c>
      <c r="B156" s="1" t="s">
        <v>274</v>
      </c>
      <c r="C156" s="1" t="s">
        <v>177</v>
      </c>
      <c r="D156" s="1" t="s">
        <v>198</v>
      </c>
      <c r="E156" s="1" t="s">
        <v>291</v>
      </c>
      <c r="F156" s="1" t="s">
        <v>313</v>
      </c>
      <c r="G156" s="9">
        <v>96</v>
      </c>
      <c r="H156" s="9">
        <v>12</v>
      </c>
      <c r="I156" s="9">
        <f t="shared" si="5"/>
        <v>1152</v>
      </c>
      <c r="J156" s="9">
        <v>22800</v>
      </c>
      <c r="K156" s="1" t="s">
        <v>293</v>
      </c>
      <c r="L156" s="7">
        <v>46404</v>
      </c>
      <c r="M156" s="1" t="s">
        <v>314</v>
      </c>
      <c r="N156" s="1" t="s">
        <v>297</v>
      </c>
      <c r="O156" s="1" t="s">
        <v>309</v>
      </c>
      <c r="P156" s="1" t="s">
        <v>295</v>
      </c>
    </row>
    <row r="157" spans="1:16" x14ac:dyDescent="0.25">
      <c r="A157" s="1" t="s">
        <v>480</v>
      </c>
      <c r="B157" s="1" t="s">
        <v>274</v>
      </c>
      <c r="C157" s="1" t="s">
        <v>177</v>
      </c>
      <c r="D157" s="1" t="s">
        <v>198</v>
      </c>
      <c r="E157" s="1" t="s">
        <v>291</v>
      </c>
      <c r="F157" s="1" t="s">
        <v>308</v>
      </c>
      <c r="G157" s="9">
        <v>64</v>
      </c>
      <c r="H157" s="9">
        <v>120</v>
      </c>
      <c r="I157" s="9">
        <f t="shared" si="5"/>
        <v>7680</v>
      </c>
      <c r="J157" s="9">
        <v>30720</v>
      </c>
      <c r="K157" s="1" t="s">
        <v>301</v>
      </c>
      <c r="L157" s="7">
        <v>46454</v>
      </c>
      <c r="M157" s="1" t="s">
        <v>294</v>
      </c>
      <c r="N157" s="1" t="s">
        <v>297</v>
      </c>
      <c r="O157" s="1" t="s">
        <v>296</v>
      </c>
      <c r="P157" s="1" t="s">
        <v>295</v>
      </c>
    </row>
    <row r="158" spans="1:16" x14ac:dyDescent="0.25">
      <c r="A158" s="1" t="s">
        <v>481</v>
      </c>
      <c r="B158" s="1" t="s">
        <v>274</v>
      </c>
      <c r="C158" s="1" t="s">
        <v>177</v>
      </c>
      <c r="D158" s="1" t="s">
        <v>198</v>
      </c>
      <c r="E158" s="1" t="s">
        <v>307</v>
      </c>
      <c r="F158" s="1" t="s">
        <v>305</v>
      </c>
      <c r="G158" s="9">
        <v>8</v>
      </c>
      <c r="H158" s="9">
        <v>40</v>
      </c>
      <c r="I158" s="9">
        <f t="shared" si="5"/>
        <v>320</v>
      </c>
      <c r="J158" s="9">
        <v>1280</v>
      </c>
      <c r="K158" s="1" t="s">
        <v>301</v>
      </c>
      <c r="L158" s="7">
        <v>46464</v>
      </c>
      <c r="M158" s="1" t="s">
        <v>294</v>
      </c>
      <c r="N158" s="1" t="s">
        <v>295</v>
      </c>
      <c r="O158" s="1" t="s">
        <v>303</v>
      </c>
      <c r="P158" s="1" t="s">
        <v>295</v>
      </c>
    </row>
    <row r="159" spans="1:16" x14ac:dyDescent="0.25">
      <c r="A159" s="1" t="s">
        <v>482</v>
      </c>
      <c r="B159" s="1" t="s">
        <v>274</v>
      </c>
      <c r="C159" s="1" t="s">
        <v>177</v>
      </c>
      <c r="D159" s="1" t="s">
        <v>198</v>
      </c>
      <c r="E159" s="1" t="s">
        <v>291</v>
      </c>
      <c r="F159" s="1" t="s">
        <v>292</v>
      </c>
      <c r="G159" s="9">
        <v>16</v>
      </c>
      <c r="H159" s="9">
        <v>16</v>
      </c>
      <c r="I159" s="9">
        <f t="shared" si="5"/>
        <v>256</v>
      </c>
      <c r="J159" s="9">
        <v>1024</v>
      </c>
      <c r="K159" s="1" t="s">
        <v>293</v>
      </c>
      <c r="L159" s="7">
        <v>46395</v>
      </c>
      <c r="M159" s="1" t="s">
        <v>294</v>
      </c>
      <c r="N159" s="1" t="s">
        <v>297</v>
      </c>
      <c r="O159" s="1" t="s">
        <v>296</v>
      </c>
      <c r="P159" s="1" t="s">
        <v>295</v>
      </c>
    </row>
    <row r="160" spans="1:16" x14ac:dyDescent="0.25">
      <c r="A160" s="1" t="s">
        <v>483</v>
      </c>
      <c r="B160" s="1" t="s">
        <v>274</v>
      </c>
      <c r="C160" s="1" t="s">
        <v>177</v>
      </c>
      <c r="D160" s="1" t="s">
        <v>198</v>
      </c>
      <c r="E160" s="1" t="s">
        <v>291</v>
      </c>
      <c r="F160" s="1" t="s">
        <v>333</v>
      </c>
      <c r="G160" s="9">
        <v>16</v>
      </c>
      <c r="H160" s="9">
        <v>120</v>
      </c>
      <c r="I160" s="9">
        <f t="shared" si="5"/>
        <v>1920</v>
      </c>
      <c r="J160" s="9">
        <v>15360</v>
      </c>
      <c r="K160" s="1" t="s">
        <v>301</v>
      </c>
      <c r="L160" s="7">
        <v>46462</v>
      </c>
      <c r="M160" s="1" t="s">
        <v>334</v>
      </c>
      <c r="N160" s="1" t="s">
        <v>297</v>
      </c>
      <c r="O160" s="1" t="s">
        <v>303</v>
      </c>
      <c r="P160" s="1" t="s">
        <v>295</v>
      </c>
    </row>
    <row r="161" spans="1:16" x14ac:dyDescent="0.25">
      <c r="A161" s="1" t="s">
        <v>484</v>
      </c>
      <c r="B161" s="1" t="s">
        <v>274</v>
      </c>
      <c r="C161" s="1" t="s">
        <v>177</v>
      </c>
      <c r="D161" s="1" t="s">
        <v>191</v>
      </c>
      <c r="E161" s="1" t="s">
        <v>299</v>
      </c>
      <c r="F161" s="1" t="s">
        <v>308</v>
      </c>
      <c r="G161" s="9">
        <v>64</v>
      </c>
      <c r="H161" s="9">
        <v>20</v>
      </c>
      <c r="I161" s="9">
        <f t="shared" si="5"/>
        <v>1280</v>
      </c>
      <c r="J161" s="9">
        <v>5120</v>
      </c>
      <c r="K161" s="1" t="s">
        <v>311</v>
      </c>
      <c r="L161" s="7">
        <v>46530</v>
      </c>
      <c r="M161" s="1" t="s">
        <v>294</v>
      </c>
      <c r="N161" s="1" t="s">
        <v>295</v>
      </c>
      <c r="O161" s="1" t="s">
        <v>303</v>
      </c>
      <c r="P161" s="1" t="s">
        <v>297</v>
      </c>
    </row>
    <row r="162" spans="1:16" x14ac:dyDescent="0.25">
      <c r="A162" s="1" t="s">
        <v>485</v>
      </c>
      <c r="B162" s="1" t="s">
        <v>276</v>
      </c>
      <c r="C162" s="1" t="s">
        <v>177</v>
      </c>
      <c r="D162" s="1" t="s">
        <v>210</v>
      </c>
      <c r="E162" s="1" t="s">
        <v>299</v>
      </c>
      <c r="F162" s="1" t="s">
        <v>337</v>
      </c>
      <c r="G162" s="9">
        <v>32</v>
      </c>
      <c r="H162" s="9">
        <v>10</v>
      </c>
      <c r="I162" s="9">
        <f t="shared" si="5"/>
        <v>320</v>
      </c>
      <c r="J162" s="9">
        <v>2560</v>
      </c>
      <c r="K162" s="1" t="s">
        <v>301</v>
      </c>
      <c r="L162" s="7">
        <v>46626</v>
      </c>
      <c r="M162" s="1" t="s">
        <v>302</v>
      </c>
      <c r="N162" s="1" t="s">
        <v>297</v>
      </c>
      <c r="O162" s="1" t="s">
        <v>303</v>
      </c>
      <c r="P162" s="1" t="s">
        <v>295</v>
      </c>
    </row>
    <row r="163" spans="1:16" x14ac:dyDescent="0.25">
      <c r="A163" s="1" t="s">
        <v>486</v>
      </c>
      <c r="B163" s="1" t="s">
        <v>276</v>
      </c>
      <c r="C163" s="1" t="s">
        <v>177</v>
      </c>
      <c r="D163" s="1" t="s">
        <v>210</v>
      </c>
      <c r="E163" s="1" t="s">
        <v>291</v>
      </c>
      <c r="F163" s="1" t="s">
        <v>333</v>
      </c>
      <c r="G163" s="9">
        <v>16</v>
      </c>
      <c r="H163" s="9">
        <v>75</v>
      </c>
      <c r="I163" s="9">
        <f t="shared" ref="I163:I194" si="6">G163*H163</f>
        <v>1200</v>
      </c>
      <c r="J163" s="9">
        <v>9600</v>
      </c>
      <c r="K163" s="1" t="s">
        <v>293</v>
      </c>
      <c r="L163" s="7">
        <v>46562</v>
      </c>
      <c r="M163" s="1" t="s">
        <v>334</v>
      </c>
      <c r="N163" s="1" t="s">
        <v>295</v>
      </c>
      <c r="O163" s="1" t="s">
        <v>303</v>
      </c>
      <c r="P163" s="1" t="s">
        <v>297</v>
      </c>
    </row>
    <row r="164" spans="1:16" x14ac:dyDescent="0.25">
      <c r="A164" s="1" t="s">
        <v>487</v>
      </c>
      <c r="B164" s="1" t="s">
        <v>276</v>
      </c>
      <c r="C164" s="1" t="s">
        <v>177</v>
      </c>
      <c r="D164" s="1" t="s">
        <v>210</v>
      </c>
      <c r="E164" s="1" t="s">
        <v>291</v>
      </c>
      <c r="F164" s="1" t="s">
        <v>366</v>
      </c>
      <c r="G164" s="9">
        <v>32</v>
      </c>
      <c r="H164" s="9">
        <v>48</v>
      </c>
      <c r="I164" s="9">
        <f t="shared" si="6"/>
        <v>1536</v>
      </c>
      <c r="J164" s="9">
        <v>12288</v>
      </c>
      <c r="K164" s="1" t="s">
        <v>293</v>
      </c>
      <c r="L164" s="7">
        <v>46575</v>
      </c>
      <c r="M164" s="1" t="s">
        <v>302</v>
      </c>
      <c r="N164" s="1" t="s">
        <v>297</v>
      </c>
      <c r="O164" s="1" t="s">
        <v>309</v>
      </c>
      <c r="P164" s="1" t="s">
        <v>295</v>
      </c>
    </row>
    <row r="165" spans="1:16" x14ac:dyDescent="0.25">
      <c r="A165" s="1" t="s">
        <v>488</v>
      </c>
      <c r="B165" s="1" t="s">
        <v>276</v>
      </c>
      <c r="C165" s="1" t="s">
        <v>177</v>
      </c>
      <c r="D165" s="1" t="s">
        <v>210</v>
      </c>
      <c r="E165" s="1" t="s">
        <v>299</v>
      </c>
      <c r="F165" s="1" t="s">
        <v>317</v>
      </c>
      <c r="G165" s="9">
        <v>32</v>
      </c>
      <c r="H165" s="9">
        <v>48</v>
      </c>
      <c r="I165" s="9">
        <f t="shared" si="6"/>
        <v>1536</v>
      </c>
      <c r="J165" s="9">
        <v>6144</v>
      </c>
      <c r="K165" s="1" t="s">
        <v>293</v>
      </c>
      <c r="L165" s="7">
        <v>46572</v>
      </c>
      <c r="M165" s="1" t="s">
        <v>294</v>
      </c>
      <c r="N165" s="1" t="s">
        <v>295</v>
      </c>
      <c r="O165" s="1" t="s">
        <v>309</v>
      </c>
      <c r="P165" s="1" t="s">
        <v>295</v>
      </c>
    </row>
    <row r="166" spans="1:16" x14ac:dyDescent="0.25">
      <c r="A166" s="1" t="s">
        <v>489</v>
      </c>
      <c r="B166" s="1" t="s">
        <v>276</v>
      </c>
      <c r="C166" s="1" t="s">
        <v>177</v>
      </c>
      <c r="D166" s="1" t="s">
        <v>191</v>
      </c>
      <c r="E166" s="1" t="s">
        <v>291</v>
      </c>
      <c r="F166" s="1" t="s">
        <v>337</v>
      </c>
      <c r="G166" s="9">
        <v>32</v>
      </c>
      <c r="H166" s="9">
        <v>40</v>
      </c>
      <c r="I166" s="9">
        <f t="shared" si="6"/>
        <v>1280</v>
      </c>
      <c r="J166" s="9">
        <v>10240</v>
      </c>
      <c r="K166" s="1" t="s">
        <v>293</v>
      </c>
      <c r="L166" s="7">
        <v>46559</v>
      </c>
      <c r="M166" s="1" t="s">
        <v>302</v>
      </c>
      <c r="N166" s="1" t="s">
        <v>297</v>
      </c>
      <c r="O166" s="1" t="s">
        <v>303</v>
      </c>
      <c r="P166" s="1" t="s">
        <v>295</v>
      </c>
    </row>
    <row r="167" spans="1:16" x14ac:dyDescent="0.25">
      <c r="A167" s="1" t="s">
        <v>490</v>
      </c>
      <c r="B167" s="1" t="s">
        <v>276</v>
      </c>
      <c r="C167" s="1" t="s">
        <v>177</v>
      </c>
      <c r="D167" s="1" t="s">
        <v>191</v>
      </c>
      <c r="E167" s="1" t="s">
        <v>307</v>
      </c>
      <c r="F167" s="1" t="s">
        <v>402</v>
      </c>
      <c r="G167" s="9">
        <v>16</v>
      </c>
      <c r="H167" s="9">
        <v>40</v>
      </c>
      <c r="I167" s="9">
        <f t="shared" si="6"/>
        <v>640</v>
      </c>
      <c r="J167" s="9">
        <v>2560</v>
      </c>
      <c r="K167" s="1" t="s">
        <v>311</v>
      </c>
      <c r="L167" s="7">
        <v>46717</v>
      </c>
      <c r="M167" s="1" t="s">
        <v>294</v>
      </c>
      <c r="N167" s="1" t="s">
        <v>295</v>
      </c>
      <c r="O167" s="1" t="s">
        <v>309</v>
      </c>
      <c r="P167" s="1" t="s">
        <v>295</v>
      </c>
    </row>
    <row r="168" spans="1:16" x14ac:dyDescent="0.25">
      <c r="A168" s="1" t="s">
        <v>491</v>
      </c>
      <c r="B168" s="1" t="s">
        <v>278</v>
      </c>
      <c r="C168" s="1" t="s">
        <v>177</v>
      </c>
      <c r="D168" s="1" t="s">
        <v>210</v>
      </c>
      <c r="E168" s="1" t="s">
        <v>299</v>
      </c>
      <c r="F168" s="1" t="s">
        <v>321</v>
      </c>
      <c r="G168" s="9">
        <v>128</v>
      </c>
      <c r="H168" s="9">
        <v>6</v>
      </c>
      <c r="I168" s="9">
        <f t="shared" si="6"/>
        <v>768</v>
      </c>
      <c r="J168" s="9">
        <v>23352</v>
      </c>
      <c r="K168" s="1" t="s">
        <v>293</v>
      </c>
      <c r="L168" s="7">
        <v>46334</v>
      </c>
      <c r="M168" s="1" t="s">
        <v>322</v>
      </c>
      <c r="N168" s="1" t="s">
        <v>295</v>
      </c>
      <c r="O168" s="1" t="s">
        <v>303</v>
      </c>
      <c r="P168" s="1" t="s">
        <v>297</v>
      </c>
    </row>
    <row r="169" spans="1:16" x14ac:dyDescent="0.25">
      <c r="A169" s="1" t="s">
        <v>492</v>
      </c>
      <c r="B169" s="1" t="s">
        <v>278</v>
      </c>
      <c r="C169" s="1" t="s">
        <v>177</v>
      </c>
      <c r="D169" s="1" t="s">
        <v>235</v>
      </c>
      <c r="E169" s="1" t="s">
        <v>299</v>
      </c>
      <c r="F169" s="1" t="s">
        <v>340</v>
      </c>
      <c r="G169" s="9">
        <v>32</v>
      </c>
      <c r="H169" s="9">
        <v>30</v>
      </c>
      <c r="I169" s="9">
        <f t="shared" si="6"/>
        <v>960</v>
      </c>
      <c r="J169" s="9">
        <v>1920</v>
      </c>
      <c r="K169" s="1" t="s">
        <v>301</v>
      </c>
      <c r="L169" s="7">
        <v>46372</v>
      </c>
      <c r="M169" s="1" t="s">
        <v>341</v>
      </c>
      <c r="N169" s="1" t="s">
        <v>295</v>
      </c>
      <c r="O169" s="1" t="s">
        <v>309</v>
      </c>
      <c r="P169" s="1" t="s">
        <v>297</v>
      </c>
    </row>
    <row r="170" spans="1:16" x14ac:dyDescent="0.25">
      <c r="A170" s="1" t="s">
        <v>493</v>
      </c>
      <c r="B170" s="1" t="s">
        <v>278</v>
      </c>
      <c r="C170" s="1" t="s">
        <v>177</v>
      </c>
      <c r="D170" s="1" t="s">
        <v>210</v>
      </c>
      <c r="E170" s="1" t="s">
        <v>307</v>
      </c>
      <c r="F170" s="1" t="s">
        <v>402</v>
      </c>
      <c r="G170" s="9">
        <v>16</v>
      </c>
      <c r="H170" s="9">
        <v>120</v>
      </c>
      <c r="I170" s="9">
        <f t="shared" si="6"/>
        <v>1920</v>
      </c>
      <c r="J170" s="9">
        <v>7680</v>
      </c>
      <c r="K170" s="1" t="s">
        <v>301</v>
      </c>
      <c r="L170" s="7">
        <v>46387</v>
      </c>
      <c r="M170" s="1" t="s">
        <v>294</v>
      </c>
      <c r="N170" s="1" t="s">
        <v>297</v>
      </c>
      <c r="O170" s="1" t="s">
        <v>303</v>
      </c>
      <c r="P170" s="1" t="s">
        <v>297</v>
      </c>
    </row>
    <row r="171" spans="1:16" x14ac:dyDescent="0.25">
      <c r="A171" s="1" t="s">
        <v>494</v>
      </c>
      <c r="B171" s="1" t="s">
        <v>278</v>
      </c>
      <c r="C171" s="1" t="s">
        <v>177</v>
      </c>
      <c r="D171" s="1" t="s">
        <v>210</v>
      </c>
      <c r="E171" s="1" t="s">
        <v>299</v>
      </c>
      <c r="F171" s="1" t="s">
        <v>292</v>
      </c>
      <c r="G171" s="9">
        <v>16</v>
      </c>
      <c r="H171" s="9">
        <v>60</v>
      </c>
      <c r="I171" s="9">
        <f t="shared" si="6"/>
        <v>960</v>
      </c>
      <c r="J171" s="9">
        <v>3840</v>
      </c>
      <c r="K171" s="1" t="s">
        <v>311</v>
      </c>
      <c r="L171" s="7">
        <v>46455</v>
      </c>
      <c r="M171" s="1" t="s">
        <v>294</v>
      </c>
      <c r="N171" s="1" t="s">
        <v>295</v>
      </c>
      <c r="O171" s="1" t="s">
        <v>303</v>
      </c>
      <c r="P171" s="1" t="s">
        <v>295</v>
      </c>
    </row>
    <row r="172" spans="1:16" x14ac:dyDescent="0.25">
      <c r="A172" s="1" t="s">
        <v>495</v>
      </c>
      <c r="B172" s="1" t="s">
        <v>278</v>
      </c>
      <c r="C172" s="1" t="s">
        <v>177</v>
      </c>
      <c r="D172" s="1" t="s">
        <v>235</v>
      </c>
      <c r="E172" s="1" t="s">
        <v>299</v>
      </c>
      <c r="F172" s="1" t="s">
        <v>317</v>
      </c>
      <c r="G172" s="9">
        <v>32</v>
      </c>
      <c r="H172" s="9">
        <v>90</v>
      </c>
      <c r="I172" s="9">
        <f t="shared" si="6"/>
        <v>2880</v>
      </c>
      <c r="J172" s="9">
        <v>11520</v>
      </c>
      <c r="K172" s="1" t="s">
        <v>301</v>
      </c>
      <c r="L172" s="7">
        <v>46388</v>
      </c>
      <c r="M172" s="1" t="s">
        <v>294</v>
      </c>
      <c r="N172" s="1" t="s">
        <v>297</v>
      </c>
      <c r="O172" s="1" t="s">
        <v>309</v>
      </c>
      <c r="P172" s="1" t="s">
        <v>295</v>
      </c>
    </row>
    <row r="173" spans="1:16" x14ac:dyDescent="0.25">
      <c r="A173" s="1" t="s">
        <v>496</v>
      </c>
      <c r="B173" s="1" t="s">
        <v>280</v>
      </c>
      <c r="C173" s="1" t="s">
        <v>182</v>
      </c>
      <c r="D173" s="1" t="s">
        <v>198</v>
      </c>
      <c r="E173" s="1" t="s">
        <v>299</v>
      </c>
      <c r="F173" s="1" t="s">
        <v>308</v>
      </c>
      <c r="G173" s="9">
        <v>64</v>
      </c>
      <c r="H173" s="9">
        <v>75</v>
      </c>
      <c r="I173" s="9">
        <f t="shared" si="6"/>
        <v>4800</v>
      </c>
      <c r="J173" s="9">
        <v>19200</v>
      </c>
      <c r="K173" s="1" t="s">
        <v>311</v>
      </c>
      <c r="L173" s="7">
        <v>46705</v>
      </c>
      <c r="M173" s="1" t="s">
        <v>294</v>
      </c>
      <c r="N173" s="1" t="s">
        <v>297</v>
      </c>
      <c r="O173" s="1" t="s">
        <v>296</v>
      </c>
      <c r="P173" s="1" t="s">
        <v>295</v>
      </c>
    </row>
    <row r="174" spans="1:16" x14ac:dyDescent="0.25">
      <c r="A174" s="1" t="s">
        <v>497</v>
      </c>
      <c r="B174" s="1" t="s">
        <v>280</v>
      </c>
      <c r="C174" s="1" t="s">
        <v>182</v>
      </c>
      <c r="D174" s="1" t="s">
        <v>224</v>
      </c>
      <c r="E174" s="1" t="s">
        <v>291</v>
      </c>
      <c r="F174" s="1" t="s">
        <v>326</v>
      </c>
      <c r="G174" s="9">
        <v>16</v>
      </c>
      <c r="H174" s="9">
        <v>60</v>
      </c>
      <c r="I174" s="9">
        <f t="shared" si="6"/>
        <v>960</v>
      </c>
      <c r="J174" s="9">
        <v>7680</v>
      </c>
      <c r="K174" s="1" t="s">
        <v>293</v>
      </c>
      <c r="L174" s="7">
        <v>46557</v>
      </c>
      <c r="M174" s="1" t="s">
        <v>302</v>
      </c>
      <c r="N174" s="1" t="s">
        <v>297</v>
      </c>
      <c r="O174" s="1" t="s">
        <v>303</v>
      </c>
      <c r="P174" s="1" t="s">
        <v>295</v>
      </c>
    </row>
    <row r="175" spans="1:16" x14ac:dyDescent="0.25">
      <c r="A175" s="1" t="s">
        <v>498</v>
      </c>
      <c r="B175" s="1" t="s">
        <v>280</v>
      </c>
      <c r="C175" s="1" t="s">
        <v>182</v>
      </c>
      <c r="D175" s="1" t="s">
        <v>224</v>
      </c>
      <c r="E175" s="1" t="s">
        <v>299</v>
      </c>
      <c r="F175" s="1" t="s">
        <v>305</v>
      </c>
      <c r="G175" s="9">
        <v>8</v>
      </c>
      <c r="H175" s="9">
        <v>30</v>
      </c>
      <c r="I175" s="9">
        <f t="shared" si="6"/>
        <v>240</v>
      </c>
      <c r="J175" s="9">
        <v>960</v>
      </c>
      <c r="K175" s="1" t="s">
        <v>293</v>
      </c>
      <c r="L175" s="7">
        <v>46564</v>
      </c>
      <c r="M175" s="1" t="s">
        <v>294</v>
      </c>
      <c r="N175" s="1" t="s">
        <v>297</v>
      </c>
      <c r="O175" s="1" t="s">
        <v>309</v>
      </c>
      <c r="P175" s="1" t="s">
        <v>295</v>
      </c>
    </row>
    <row r="176" spans="1:16" x14ac:dyDescent="0.25">
      <c r="A176" s="1" t="s">
        <v>499</v>
      </c>
      <c r="B176" s="1" t="s">
        <v>280</v>
      </c>
      <c r="C176" s="1" t="s">
        <v>182</v>
      </c>
      <c r="D176" s="1" t="s">
        <v>198</v>
      </c>
      <c r="E176" s="1" t="s">
        <v>307</v>
      </c>
      <c r="F176" s="1" t="s">
        <v>317</v>
      </c>
      <c r="G176" s="9">
        <v>32</v>
      </c>
      <c r="H176" s="9">
        <v>20</v>
      </c>
      <c r="I176" s="9">
        <f t="shared" si="6"/>
        <v>640</v>
      </c>
      <c r="J176" s="9">
        <v>2560</v>
      </c>
      <c r="K176" s="1" t="s">
        <v>311</v>
      </c>
      <c r="L176" s="7">
        <v>46683</v>
      </c>
      <c r="M176" s="1" t="s">
        <v>294</v>
      </c>
      <c r="N176" s="1" t="s">
        <v>297</v>
      </c>
      <c r="O176" s="1" t="s">
        <v>309</v>
      </c>
      <c r="P176" s="1" t="s">
        <v>297</v>
      </c>
    </row>
    <row r="177" spans="1:16" x14ac:dyDescent="0.25">
      <c r="A177" s="1" t="s">
        <v>500</v>
      </c>
      <c r="B177" s="1" t="s">
        <v>282</v>
      </c>
      <c r="C177" s="1" t="s">
        <v>182</v>
      </c>
      <c r="D177" s="1" t="s">
        <v>198</v>
      </c>
      <c r="E177" s="1" t="s">
        <v>307</v>
      </c>
      <c r="F177" s="1" t="s">
        <v>330</v>
      </c>
      <c r="G177" s="9">
        <v>40</v>
      </c>
      <c r="H177" s="9">
        <v>20</v>
      </c>
      <c r="I177" s="9">
        <f t="shared" si="6"/>
        <v>800</v>
      </c>
      <c r="J177" s="9">
        <v>6400</v>
      </c>
      <c r="K177" s="1" t="s">
        <v>301</v>
      </c>
      <c r="L177" s="7">
        <v>46715</v>
      </c>
      <c r="M177" s="1" t="s">
        <v>331</v>
      </c>
      <c r="N177" s="1" t="s">
        <v>297</v>
      </c>
      <c r="O177" s="1" t="s">
        <v>309</v>
      </c>
      <c r="P177" s="1" t="s">
        <v>295</v>
      </c>
    </row>
    <row r="178" spans="1:16" x14ac:dyDescent="0.25">
      <c r="A178" s="1" t="s">
        <v>501</v>
      </c>
      <c r="B178" s="1" t="s">
        <v>282</v>
      </c>
      <c r="C178" s="1" t="s">
        <v>182</v>
      </c>
      <c r="D178" s="1" t="s">
        <v>198</v>
      </c>
      <c r="E178" s="1" t="s">
        <v>299</v>
      </c>
      <c r="F178" s="1" t="s">
        <v>313</v>
      </c>
      <c r="G178" s="9">
        <v>96</v>
      </c>
      <c r="H178" s="9">
        <v>24</v>
      </c>
      <c r="I178" s="9">
        <f t="shared" si="6"/>
        <v>2304</v>
      </c>
      <c r="J178" s="9">
        <v>45600</v>
      </c>
      <c r="K178" s="1" t="s">
        <v>301</v>
      </c>
      <c r="L178" s="7">
        <v>46734</v>
      </c>
      <c r="M178" s="1" t="s">
        <v>314</v>
      </c>
      <c r="N178" s="1" t="s">
        <v>295</v>
      </c>
      <c r="O178" s="1" t="s">
        <v>309</v>
      </c>
      <c r="P178" s="1" t="s">
        <v>297</v>
      </c>
    </row>
    <row r="179" spans="1:16" x14ac:dyDescent="0.25">
      <c r="A179" s="1" t="s">
        <v>502</v>
      </c>
      <c r="B179" s="1" t="s">
        <v>282</v>
      </c>
      <c r="C179" s="1" t="s">
        <v>182</v>
      </c>
      <c r="D179" s="1" t="s">
        <v>213</v>
      </c>
      <c r="E179" s="1" t="s">
        <v>291</v>
      </c>
      <c r="F179" s="1" t="s">
        <v>351</v>
      </c>
      <c r="G179" s="9">
        <v>176</v>
      </c>
      <c r="H179" s="9">
        <v>16</v>
      </c>
      <c r="I179" s="9">
        <f t="shared" si="6"/>
        <v>2816</v>
      </c>
      <c r="J179" s="9">
        <v>12288</v>
      </c>
      <c r="K179" s="1" t="s">
        <v>301</v>
      </c>
      <c r="L179" s="7">
        <v>46729</v>
      </c>
      <c r="M179" s="1" t="s">
        <v>352</v>
      </c>
      <c r="N179" s="1" t="s">
        <v>295</v>
      </c>
      <c r="O179" s="1" t="s">
        <v>296</v>
      </c>
      <c r="P179" s="1" t="s">
        <v>295</v>
      </c>
    </row>
    <row r="180" spans="1:16" x14ac:dyDescent="0.25">
      <c r="A180" s="1" t="s">
        <v>503</v>
      </c>
      <c r="B180" s="1" t="s">
        <v>282</v>
      </c>
      <c r="C180" s="1" t="s">
        <v>182</v>
      </c>
      <c r="D180" s="1" t="s">
        <v>198</v>
      </c>
      <c r="E180" s="1" t="s">
        <v>307</v>
      </c>
      <c r="F180" s="1" t="s">
        <v>402</v>
      </c>
      <c r="G180" s="9">
        <v>16</v>
      </c>
      <c r="H180" s="9">
        <v>48</v>
      </c>
      <c r="I180" s="9">
        <f t="shared" si="6"/>
        <v>768</v>
      </c>
      <c r="J180" s="9">
        <v>3072</v>
      </c>
      <c r="K180" s="1" t="s">
        <v>311</v>
      </c>
      <c r="L180" s="7">
        <v>46812</v>
      </c>
      <c r="M180" s="1" t="s">
        <v>294</v>
      </c>
      <c r="N180" s="1" t="s">
        <v>297</v>
      </c>
      <c r="O180" s="1" t="s">
        <v>296</v>
      </c>
      <c r="P180" s="1" t="s">
        <v>295</v>
      </c>
    </row>
    <row r="181" spans="1:16" x14ac:dyDescent="0.25">
      <c r="A181" s="1" t="s">
        <v>504</v>
      </c>
      <c r="B181" s="1" t="s">
        <v>282</v>
      </c>
      <c r="C181" s="1" t="s">
        <v>182</v>
      </c>
      <c r="D181" s="1" t="s">
        <v>213</v>
      </c>
      <c r="E181" s="1" t="s">
        <v>299</v>
      </c>
      <c r="F181" s="1" t="s">
        <v>402</v>
      </c>
      <c r="G181" s="9">
        <v>16</v>
      </c>
      <c r="H181" s="9">
        <v>30</v>
      </c>
      <c r="I181" s="9">
        <f t="shared" si="6"/>
        <v>480</v>
      </c>
      <c r="J181" s="9">
        <v>1920</v>
      </c>
      <c r="K181" s="1" t="s">
        <v>301</v>
      </c>
      <c r="L181" s="7">
        <v>46726</v>
      </c>
      <c r="M181" s="1" t="s">
        <v>294</v>
      </c>
      <c r="N181" s="1" t="s">
        <v>295</v>
      </c>
      <c r="O181" s="1" t="s">
        <v>296</v>
      </c>
      <c r="P181" s="1" t="s">
        <v>297</v>
      </c>
    </row>
    <row r="182" spans="1:16" x14ac:dyDescent="0.25">
      <c r="A182" s="1" t="s">
        <v>505</v>
      </c>
      <c r="B182" s="1" t="s">
        <v>284</v>
      </c>
      <c r="C182" s="1" t="s">
        <v>182</v>
      </c>
      <c r="D182" s="1" t="s">
        <v>192</v>
      </c>
      <c r="E182" s="1" t="s">
        <v>291</v>
      </c>
      <c r="F182" s="1" t="s">
        <v>333</v>
      </c>
      <c r="G182" s="9">
        <v>16</v>
      </c>
      <c r="H182" s="9">
        <v>10</v>
      </c>
      <c r="I182" s="9">
        <f t="shared" si="6"/>
        <v>160</v>
      </c>
      <c r="J182" s="9">
        <v>1280</v>
      </c>
      <c r="K182" s="1" t="s">
        <v>301</v>
      </c>
      <c r="L182" s="7">
        <v>46677</v>
      </c>
      <c r="M182" s="1" t="s">
        <v>334</v>
      </c>
      <c r="N182" s="1" t="s">
        <v>297</v>
      </c>
      <c r="O182" s="1" t="s">
        <v>309</v>
      </c>
      <c r="P182" s="1" t="s">
        <v>295</v>
      </c>
    </row>
    <row r="183" spans="1:16" x14ac:dyDescent="0.25">
      <c r="A183" s="1" t="s">
        <v>506</v>
      </c>
      <c r="B183" s="1" t="s">
        <v>284</v>
      </c>
      <c r="C183" s="1" t="s">
        <v>182</v>
      </c>
      <c r="D183" s="1" t="s">
        <v>192</v>
      </c>
      <c r="E183" s="1" t="s">
        <v>291</v>
      </c>
      <c r="F183" s="1" t="s">
        <v>351</v>
      </c>
      <c r="G183" s="9">
        <v>176</v>
      </c>
      <c r="H183" s="9">
        <v>8</v>
      </c>
      <c r="I183" s="9">
        <f t="shared" si="6"/>
        <v>1408</v>
      </c>
      <c r="J183" s="9">
        <v>6144</v>
      </c>
      <c r="K183" s="1" t="s">
        <v>293</v>
      </c>
      <c r="L183" s="7">
        <v>46631</v>
      </c>
      <c r="M183" s="1" t="s">
        <v>352</v>
      </c>
      <c r="N183" s="1" t="s">
        <v>297</v>
      </c>
      <c r="O183" s="1" t="s">
        <v>296</v>
      </c>
      <c r="P183" s="1" t="s">
        <v>295</v>
      </c>
    </row>
    <row r="184" spans="1:16" x14ac:dyDescent="0.25">
      <c r="A184" s="1" t="s">
        <v>507</v>
      </c>
      <c r="B184" s="1" t="s">
        <v>284</v>
      </c>
      <c r="C184" s="1" t="s">
        <v>182</v>
      </c>
      <c r="D184" s="1" t="s">
        <v>191</v>
      </c>
      <c r="E184" s="1" t="s">
        <v>299</v>
      </c>
      <c r="F184" s="1" t="s">
        <v>337</v>
      </c>
      <c r="G184" s="9">
        <v>32</v>
      </c>
      <c r="H184" s="9">
        <v>40</v>
      </c>
      <c r="I184" s="9">
        <f t="shared" si="6"/>
        <v>1280</v>
      </c>
      <c r="J184" s="9">
        <v>10240</v>
      </c>
      <c r="K184" s="1" t="s">
        <v>301</v>
      </c>
      <c r="L184" s="7">
        <v>46684</v>
      </c>
      <c r="M184" s="1" t="s">
        <v>302</v>
      </c>
      <c r="N184" s="1" t="s">
        <v>297</v>
      </c>
      <c r="O184" s="1" t="s">
        <v>303</v>
      </c>
      <c r="P184" s="1" t="s">
        <v>295</v>
      </c>
    </row>
    <row r="185" spans="1:16" x14ac:dyDescent="0.25">
      <c r="A185" s="1" t="s">
        <v>508</v>
      </c>
      <c r="B185" s="1" t="s">
        <v>286</v>
      </c>
      <c r="C185" s="1" t="s">
        <v>182</v>
      </c>
      <c r="D185" s="1" t="s">
        <v>214</v>
      </c>
      <c r="E185" s="1" t="s">
        <v>299</v>
      </c>
      <c r="F185" s="1" t="s">
        <v>340</v>
      </c>
      <c r="G185" s="9">
        <v>32</v>
      </c>
      <c r="H185" s="9">
        <v>120</v>
      </c>
      <c r="I185" s="9">
        <f t="shared" si="6"/>
        <v>3840</v>
      </c>
      <c r="J185" s="9">
        <v>7680</v>
      </c>
      <c r="K185" s="1" t="s">
        <v>293</v>
      </c>
      <c r="L185" s="7">
        <v>46308</v>
      </c>
      <c r="M185" s="1" t="s">
        <v>341</v>
      </c>
      <c r="N185" s="1" t="s">
        <v>297</v>
      </c>
      <c r="O185" s="1" t="s">
        <v>296</v>
      </c>
      <c r="P185" s="1" t="s">
        <v>295</v>
      </c>
    </row>
    <row r="186" spans="1:16" x14ac:dyDescent="0.25">
      <c r="A186" s="1" t="s">
        <v>509</v>
      </c>
      <c r="B186" s="1" t="s">
        <v>286</v>
      </c>
      <c r="C186" s="1" t="s">
        <v>182</v>
      </c>
      <c r="D186" s="1" t="s">
        <v>191</v>
      </c>
      <c r="E186" s="1" t="s">
        <v>307</v>
      </c>
      <c r="F186" s="1" t="s">
        <v>351</v>
      </c>
      <c r="G186" s="9">
        <v>176</v>
      </c>
      <c r="H186" s="9">
        <v>32</v>
      </c>
      <c r="I186" s="9">
        <f t="shared" si="6"/>
        <v>5632</v>
      </c>
      <c r="J186" s="9">
        <v>24576</v>
      </c>
      <c r="K186" s="1" t="s">
        <v>293</v>
      </c>
      <c r="L186" s="7">
        <v>46313</v>
      </c>
      <c r="M186" s="1" t="s">
        <v>352</v>
      </c>
      <c r="N186" s="1" t="s">
        <v>297</v>
      </c>
      <c r="O186" s="1" t="s">
        <v>303</v>
      </c>
      <c r="P186" s="1" t="s">
        <v>297</v>
      </c>
    </row>
    <row r="187" spans="1:16" x14ac:dyDescent="0.25">
      <c r="A187" s="1" t="s">
        <v>510</v>
      </c>
      <c r="B187" s="1" t="s">
        <v>286</v>
      </c>
      <c r="C187" s="1" t="s">
        <v>182</v>
      </c>
      <c r="D187" s="1" t="s">
        <v>214</v>
      </c>
      <c r="E187" s="1" t="s">
        <v>291</v>
      </c>
      <c r="F187" s="1" t="s">
        <v>300</v>
      </c>
      <c r="G187" s="9">
        <v>64</v>
      </c>
      <c r="H187" s="9">
        <v>20</v>
      </c>
      <c r="I187" s="9">
        <f t="shared" si="6"/>
        <v>1280</v>
      </c>
      <c r="J187" s="9">
        <v>10240</v>
      </c>
      <c r="K187" s="1" t="s">
        <v>301</v>
      </c>
      <c r="L187" s="7">
        <v>46374</v>
      </c>
      <c r="M187" s="1" t="s">
        <v>302</v>
      </c>
      <c r="N187" s="1" t="s">
        <v>297</v>
      </c>
      <c r="O187" s="1" t="s">
        <v>303</v>
      </c>
      <c r="P187" s="1" t="s">
        <v>297</v>
      </c>
    </row>
    <row r="188" spans="1:16" x14ac:dyDescent="0.25">
      <c r="A188" s="1" t="s">
        <v>511</v>
      </c>
      <c r="B188" s="1" t="s">
        <v>286</v>
      </c>
      <c r="C188" s="1" t="s">
        <v>182</v>
      </c>
      <c r="D188" s="1" t="s">
        <v>214</v>
      </c>
      <c r="E188" s="1" t="s">
        <v>291</v>
      </c>
      <c r="F188" s="1" t="s">
        <v>351</v>
      </c>
      <c r="G188" s="9">
        <v>176</v>
      </c>
      <c r="H188" s="9">
        <v>16</v>
      </c>
      <c r="I188" s="9">
        <f t="shared" si="6"/>
        <v>2816</v>
      </c>
      <c r="J188" s="9">
        <v>12288</v>
      </c>
      <c r="K188" s="1" t="s">
        <v>293</v>
      </c>
      <c r="L188" s="7">
        <v>46299</v>
      </c>
      <c r="M188" s="1" t="s">
        <v>352</v>
      </c>
      <c r="N188" s="1" t="s">
        <v>297</v>
      </c>
      <c r="O188" s="1" t="s">
        <v>303</v>
      </c>
      <c r="P188" s="1" t="s">
        <v>295</v>
      </c>
    </row>
    <row r="189" spans="1:16" x14ac:dyDescent="0.25">
      <c r="A189" s="1" t="s">
        <v>512</v>
      </c>
      <c r="B189" s="1" t="s">
        <v>286</v>
      </c>
      <c r="C189" s="1" t="s">
        <v>182</v>
      </c>
      <c r="D189" s="1" t="s">
        <v>214</v>
      </c>
      <c r="E189" s="1" t="s">
        <v>299</v>
      </c>
      <c r="F189" s="1" t="s">
        <v>292</v>
      </c>
      <c r="G189" s="9">
        <v>16</v>
      </c>
      <c r="H189" s="9">
        <v>48</v>
      </c>
      <c r="I189" s="9">
        <f t="shared" si="6"/>
        <v>768</v>
      </c>
      <c r="J189" s="9">
        <v>3072</v>
      </c>
      <c r="K189" s="1" t="s">
        <v>311</v>
      </c>
      <c r="L189" s="7">
        <v>46438</v>
      </c>
      <c r="M189" s="1" t="s">
        <v>294</v>
      </c>
      <c r="N189" s="1" t="s">
        <v>297</v>
      </c>
      <c r="O189" s="1" t="s">
        <v>309</v>
      </c>
      <c r="P189" s="1" t="s">
        <v>297</v>
      </c>
    </row>
    <row r="190" spans="1:16" x14ac:dyDescent="0.25">
      <c r="A190" s="1" t="s">
        <v>513</v>
      </c>
      <c r="B190" s="1" t="s">
        <v>286</v>
      </c>
      <c r="C190" s="1" t="s">
        <v>182</v>
      </c>
      <c r="D190" s="1" t="s">
        <v>191</v>
      </c>
      <c r="E190" s="1" t="s">
        <v>307</v>
      </c>
      <c r="F190" s="1" t="s">
        <v>305</v>
      </c>
      <c r="G190" s="9">
        <v>8</v>
      </c>
      <c r="H190" s="9">
        <v>20</v>
      </c>
      <c r="I190" s="9">
        <f t="shared" si="6"/>
        <v>160</v>
      </c>
      <c r="J190" s="9">
        <v>640</v>
      </c>
      <c r="K190" s="1" t="s">
        <v>301</v>
      </c>
      <c r="L190" s="7">
        <v>46378</v>
      </c>
      <c r="M190" s="1" t="s">
        <v>294</v>
      </c>
      <c r="N190" s="1" t="s">
        <v>295</v>
      </c>
      <c r="O190" s="1" t="s">
        <v>296</v>
      </c>
      <c r="P190" s="1" t="s">
        <v>297</v>
      </c>
    </row>
    <row r="191" spans="1:16" x14ac:dyDescent="0.25">
      <c r="A191" s="1" t="s">
        <v>514</v>
      </c>
      <c r="B191" s="1" t="s">
        <v>288</v>
      </c>
      <c r="C191" s="1" t="s">
        <v>182</v>
      </c>
      <c r="D191" s="1" t="s">
        <v>210</v>
      </c>
      <c r="E191" s="1" t="s">
        <v>299</v>
      </c>
      <c r="F191" s="1" t="s">
        <v>305</v>
      </c>
      <c r="G191" s="9">
        <v>8</v>
      </c>
      <c r="H191" s="9">
        <v>10</v>
      </c>
      <c r="I191" s="9">
        <f t="shared" si="6"/>
        <v>80</v>
      </c>
      <c r="J191" s="9">
        <v>320</v>
      </c>
      <c r="K191" s="1" t="s">
        <v>293</v>
      </c>
      <c r="L191" s="7">
        <v>46319</v>
      </c>
      <c r="M191" s="1" t="s">
        <v>294</v>
      </c>
      <c r="N191" s="1" t="s">
        <v>297</v>
      </c>
      <c r="O191" s="1" t="s">
        <v>296</v>
      </c>
      <c r="P191" s="1" t="s">
        <v>295</v>
      </c>
    </row>
    <row r="192" spans="1:16" x14ac:dyDescent="0.25">
      <c r="A192" s="1" t="s">
        <v>515</v>
      </c>
      <c r="B192" s="1" t="s">
        <v>288</v>
      </c>
      <c r="C192" s="1" t="s">
        <v>182</v>
      </c>
      <c r="D192" s="1" t="s">
        <v>210</v>
      </c>
      <c r="E192" s="1" t="s">
        <v>299</v>
      </c>
      <c r="F192" s="1" t="s">
        <v>308</v>
      </c>
      <c r="G192" s="9">
        <v>64</v>
      </c>
      <c r="H192" s="9">
        <v>20</v>
      </c>
      <c r="I192" s="9">
        <f t="shared" si="6"/>
        <v>1280</v>
      </c>
      <c r="J192" s="9">
        <v>5120</v>
      </c>
      <c r="K192" s="1" t="s">
        <v>301</v>
      </c>
      <c r="L192" s="7">
        <v>46383</v>
      </c>
      <c r="M192" s="1" t="s">
        <v>294</v>
      </c>
      <c r="N192" s="1" t="s">
        <v>297</v>
      </c>
      <c r="O192" s="1" t="s">
        <v>303</v>
      </c>
      <c r="P192" s="1" t="s">
        <v>297</v>
      </c>
    </row>
    <row r="193" spans="1:16" x14ac:dyDescent="0.25">
      <c r="A193" s="1" t="s">
        <v>516</v>
      </c>
      <c r="B193" s="1" t="s">
        <v>288</v>
      </c>
      <c r="C193" s="1" t="s">
        <v>182</v>
      </c>
      <c r="D193" s="1" t="s">
        <v>210</v>
      </c>
      <c r="E193" s="1" t="s">
        <v>307</v>
      </c>
      <c r="F193" s="1" t="s">
        <v>366</v>
      </c>
      <c r="G193" s="9">
        <v>32</v>
      </c>
      <c r="H193" s="9">
        <v>40</v>
      </c>
      <c r="I193" s="9">
        <f t="shared" si="6"/>
        <v>1280</v>
      </c>
      <c r="J193" s="9">
        <v>10240</v>
      </c>
      <c r="K193" s="1" t="s">
        <v>311</v>
      </c>
      <c r="L193" s="7">
        <v>46474</v>
      </c>
      <c r="M193" s="1" t="s">
        <v>302</v>
      </c>
      <c r="N193" s="1" t="s">
        <v>295</v>
      </c>
      <c r="O193" s="1" t="s">
        <v>303</v>
      </c>
      <c r="P193" s="1" t="s">
        <v>297</v>
      </c>
    </row>
    <row r="194" spans="1:16" x14ac:dyDescent="0.25">
      <c r="A194" s="1" t="s">
        <v>517</v>
      </c>
      <c r="B194" s="1" t="s">
        <v>288</v>
      </c>
      <c r="C194" s="1" t="s">
        <v>182</v>
      </c>
      <c r="D194" s="1" t="s">
        <v>210</v>
      </c>
      <c r="E194" s="1" t="s">
        <v>307</v>
      </c>
      <c r="F194" s="1" t="s">
        <v>321</v>
      </c>
      <c r="G194" s="9">
        <v>128</v>
      </c>
      <c r="H194" s="9">
        <v>2</v>
      </c>
      <c r="I194" s="9">
        <f t="shared" si="6"/>
        <v>256</v>
      </c>
      <c r="J194" s="9">
        <v>7784</v>
      </c>
      <c r="K194" s="1" t="s">
        <v>293</v>
      </c>
      <c r="L194" s="7">
        <v>46333</v>
      </c>
      <c r="M194" s="1" t="s">
        <v>322</v>
      </c>
      <c r="N194" s="1" t="s">
        <v>297</v>
      </c>
      <c r="O194" s="1" t="s">
        <v>303</v>
      </c>
      <c r="P194" s="1" t="s">
        <v>297</v>
      </c>
    </row>
    <row r="195" spans="1:16" x14ac:dyDescent="0.25">
      <c r="A195" s="1" t="s">
        <v>518</v>
      </c>
      <c r="B195" s="1" t="s">
        <v>288</v>
      </c>
      <c r="C195" s="1" t="s">
        <v>182</v>
      </c>
      <c r="D195" s="1" t="s">
        <v>224</v>
      </c>
      <c r="E195" s="1" t="s">
        <v>299</v>
      </c>
      <c r="F195" s="1" t="s">
        <v>305</v>
      </c>
      <c r="G195" s="9">
        <v>8</v>
      </c>
      <c r="H195" s="9">
        <v>24</v>
      </c>
      <c r="I195" s="9">
        <f t="shared" ref="I195:I226" si="7">G195*H195</f>
        <v>192</v>
      </c>
      <c r="J195" s="9">
        <v>768</v>
      </c>
      <c r="K195" s="1" t="s">
        <v>311</v>
      </c>
      <c r="L195" s="7">
        <v>46457</v>
      </c>
      <c r="M195" s="1" t="s">
        <v>294</v>
      </c>
      <c r="N195" s="1" t="s">
        <v>295</v>
      </c>
      <c r="O195" s="1" t="s">
        <v>303</v>
      </c>
      <c r="P195" s="1" t="s">
        <v>295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68857-04EB-40B2-A5B0-EAF4B303814F}">
  <dimension ref="A1:G15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7109375" customWidth="1"/>
    <col min="2" max="2" width="17.7109375" customWidth="1"/>
    <col min="3" max="3" width="26.7109375" customWidth="1"/>
    <col min="4" max="4" width="12.7109375" customWidth="1"/>
    <col min="5" max="5" width="22.7109375" customWidth="1"/>
    <col min="6" max="6" width="19.7109375" customWidth="1"/>
    <col min="7" max="7" width="18.7109375" customWidth="1"/>
  </cols>
  <sheetData>
    <row r="1" spans="1:7" x14ac:dyDescent="0.25">
      <c r="A1" s="5" t="s">
        <v>91</v>
      </c>
      <c r="B1" s="5" t="s">
        <v>93</v>
      </c>
      <c r="C1" s="5" t="s">
        <v>95</v>
      </c>
      <c r="D1" s="5" t="s">
        <v>97</v>
      </c>
      <c r="E1" s="5" t="s">
        <v>122</v>
      </c>
      <c r="F1" s="5" t="s">
        <v>124</v>
      </c>
      <c r="G1" s="5" t="s">
        <v>126</v>
      </c>
    </row>
    <row r="2" spans="1:7" x14ac:dyDescent="0.25">
      <c r="A2" s="1" t="s">
        <v>210</v>
      </c>
      <c r="B2" s="1" t="s">
        <v>291</v>
      </c>
      <c r="C2" s="1" t="s">
        <v>326</v>
      </c>
      <c r="D2" s="9">
        <v>16</v>
      </c>
      <c r="E2" s="9">
        <f>SUMIFS(Opportunity_SKU_Demand!$H$2:$H$195,Opportunity_SKU_Demand!$D$2:$D$195,$A2,Opportunity_SKU_Demand!$E$2:$E$195,$B2,Opportunity_SKU_Demand!$F$2:$F$195,$C2)</f>
        <v>20</v>
      </c>
      <c r="F2" s="9">
        <f>SUMIFS(Opportunity_SKU_Demand!$I$2:$I$195,Opportunity_SKU_Demand!$D$2:$D$195,$A2,Opportunity_SKU_Demand!$E$2:$E$195,$B2,Opportunity_SKU_Demand!$F$2:$F$195,$C2)</f>
        <v>320</v>
      </c>
      <c r="G2" s="9">
        <f>COUNTIFS(Opportunity_SKU_Demand!$D$2:$D$195,$A2,Opportunity_SKU_Demand!$E$2:$E$195,$B2,Opportunity_SKU_Demand!$F$2:$F$195,$C2)</f>
        <v>1</v>
      </c>
    </row>
    <row r="3" spans="1:7" x14ac:dyDescent="0.25">
      <c r="A3" s="1" t="s">
        <v>210</v>
      </c>
      <c r="B3" s="1" t="s">
        <v>291</v>
      </c>
      <c r="C3" s="1" t="s">
        <v>366</v>
      </c>
      <c r="D3" s="9">
        <v>32</v>
      </c>
      <c r="E3" s="9">
        <f>SUMIFS(Opportunity_SKU_Demand!$H$2:$H$195,Opportunity_SKU_Demand!$D$2:$D$195,$A3,Opportunity_SKU_Demand!$E$2:$E$195,$B3,Opportunity_SKU_Demand!$F$2:$F$195,$C3)</f>
        <v>48</v>
      </c>
      <c r="F3" s="9">
        <f>SUMIFS(Opportunity_SKU_Demand!$I$2:$I$195,Opportunity_SKU_Demand!$D$2:$D$195,$A3,Opportunity_SKU_Demand!$E$2:$E$195,$B3,Opportunity_SKU_Demand!$F$2:$F$195,$C3)</f>
        <v>1536</v>
      </c>
      <c r="G3" s="9">
        <f>COUNTIFS(Opportunity_SKU_Demand!$D$2:$D$195,$A3,Opportunity_SKU_Demand!$E$2:$E$195,$B3,Opportunity_SKU_Demand!$F$2:$F$195,$C3)</f>
        <v>1</v>
      </c>
    </row>
    <row r="4" spans="1:7" x14ac:dyDescent="0.25">
      <c r="A4" s="1" t="s">
        <v>210</v>
      </c>
      <c r="B4" s="1" t="s">
        <v>291</v>
      </c>
      <c r="C4" s="1" t="s">
        <v>351</v>
      </c>
      <c r="D4" s="9">
        <v>176</v>
      </c>
      <c r="E4" s="9">
        <f>SUMIFS(Opportunity_SKU_Demand!$H$2:$H$195,Opportunity_SKU_Demand!$D$2:$D$195,$A4,Opportunity_SKU_Demand!$E$2:$E$195,$B4,Opportunity_SKU_Demand!$F$2:$F$195,$C4)</f>
        <v>12</v>
      </c>
      <c r="F4" s="9">
        <f>SUMIFS(Opportunity_SKU_Demand!$I$2:$I$195,Opportunity_SKU_Demand!$D$2:$D$195,$A4,Opportunity_SKU_Demand!$E$2:$E$195,$B4,Opportunity_SKU_Demand!$F$2:$F$195,$C4)</f>
        <v>2112</v>
      </c>
      <c r="G4" s="9">
        <f>COUNTIFS(Opportunity_SKU_Demand!$D$2:$D$195,$A4,Opportunity_SKU_Demand!$E$2:$E$195,$B4,Opportunity_SKU_Demand!$F$2:$F$195,$C4)</f>
        <v>1</v>
      </c>
    </row>
    <row r="5" spans="1:7" x14ac:dyDescent="0.25">
      <c r="A5" s="1" t="s">
        <v>210</v>
      </c>
      <c r="B5" s="1" t="s">
        <v>291</v>
      </c>
      <c r="C5" s="1" t="s">
        <v>333</v>
      </c>
      <c r="D5" s="9">
        <v>16</v>
      </c>
      <c r="E5" s="9">
        <f>SUMIFS(Opportunity_SKU_Demand!$H$2:$H$195,Opportunity_SKU_Demand!$D$2:$D$195,$A5,Opportunity_SKU_Demand!$E$2:$E$195,$B5,Opportunity_SKU_Demand!$F$2:$F$195,$C5)</f>
        <v>75</v>
      </c>
      <c r="F5" s="9">
        <f>SUMIFS(Opportunity_SKU_Demand!$I$2:$I$195,Opportunity_SKU_Demand!$D$2:$D$195,$A5,Opportunity_SKU_Demand!$E$2:$E$195,$B5,Opportunity_SKU_Demand!$F$2:$F$195,$C5)</f>
        <v>1200</v>
      </c>
      <c r="G5" s="9">
        <f>COUNTIFS(Opportunity_SKU_Demand!$D$2:$D$195,$A5,Opportunity_SKU_Demand!$E$2:$E$195,$B5,Opportunity_SKU_Demand!$F$2:$F$195,$C5)</f>
        <v>1</v>
      </c>
    </row>
    <row r="6" spans="1:7" x14ac:dyDescent="0.25">
      <c r="A6" s="1" t="s">
        <v>210</v>
      </c>
      <c r="B6" s="1" t="s">
        <v>299</v>
      </c>
      <c r="C6" s="1" t="s">
        <v>292</v>
      </c>
      <c r="D6" s="9">
        <v>16</v>
      </c>
      <c r="E6" s="9">
        <f>SUMIFS(Opportunity_SKU_Demand!$H$2:$H$195,Opportunity_SKU_Demand!$D$2:$D$195,$A6,Opportunity_SKU_Demand!$E$2:$E$195,$B6,Opportunity_SKU_Demand!$F$2:$F$195,$C6)</f>
        <v>80</v>
      </c>
      <c r="F6" s="9">
        <f>SUMIFS(Opportunity_SKU_Demand!$I$2:$I$195,Opportunity_SKU_Demand!$D$2:$D$195,$A6,Opportunity_SKU_Demand!$E$2:$E$195,$B6,Opportunity_SKU_Demand!$F$2:$F$195,$C6)</f>
        <v>1280</v>
      </c>
      <c r="G6" s="9">
        <f>COUNTIFS(Opportunity_SKU_Demand!$D$2:$D$195,$A6,Opportunity_SKU_Demand!$E$2:$E$195,$B6,Opportunity_SKU_Demand!$F$2:$F$195,$C6)</f>
        <v>2</v>
      </c>
    </row>
    <row r="7" spans="1:7" x14ac:dyDescent="0.25">
      <c r="A7" s="1" t="s">
        <v>210</v>
      </c>
      <c r="B7" s="1" t="s">
        <v>299</v>
      </c>
      <c r="C7" s="1" t="s">
        <v>317</v>
      </c>
      <c r="D7" s="9">
        <v>32</v>
      </c>
      <c r="E7" s="9">
        <f>SUMIFS(Opportunity_SKU_Demand!$H$2:$H$195,Opportunity_SKU_Demand!$D$2:$D$195,$A7,Opportunity_SKU_Demand!$E$2:$E$195,$B7,Opportunity_SKU_Demand!$F$2:$F$195,$C7)</f>
        <v>48</v>
      </c>
      <c r="F7" s="9">
        <f>SUMIFS(Opportunity_SKU_Demand!$I$2:$I$195,Opportunity_SKU_Demand!$D$2:$D$195,$A7,Opportunity_SKU_Demand!$E$2:$E$195,$B7,Opportunity_SKU_Demand!$F$2:$F$195,$C7)</f>
        <v>1536</v>
      </c>
      <c r="G7" s="9">
        <f>COUNTIFS(Opportunity_SKU_Demand!$D$2:$D$195,$A7,Opportunity_SKU_Demand!$E$2:$E$195,$B7,Opportunity_SKU_Demand!$F$2:$F$195,$C7)</f>
        <v>1</v>
      </c>
    </row>
    <row r="8" spans="1:7" x14ac:dyDescent="0.25">
      <c r="A8" s="1" t="s">
        <v>210</v>
      </c>
      <c r="B8" s="1" t="s">
        <v>299</v>
      </c>
      <c r="C8" s="1" t="s">
        <v>308</v>
      </c>
      <c r="D8" s="9">
        <v>64</v>
      </c>
      <c r="E8" s="9">
        <f>SUMIFS(Opportunity_SKU_Demand!$H$2:$H$195,Opportunity_SKU_Demand!$D$2:$D$195,$A8,Opportunity_SKU_Demand!$E$2:$E$195,$B8,Opportunity_SKU_Demand!$F$2:$F$195,$C8)</f>
        <v>20</v>
      </c>
      <c r="F8" s="9">
        <f>SUMIFS(Opportunity_SKU_Demand!$I$2:$I$195,Opportunity_SKU_Demand!$D$2:$D$195,$A8,Opportunity_SKU_Demand!$E$2:$E$195,$B8,Opportunity_SKU_Demand!$F$2:$F$195,$C8)</f>
        <v>1280</v>
      </c>
      <c r="G8" s="9">
        <f>COUNTIFS(Opportunity_SKU_Demand!$D$2:$D$195,$A8,Opportunity_SKU_Demand!$E$2:$E$195,$B8,Opportunity_SKU_Demand!$F$2:$F$195,$C8)</f>
        <v>1</v>
      </c>
    </row>
    <row r="9" spans="1:7" x14ac:dyDescent="0.25">
      <c r="A9" s="1" t="s">
        <v>210</v>
      </c>
      <c r="B9" s="1" t="s">
        <v>299</v>
      </c>
      <c r="C9" s="1" t="s">
        <v>305</v>
      </c>
      <c r="D9" s="9">
        <v>8</v>
      </c>
      <c r="E9" s="9">
        <f>SUMIFS(Opportunity_SKU_Demand!$H$2:$H$195,Opportunity_SKU_Demand!$D$2:$D$195,$A9,Opportunity_SKU_Demand!$E$2:$E$195,$B9,Opportunity_SKU_Demand!$F$2:$F$195,$C9)</f>
        <v>70</v>
      </c>
      <c r="F9" s="9">
        <f>SUMIFS(Opportunity_SKU_Demand!$I$2:$I$195,Opportunity_SKU_Demand!$D$2:$D$195,$A9,Opportunity_SKU_Demand!$E$2:$E$195,$B9,Opportunity_SKU_Demand!$F$2:$F$195,$C9)</f>
        <v>560</v>
      </c>
      <c r="G9" s="9">
        <f>COUNTIFS(Opportunity_SKU_Demand!$D$2:$D$195,$A9,Opportunity_SKU_Demand!$E$2:$E$195,$B9,Opportunity_SKU_Demand!$F$2:$F$195,$C9)</f>
        <v>2</v>
      </c>
    </row>
    <row r="10" spans="1:7" x14ac:dyDescent="0.25">
      <c r="A10" s="1" t="s">
        <v>210</v>
      </c>
      <c r="B10" s="1" t="s">
        <v>299</v>
      </c>
      <c r="C10" s="1" t="s">
        <v>326</v>
      </c>
      <c r="D10" s="9">
        <v>16</v>
      </c>
      <c r="E10" s="9">
        <f>SUMIFS(Opportunity_SKU_Demand!$H$2:$H$195,Opportunity_SKU_Demand!$D$2:$D$195,$A10,Opportunity_SKU_Demand!$E$2:$E$195,$B10,Opportunity_SKU_Demand!$F$2:$F$195,$C10)</f>
        <v>90</v>
      </c>
      <c r="F10" s="9">
        <f>SUMIFS(Opportunity_SKU_Demand!$I$2:$I$195,Opportunity_SKU_Demand!$D$2:$D$195,$A10,Opportunity_SKU_Demand!$E$2:$E$195,$B10,Opportunity_SKU_Demand!$F$2:$F$195,$C10)</f>
        <v>1440</v>
      </c>
      <c r="G10" s="9">
        <f>COUNTIFS(Opportunity_SKU_Demand!$D$2:$D$195,$A10,Opportunity_SKU_Demand!$E$2:$E$195,$B10,Opportunity_SKU_Demand!$F$2:$F$195,$C10)</f>
        <v>1</v>
      </c>
    </row>
    <row r="11" spans="1:7" x14ac:dyDescent="0.25">
      <c r="A11" s="1" t="s">
        <v>210</v>
      </c>
      <c r="B11" s="1" t="s">
        <v>299</v>
      </c>
      <c r="C11" s="1" t="s">
        <v>337</v>
      </c>
      <c r="D11" s="9">
        <v>32</v>
      </c>
      <c r="E11" s="9">
        <f>SUMIFS(Opportunity_SKU_Demand!$H$2:$H$195,Opportunity_SKU_Demand!$D$2:$D$195,$A11,Opportunity_SKU_Demand!$E$2:$E$195,$B11,Opportunity_SKU_Demand!$F$2:$F$195,$C11)</f>
        <v>10</v>
      </c>
      <c r="F11" s="9">
        <f>SUMIFS(Opportunity_SKU_Demand!$I$2:$I$195,Opportunity_SKU_Demand!$D$2:$D$195,$A11,Opportunity_SKU_Demand!$E$2:$E$195,$B11,Opportunity_SKU_Demand!$F$2:$F$195,$C11)</f>
        <v>320</v>
      </c>
      <c r="G11" s="9">
        <f>COUNTIFS(Opportunity_SKU_Demand!$D$2:$D$195,$A11,Opportunity_SKU_Demand!$E$2:$E$195,$B11,Opportunity_SKU_Demand!$F$2:$F$195,$C11)</f>
        <v>1</v>
      </c>
    </row>
    <row r="12" spans="1:7" x14ac:dyDescent="0.25">
      <c r="A12" s="1" t="s">
        <v>210</v>
      </c>
      <c r="B12" s="1" t="s">
        <v>299</v>
      </c>
      <c r="C12" s="1" t="s">
        <v>340</v>
      </c>
      <c r="D12" s="9">
        <v>32</v>
      </c>
      <c r="E12" s="9">
        <f>SUMIFS(Opportunity_SKU_Demand!$H$2:$H$195,Opportunity_SKU_Demand!$D$2:$D$195,$A12,Opportunity_SKU_Demand!$E$2:$E$195,$B12,Opportunity_SKU_Demand!$F$2:$F$195,$C12)</f>
        <v>75</v>
      </c>
      <c r="F12" s="9">
        <f>SUMIFS(Opportunity_SKU_Demand!$I$2:$I$195,Opportunity_SKU_Demand!$D$2:$D$195,$A12,Opportunity_SKU_Demand!$E$2:$E$195,$B12,Opportunity_SKU_Demand!$F$2:$F$195,$C12)</f>
        <v>2400</v>
      </c>
      <c r="G12" s="9">
        <f>COUNTIFS(Opportunity_SKU_Demand!$D$2:$D$195,$A12,Opportunity_SKU_Demand!$E$2:$E$195,$B12,Opportunity_SKU_Demand!$F$2:$F$195,$C12)</f>
        <v>1</v>
      </c>
    </row>
    <row r="13" spans="1:7" x14ac:dyDescent="0.25">
      <c r="A13" s="1" t="s">
        <v>210</v>
      </c>
      <c r="B13" s="1" t="s">
        <v>299</v>
      </c>
      <c r="C13" s="1" t="s">
        <v>321</v>
      </c>
      <c r="D13" s="9">
        <v>128</v>
      </c>
      <c r="E13" s="9">
        <f>SUMIFS(Opportunity_SKU_Demand!$H$2:$H$195,Opportunity_SKU_Demand!$D$2:$D$195,$A13,Opportunity_SKU_Demand!$E$2:$E$195,$B13,Opportunity_SKU_Demand!$F$2:$F$195,$C13)</f>
        <v>6</v>
      </c>
      <c r="F13" s="9">
        <f>SUMIFS(Opportunity_SKU_Demand!$I$2:$I$195,Opportunity_SKU_Demand!$D$2:$D$195,$A13,Opportunity_SKU_Demand!$E$2:$E$195,$B13,Opportunity_SKU_Demand!$F$2:$F$195,$C13)</f>
        <v>768</v>
      </c>
      <c r="G13" s="9">
        <f>COUNTIFS(Opportunity_SKU_Demand!$D$2:$D$195,$A13,Opportunity_SKU_Demand!$E$2:$E$195,$B13,Opportunity_SKU_Demand!$F$2:$F$195,$C13)</f>
        <v>1</v>
      </c>
    </row>
    <row r="14" spans="1:7" x14ac:dyDescent="0.25">
      <c r="A14" s="1" t="s">
        <v>210</v>
      </c>
      <c r="B14" s="1" t="s">
        <v>307</v>
      </c>
      <c r="C14" s="1" t="s">
        <v>402</v>
      </c>
      <c r="D14" s="9">
        <v>16</v>
      </c>
      <c r="E14" s="9">
        <f>SUMIFS(Opportunity_SKU_Demand!$H$2:$H$195,Opportunity_SKU_Demand!$D$2:$D$195,$A14,Opportunity_SKU_Demand!$E$2:$E$195,$B14,Opportunity_SKU_Demand!$F$2:$F$195,$C14)</f>
        <v>120</v>
      </c>
      <c r="F14" s="9">
        <f>SUMIFS(Opportunity_SKU_Demand!$I$2:$I$195,Opportunity_SKU_Demand!$D$2:$D$195,$A14,Opportunity_SKU_Demand!$E$2:$E$195,$B14,Opportunity_SKU_Demand!$F$2:$F$195,$C14)</f>
        <v>1920</v>
      </c>
      <c r="G14" s="9">
        <f>COUNTIFS(Opportunity_SKU_Demand!$D$2:$D$195,$A14,Opportunity_SKU_Demand!$E$2:$E$195,$B14,Opportunity_SKU_Demand!$F$2:$F$195,$C14)</f>
        <v>1</v>
      </c>
    </row>
    <row r="15" spans="1:7" x14ac:dyDescent="0.25">
      <c r="A15" s="1" t="s">
        <v>210</v>
      </c>
      <c r="B15" s="1" t="s">
        <v>307</v>
      </c>
      <c r="C15" s="1" t="s">
        <v>317</v>
      </c>
      <c r="D15" s="9">
        <v>32</v>
      </c>
      <c r="E15" s="9">
        <f>SUMIFS(Opportunity_SKU_Demand!$H$2:$H$195,Opportunity_SKU_Demand!$D$2:$D$195,$A15,Opportunity_SKU_Demand!$E$2:$E$195,$B15,Opportunity_SKU_Demand!$F$2:$F$195,$C15)</f>
        <v>16</v>
      </c>
      <c r="F15" s="9">
        <f>SUMIFS(Opportunity_SKU_Demand!$I$2:$I$195,Opportunity_SKU_Demand!$D$2:$D$195,$A15,Opportunity_SKU_Demand!$E$2:$E$195,$B15,Opportunity_SKU_Demand!$F$2:$F$195,$C15)</f>
        <v>512</v>
      </c>
      <c r="G15" s="9">
        <f>COUNTIFS(Opportunity_SKU_Demand!$D$2:$D$195,$A15,Opportunity_SKU_Demand!$E$2:$E$195,$B15,Opportunity_SKU_Demand!$F$2:$F$195,$C15)</f>
        <v>1</v>
      </c>
    </row>
    <row r="16" spans="1:7" x14ac:dyDescent="0.25">
      <c r="A16" s="1" t="s">
        <v>210</v>
      </c>
      <c r="B16" s="1" t="s">
        <v>307</v>
      </c>
      <c r="C16" s="1" t="s">
        <v>305</v>
      </c>
      <c r="D16" s="9">
        <v>8</v>
      </c>
      <c r="E16" s="9">
        <f>SUMIFS(Opportunity_SKU_Demand!$H$2:$H$195,Opportunity_SKU_Demand!$D$2:$D$195,$A16,Opportunity_SKU_Demand!$E$2:$E$195,$B16,Opportunity_SKU_Demand!$F$2:$F$195,$C16)</f>
        <v>75</v>
      </c>
      <c r="F16" s="9">
        <f>SUMIFS(Opportunity_SKU_Demand!$I$2:$I$195,Opportunity_SKU_Demand!$D$2:$D$195,$A16,Opportunity_SKU_Demand!$E$2:$E$195,$B16,Opportunity_SKU_Demand!$F$2:$F$195,$C16)</f>
        <v>600</v>
      </c>
      <c r="G16" s="9">
        <f>COUNTIFS(Opportunity_SKU_Demand!$D$2:$D$195,$A16,Opportunity_SKU_Demand!$E$2:$E$195,$B16,Opportunity_SKU_Demand!$F$2:$F$195,$C16)</f>
        <v>1</v>
      </c>
    </row>
    <row r="17" spans="1:7" x14ac:dyDescent="0.25">
      <c r="A17" s="1" t="s">
        <v>210</v>
      </c>
      <c r="B17" s="1" t="s">
        <v>307</v>
      </c>
      <c r="C17" s="1" t="s">
        <v>366</v>
      </c>
      <c r="D17" s="9">
        <v>32</v>
      </c>
      <c r="E17" s="9">
        <f>SUMIFS(Opportunity_SKU_Demand!$H$2:$H$195,Opportunity_SKU_Demand!$D$2:$D$195,$A17,Opportunity_SKU_Demand!$E$2:$E$195,$B17,Opportunity_SKU_Demand!$F$2:$F$195,$C17)</f>
        <v>40</v>
      </c>
      <c r="F17" s="9">
        <f>SUMIFS(Opportunity_SKU_Demand!$I$2:$I$195,Opportunity_SKU_Demand!$D$2:$D$195,$A17,Opportunity_SKU_Demand!$E$2:$E$195,$B17,Opportunity_SKU_Demand!$F$2:$F$195,$C17)</f>
        <v>1280</v>
      </c>
      <c r="G17" s="9">
        <f>COUNTIFS(Opportunity_SKU_Demand!$D$2:$D$195,$A17,Opportunity_SKU_Demand!$E$2:$E$195,$B17,Opportunity_SKU_Demand!$F$2:$F$195,$C17)</f>
        <v>1</v>
      </c>
    </row>
    <row r="18" spans="1:7" x14ac:dyDescent="0.25">
      <c r="A18" s="1" t="s">
        <v>210</v>
      </c>
      <c r="B18" s="1" t="s">
        <v>307</v>
      </c>
      <c r="C18" s="1" t="s">
        <v>337</v>
      </c>
      <c r="D18" s="9">
        <v>32</v>
      </c>
      <c r="E18" s="9">
        <f>SUMIFS(Opportunity_SKU_Demand!$H$2:$H$195,Opportunity_SKU_Demand!$D$2:$D$195,$A18,Opportunity_SKU_Demand!$E$2:$E$195,$B18,Opportunity_SKU_Demand!$F$2:$F$195,$C18)</f>
        <v>40</v>
      </c>
      <c r="F18" s="9">
        <f>SUMIFS(Opportunity_SKU_Demand!$I$2:$I$195,Opportunity_SKU_Demand!$D$2:$D$195,$A18,Opportunity_SKU_Demand!$E$2:$E$195,$B18,Opportunity_SKU_Demand!$F$2:$F$195,$C18)</f>
        <v>1280</v>
      </c>
      <c r="G18" s="9">
        <f>COUNTIFS(Opportunity_SKU_Demand!$D$2:$D$195,$A18,Opportunity_SKU_Demand!$E$2:$E$195,$B18,Opportunity_SKU_Demand!$F$2:$F$195,$C18)</f>
        <v>1</v>
      </c>
    </row>
    <row r="19" spans="1:7" x14ac:dyDescent="0.25">
      <c r="A19" s="1" t="s">
        <v>210</v>
      </c>
      <c r="B19" s="1" t="s">
        <v>307</v>
      </c>
      <c r="C19" s="1" t="s">
        <v>321</v>
      </c>
      <c r="D19" s="9">
        <v>128</v>
      </c>
      <c r="E19" s="9">
        <f>SUMIFS(Opportunity_SKU_Demand!$H$2:$H$195,Opportunity_SKU_Demand!$D$2:$D$195,$A19,Opportunity_SKU_Demand!$E$2:$E$195,$B19,Opportunity_SKU_Demand!$F$2:$F$195,$C19)</f>
        <v>2</v>
      </c>
      <c r="F19" s="9">
        <f>SUMIFS(Opportunity_SKU_Demand!$I$2:$I$195,Opportunity_SKU_Demand!$D$2:$D$195,$A19,Opportunity_SKU_Demand!$E$2:$E$195,$B19,Opportunity_SKU_Demand!$F$2:$F$195,$C19)</f>
        <v>256</v>
      </c>
      <c r="G19" s="9">
        <f>COUNTIFS(Opportunity_SKU_Demand!$D$2:$D$195,$A19,Opportunity_SKU_Demand!$E$2:$E$195,$B19,Opportunity_SKU_Demand!$F$2:$F$195,$C19)</f>
        <v>1</v>
      </c>
    </row>
    <row r="20" spans="1:7" x14ac:dyDescent="0.25">
      <c r="A20" s="1" t="s">
        <v>224</v>
      </c>
      <c r="B20" s="1" t="s">
        <v>291</v>
      </c>
      <c r="C20" s="1" t="s">
        <v>326</v>
      </c>
      <c r="D20" s="9">
        <v>16</v>
      </c>
      <c r="E20" s="9">
        <f>SUMIFS(Opportunity_SKU_Demand!$H$2:$H$195,Opportunity_SKU_Demand!$D$2:$D$195,$A20,Opportunity_SKU_Demand!$E$2:$E$195,$B20,Opportunity_SKU_Demand!$F$2:$F$195,$C20)</f>
        <v>60</v>
      </c>
      <c r="F20" s="9">
        <f>SUMIFS(Opportunity_SKU_Demand!$I$2:$I$195,Opportunity_SKU_Demand!$D$2:$D$195,$A20,Opportunity_SKU_Demand!$E$2:$E$195,$B20,Opportunity_SKU_Demand!$F$2:$F$195,$C20)</f>
        <v>960</v>
      </c>
      <c r="G20" s="9">
        <f>COUNTIFS(Opportunity_SKU_Demand!$D$2:$D$195,$A20,Opportunity_SKU_Demand!$E$2:$E$195,$B20,Opportunity_SKU_Demand!$F$2:$F$195,$C20)</f>
        <v>1</v>
      </c>
    </row>
    <row r="21" spans="1:7" x14ac:dyDescent="0.25">
      <c r="A21" s="1" t="s">
        <v>224</v>
      </c>
      <c r="B21" s="1" t="s">
        <v>291</v>
      </c>
      <c r="C21" s="1" t="s">
        <v>366</v>
      </c>
      <c r="D21" s="9">
        <v>32</v>
      </c>
      <c r="E21" s="9">
        <f>SUMIFS(Opportunity_SKU_Demand!$H$2:$H$195,Opportunity_SKU_Demand!$D$2:$D$195,$A21,Opportunity_SKU_Demand!$E$2:$E$195,$B21,Opportunity_SKU_Demand!$F$2:$F$195,$C21)</f>
        <v>16</v>
      </c>
      <c r="F21" s="9">
        <f>SUMIFS(Opportunity_SKU_Demand!$I$2:$I$195,Opportunity_SKU_Demand!$D$2:$D$195,$A21,Opportunity_SKU_Demand!$E$2:$E$195,$B21,Opportunity_SKU_Demand!$F$2:$F$195,$C21)</f>
        <v>512</v>
      </c>
      <c r="G21" s="9">
        <f>COUNTIFS(Opportunity_SKU_Demand!$D$2:$D$195,$A21,Opportunity_SKU_Demand!$E$2:$E$195,$B21,Opportunity_SKU_Demand!$F$2:$F$195,$C21)</f>
        <v>1</v>
      </c>
    </row>
    <row r="22" spans="1:7" x14ac:dyDescent="0.25">
      <c r="A22" s="1" t="s">
        <v>224</v>
      </c>
      <c r="B22" s="1" t="s">
        <v>291</v>
      </c>
      <c r="C22" s="1" t="s">
        <v>300</v>
      </c>
      <c r="D22" s="9">
        <v>64</v>
      </c>
      <c r="E22" s="9">
        <f>SUMIFS(Opportunity_SKU_Demand!$H$2:$H$195,Opportunity_SKU_Demand!$D$2:$D$195,$A22,Opportunity_SKU_Demand!$E$2:$E$195,$B22,Opportunity_SKU_Demand!$F$2:$F$195,$C22)</f>
        <v>181</v>
      </c>
      <c r="F22" s="9">
        <f>SUMIFS(Opportunity_SKU_Demand!$I$2:$I$195,Opportunity_SKU_Demand!$D$2:$D$195,$A22,Opportunity_SKU_Demand!$E$2:$E$195,$B22,Opportunity_SKU_Demand!$F$2:$F$195,$C22)</f>
        <v>11584</v>
      </c>
      <c r="G22" s="9">
        <f>COUNTIFS(Opportunity_SKU_Demand!$D$2:$D$195,$A22,Opportunity_SKU_Demand!$E$2:$E$195,$B22,Opportunity_SKU_Demand!$F$2:$F$195,$C22)</f>
        <v>3</v>
      </c>
    </row>
    <row r="23" spans="1:7" x14ac:dyDescent="0.25">
      <c r="A23" s="1" t="s">
        <v>224</v>
      </c>
      <c r="B23" s="1" t="s">
        <v>291</v>
      </c>
      <c r="C23" s="1" t="s">
        <v>333</v>
      </c>
      <c r="D23" s="9">
        <v>16</v>
      </c>
      <c r="E23" s="9">
        <f>SUMIFS(Opportunity_SKU_Demand!$H$2:$H$195,Opportunity_SKU_Demand!$D$2:$D$195,$A23,Opportunity_SKU_Demand!$E$2:$E$195,$B23,Opportunity_SKU_Demand!$F$2:$F$195,$C23)</f>
        <v>120</v>
      </c>
      <c r="F23" s="9">
        <f>SUMIFS(Opportunity_SKU_Demand!$I$2:$I$195,Opportunity_SKU_Demand!$D$2:$D$195,$A23,Opportunity_SKU_Demand!$E$2:$E$195,$B23,Opportunity_SKU_Demand!$F$2:$F$195,$C23)</f>
        <v>1920</v>
      </c>
      <c r="G23" s="9">
        <f>COUNTIFS(Opportunity_SKU_Demand!$D$2:$D$195,$A23,Opportunity_SKU_Demand!$E$2:$E$195,$B23,Opportunity_SKU_Demand!$F$2:$F$195,$C23)</f>
        <v>1</v>
      </c>
    </row>
    <row r="24" spans="1:7" x14ac:dyDescent="0.25">
      <c r="A24" s="1" t="s">
        <v>224</v>
      </c>
      <c r="B24" s="1" t="s">
        <v>291</v>
      </c>
      <c r="C24" s="1" t="s">
        <v>321</v>
      </c>
      <c r="D24" s="9">
        <v>128</v>
      </c>
      <c r="E24" s="9">
        <f>SUMIFS(Opportunity_SKU_Demand!$H$2:$H$195,Opportunity_SKU_Demand!$D$2:$D$195,$A24,Opportunity_SKU_Demand!$E$2:$E$195,$B24,Opportunity_SKU_Demand!$F$2:$F$195,$C24)</f>
        <v>2</v>
      </c>
      <c r="F24" s="9">
        <f>SUMIFS(Opportunity_SKU_Demand!$I$2:$I$195,Opportunity_SKU_Demand!$D$2:$D$195,$A24,Opportunity_SKU_Demand!$E$2:$E$195,$B24,Opportunity_SKU_Demand!$F$2:$F$195,$C24)</f>
        <v>256</v>
      </c>
      <c r="G24" s="9">
        <f>COUNTIFS(Opportunity_SKU_Demand!$D$2:$D$195,$A24,Opportunity_SKU_Demand!$E$2:$E$195,$B24,Opportunity_SKU_Demand!$F$2:$F$195,$C24)</f>
        <v>1</v>
      </c>
    </row>
    <row r="25" spans="1:7" x14ac:dyDescent="0.25">
      <c r="A25" s="1" t="s">
        <v>224</v>
      </c>
      <c r="B25" s="1" t="s">
        <v>299</v>
      </c>
      <c r="C25" s="1" t="s">
        <v>305</v>
      </c>
      <c r="D25" s="9">
        <v>8</v>
      </c>
      <c r="E25" s="9">
        <f>SUMIFS(Opportunity_SKU_Demand!$H$2:$H$195,Opportunity_SKU_Demand!$D$2:$D$195,$A25,Opportunity_SKU_Demand!$E$2:$E$195,$B25,Opportunity_SKU_Demand!$F$2:$F$195,$C25)</f>
        <v>54</v>
      </c>
      <c r="F25" s="9">
        <f>SUMIFS(Opportunity_SKU_Demand!$I$2:$I$195,Opportunity_SKU_Demand!$D$2:$D$195,$A25,Opportunity_SKU_Demand!$E$2:$E$195,$B25,Opportunity_SKU_Demand!$F$2:$F$195,$C25)</f>
        <v>432</v>
      </c>
      <c r="G25" s="9">
        <f>COUNTIFS(Opportunity_SKU_Demand!$D$2:$D$195,$A25,Opportunity_SKU_Demand!$E$2:$E$195,$B25,Opportunity_SKU_Demand!$F$2:$F$195,$C25)</f>
        <v>2</v>
      </c>
    </row>
    <row r="26" spans="1:7" x14ac:dyDescent="0.25">
      <c r="A26" s="1" t="s">
        <v>224</v>
      </c>
      <c r="B26" s="1" t="s">
        <v>299</v>
      </c>
      <c r="C26" s="1" t="s">
        <v>300</v>
      </c>
      <c r="D26" s="9">
        <v>64</v>
      </c>
      <c r="E26" s="9">
        <f>SUMIFS(Opportunity_SKU_Demand!$H$2:$H$195,Opportunity_SKU_Demand!$D$2:$D$195,$A26,Opportunity_SKU_Demand!$E$2:$E$195,$B26,Opportunity_SKU_Demand!$F$2:$F$195,$C26)</f>
        <v>40</v>
      </c>
      <c r="F26" s="9">
        <f>SUMIFS(Opportunity_SKU_Demand!$I$2:$I$195,Opportunity_SKU_Demand!$D$2:$D$195,$A26,Opportunity_SKU_Demand!$E$2:$E$195,$B26,Opportunity_SKU_Demand!$F$2:$F$195,$C26)</f>
        <v>2560</v>
      </c>
      <c r="G26" s="9">
        <f>COUNTIFS(Opportunity_SKU_Demand!$D$2:$D$195,$A26,Opportunity_SKU_Demand!$E$2:$E$195,$B26,Opportunity_SKU_Demand!$F$2:$F$195,$C26)</f>
        <v>1</v>
      </c>
    </row>
    <row r="27" spans="1:7" x14ac:dyDescent="0.25">
      <c r="A27" s="1" t="s">
        <v>224</v>
      </c>
      <c r="B27" s="1" t="s">
        <v>307</v>
      </c>
      <c r="C27" s="1" t="s">
        <v>326</v>
      </c>
      <c r="D27" s="9">
        <v>16</v>
      </c>
      <c r="E27" s="9">
        <f>SUMIFS(Opportunity_SKU_Demand!$H$2:$H$195,Opportunity_SKU_Demand!$D$2:$D$195,$A27,Opportunity_SKU_Demand!$E$2:$E$195,$B27,Opportunity_SKU_Demand!$F$2:$F$195,$C27)</f>
        <v>120</v>
      </c>
      <c r="F27" s="9">
        <f>SUMIFS(Opportunity_SKU_Demand!$I$2:$I$195,Opportunity_SKU_Demand!$D$2:$D$195,$A27,Opportunity_SKU_Demand!$E$2:$E$195,$B27,Opportunity_SKU_Demand!$F$2:$F$195,$C27)</f>
        <v>1920</v>
      </c>
      <c r="G27" s="9">
        <f>COUNTIFS(Opportunity_SKU_Demand!$D$2:$D$195,$A27,Opportunity_SKU_Demand!$E$2:$E$195,$B27,Opportunity_SKU_Demand!$F$2:$F$195,$C27)</f>
        <v>1</v>
      </c>
    </row>
    <row r="28" spans="1:7" x14ac:dyDescent="0.25">
      <c r="A28" s="1" t="s">
        <v>214</v>
      </c>
      <c r="B28" s="1" t="s">
        <v>291</v>
      </c>
      <c r="C28" s="1" t="s">
        <v>317</v>
      </c>
      <c r="D28" s="9">
        <v>32</v>
      </c>
      <c r="E28" s="9">
        <f>SUMIFS(Opportunity_SKU_Demand!$H$2:$H$195,Opportunity_SKU_Demand!$D$2:$D$195,$A28,Opportunity_SKU_Demand!$E$2:$E$195,$B28,Opportunity_SKU_Demand!$F$2:$F$195,$C28)</f>
        <v>10</v>
      </c>
      <c r="F28" s="9">
        <f>SUMIFS(Opportunity_SKU_Demand!$I$2:$I$195,Opportunity_SKU_Demand!$D$2:$D$195,$A28,Opportunity_SKU_Demand!$E$2:$E$195,$B28,Opportunity_SKU_Demand!$F$2:$F$195,$C28)</f>
        <v>320</v>
      </c>
      <c r="G28" s="9">
        <f>COUNTIFS(Opportunity_SKU_Demand!$D$2:$D$195,$A28,Opportunity_SKU_Demand!$E$2:$E$195,$B28,Opportunity_SKU_Demand!$F$2:$F$195,$C28)</f>
        <v>1</v>
      </c>
    </row>
    <row r="29" spans="1:7" x14ac:dyDescent="0.25">
      <c r="A29" s="1" t="s">
        <v>214</v>
      </c>
      <c r="B29" s="1" t="s">
        <v>291</v>
      </c>
      <c r="C29" s="1" t="s">
        <v>305</v>
      </c>
      <c r="D29" s="9">
        <v>8</v>
      </c>
      <c r="E29" s="9">
        <f>SUMIFS(Opportunity_SKU_Demand!$H$2:$H$195,Opportunity_SKU_Demand!$D$2:$D$195,$A29,Opportunity_SKU_Demand!$E$2:$E$195,$B29,Opportunity_SKU_Demand!$F$2:$F$195,$C29)</f>
        <v>16</v>
      </c>
      <c r="F29" s="9">
        <f>SUMIFS(Opportunity_SKU_Demand!$I$2:$I$195,Opportunity_SKU_Demand!$D$2:$D$195,$A29,Opportunity_SKU_Demand!$E$2:$E$195,$B29,Opportunity_SKU_Demand!$F$2:$F$195,$C29)</f>
        <v>128</v>
      </c>
      <c r="G29" s="9">
        <f>COUNTIFS(Opportunity_SKU_Demand!$D$2:$D$195,$A29,Opportunity_SKU_Demand!$E$2:$E$195,$B29,Opportunity_SKU_Demand!$F$2:$F$195,$C29)</f>
        <v>1</v>
      </c>
    </row>
    <row r="30" spans="1:7" x14ac:dyDescent="0.25">
      <c r="A30" s="1" t="s">
        <v>214</v>
      </c>
      <c r="B30" s="1" t="s">
        <v>291</v>
      </c>
      <c r="C30" s="1" t="s">
        <v>326</v>
      </c>
      <c r="D30" s="9">
        <v>16</v>
      </c>
      <c r="E30" s="9">
        <f>SUMIFS(Opportunity_SKU_Demand!$H$2:$H$195,Opportunity_SKU_Demand!$D$2:$D$195,$A30,Opportunity_SKU_Demand!$E$2:$E$195,$B30,Opportunity_SKU_Demand!$F$2:$F$195,$C30)</f>
        <v>60</v>
      </c>
      <c r="F30" s="9">
        <f>SUMIFS(Opportunity_SKU_Demand!$I$2:$I$195,Opportunity_SKU_Demand!$D$2:$D$195,$A30,Opportunity_SKU_Demand!$E$2:$E$195,$B30,Opportunity_SKU_Demand!$F$2:$F$195,$C30)</f>
        <v>960</v>
      </c>
      <c r="G30" s="9">
        <f>COUNTIFS(Opportunity_SKU_Demand!$D$2:$D$195,$A30,Opportunity_SKU_Demand!$E$2:$E$195,$B30,Opportunity_SKU_Demand!$F$2:$F$195,$C30)</f>
        <v>1</v>
      </c>
    </row>
    <row r="31" spans="1:7" x14ac:dyDescent="0.25">
      <c r="A31" s="1" t="s">
        <v>214</v>
      </c>
      <c r="B31" s="1" t="s">
        <v>291</v>
      </c>
      <c r="C31" s="1" t="s">
        <v>366</v>
      </c>
      <c r="D31" s="9">
        <v>32</v>
      </c>
      <c r="E31" s="9">
        <f>SUMIFS(Opportunity_SKU_Demand!$H$2:$H$195,Opportunity_SKU_Demand!$D$2:$D$195,$A31,Opportunity_SKU_Demand!$E$2:$E$195,$B31,Opportunity_SKU_Demand!$F$2:$F$195,$C31)</f>
        <v>10</v>
      </c>
      <c r="F31" s="9">
        <f>SUMIFS(Opportunity_SKU_Demand!$I$2:$I$195,Opportunity_SKU_Demand!$D$2:$D$195,$A31,Opportunity_SKU_Demand!$E$2:$E$195,$B31,Opportunity_SKU_Demand!$F$2:$F$195,$C31)</f>
        <v>320</v>
      </c>
      <c r="G31" s="9">
        <f>COUNTIFS(Opportunity_SKU_Demand!$D$2:$D$195,$A31,Opportunity_SKU_Demand!$E$2:$E$195,$B31,Opportunity_SKU_Demand!$F$2:$F$195,$C31)</f>
        <v>1</v>
      </c>
    </row>
    <row r="32" spans="1:7" x14ac:dyDescent="0.25">
      <c r="A32" s="1" t="s">
        <v>214</v>
      </c>
      <c r="B32" s="1" t="s">
        <v>291</v>
      </c>
      <c r="C32" s="1" t="s">
        <v>300</v>
      </c>
      <c r="D32" s="9">
        <v>64</v>
      </c>
      <c r="E32" s="9">
        <f>SUMIFS(Opportunity_SKU_Demand!$H$2:$H$195,Opportunity_SKU_Demand!$D$2:$D$195,$A32,Opportunity_SKU_Demand!$E$2:$E$195,$B32,Opportunity_SKU_Demand!$F$2:$F$195,$C32)</f>
        <v>140</v>
      </c>
      <c r="F32" s="9">
        <f>SUMIFS(Opportunity_SKU_Demand!$I$2:$I$195,Opportunity_SKU_Demand!$D$2:$D$195,$A32,Opportunity_SKU_Demand!$E$2:$E$195,$B32,Opportunity_SKU_Demand!$F$2:$F$195,$C32)</f>
        <v>8960</v>
      </c>
      <c r="G32" s="9">
        <f>COUNTIFS(Opportunity_SKU_Demand!$D$2:$D$195,$A32,Opportunity_SKU_Demand!$E$2:$E$195,$B32,Opportunity_SKU_Demand!$F$2:$F$195,$C32)</f>
        <v>2</v>
      </c>
    </row>
    <row r="33" spans="1:7" x14ac:dyDescent="0.25">
      <c r="A33" s="1" t="s">
        <v>214</v>
      </c>
      <c r="B33" s="1" t="s">
        <v>291</v>
      </c>
      <c r="C33" s="1" t="s">
        <v>351</v>
      </c>
      <c r="D33" s="9">
        <v>176</v>
      </c>
      <c r="E33" s="9">
        <f>SUMIFS(Opportunity_SKU_Demand!$H$2:$H$195,Opportunity_SKU_Demand!$D$2:$D$195,$A33,Opportunity_SKU_Demand!$E$2:$E$195,$B33,Opportunity_SKU_Demand!$F$2:$F$195,$C33)</f>
        <v>16</v>
      </c>
      <c r="F33" s="9">
        <f>SUMIFS(Opportunity_SKU_Demand!$I$2:$I$195,Opportunity_SKU_Demand!$D$2:$D$195,$A33,Opportunity_SKU_Demand!$E$2:$E$195,$B33,Opportunity_SKU_Demand!$F$2:$F$195,$C33)</f>
        <v>2816</v>
      </c>
      <c r="G33" s="9">
        <f>COUNTIFS(Opportunity_SKU_Demand!$D$2:$D$195,$A33,Opportunity_SKU_Demand!$E$2:$E$195,$B33,Opportunity_SKU_Demand!$F$2:$F$195,$C33)</f>
        <v>1</v>
      </c>
    </row>
    <row r="34" spans="1:7" x14ac:dyDescent="0.25">
      <c r="A34" s="1" t="s">
        <v>214</v>
      </c>
      <c r="B34" s="1" t="s">
        <v>291</v>
      </c>
      <c r="C34" s="1" t="s">
        <v>333</v>
      </c>
      <c r="D34" s="9">
        <v>16</v>
      </c>
      <c r="E34" s="9">
        <f>SUMIFS(Opportunity_SKU_Demand!$H$2:$H$195,Opportunity_SKU_Demand!$D$2:$D$195,$A34,Opportunity_SKU_Demand!$E$2:$E$195,$B34,Opportunity_SKU_Demand!$F$2:$F$195,$C34)</f>
        <v>10</v>
      </c>
      <c r="F34" s="9">
        <f>SUMIFS(Opportunity_SKU_Demand!$I$2:$I$195,Opportunity_SKU_Demand!$D$2:$D$195,$A34,Opportunity_SKU_Demand!$E$2:$E$195,$B34,Opportunity_SKU_Demand!$F$2:$F$195,$C34)</f>
        <v>160</v>
      </c>
      <c r="G34" s="9">
        <f>COUNTIFS(Opportunity_SKU_Demand!$D$2:$D$195,$A34,Opportunity_SKU_Demand!$E$2:$E$195,$B34,Opportunity_SKU_Demand!$F$2:$F$195,$C34)</f>
        <v>1</v>
      </c>
    </row>
    <row r="35" spans="1:7" x14ac:dyDescent="0.25">
      <c r="A35" s="1" t="s">
        <v>214</v>
      </c>
      <c r="B35" s="1" t="s">
        <v>299</v>
      </c>
      <c r="C35" s="1" t="s">
        <v>292</v>
      </c>
      <c r="D35" s="9">
        <v>16</v>
      </c>
      <c r="E35" s="9">
        <f>SUMIFS(Opportunity_SKU_Demand!$H$2:$H$195,Opportunity_SKU_Demand!$D$2:$D$195,$A35,Opportunity_SKU_Demand!$E$2:$E$195,$B35,Opportunity_SKU_Demand!$F$2:$F$195,$C35)</f>
        <v>108</v>
      </c>
      <c r="F35" s="9">
        <f>SUMIFS(Opportunity_SKU_Demand!$I$2:$I$195,Opportunity_SKU_Demand!$D$2:$D$195,$A35,Opportunity_SKU_Demand!$E$2:$E$195,$B35,Opportunity_SKU_Demand!$F$2:$F$195,$C35)</f>
        <v>1728</v>
      </c>
      <c r="G35" s="9">
        <f>COUNTIFS(Opportunity_SKU_Demand!$D$2:$D$195,$A35,Opportunity_SKU_Demand!$E$2:$E$195,$B35,Opportunity_SKU_Demand!$F$2:$F$195,$C35)</f>
        <v>2</v>
      </c>
    </row>
    <row r="36" spans="1:7" x14ac:dyDescent="0.25">
      <c r="A36" s="1" t="s">
        <v>214</v>
      </c>
      <c r="B36" s="1" t="s">
        <v>299</v>
      </c>
      <c r="C36" s="1" t="s">
        <v>366</v>
      </c>
      <c r="D36" s="9">
        <v>32</v>
      </c>
      <c r="E36" s="9">
        <f>SUMIFS(Opportunity_SKU_Demand!$H$2:$H$195,Opportunity_SKU_Demand!$D$2:$D$195,$A36,Opportunity_SKU_Demand!$E$2:$E$195,$B36,Opportunity_SKU_Demand!$F$2:$F$195,$C36)</f>
        <v>90</v>
      </c>
      <c r="F36" s="9">
        <f>SUMIFS(Opportunity_SKU_Demand!$I$2:$I$195,Opportunity_SKU_Demand!$D$2:$D$195,$A36,Opportunity_SKU_Demand!$E$2:$E$195,$B36,Opportunity_SKU_Demand!$F$2:$F$195,$C36)</f>
        <v>2880</v>
      </c>
      <c r="G36" s="9">
        <f>COUNTIFS(Opportunity_SKU_Demand!$D$2:$D$195,$A36,Opportunity_SKU_Demand!$E$2:$E$195,$B36,Opportunity_SKU_Demand!$F$2:$F$195,$C36)</f>
        <v>2</v>
      </c>
    </row>
    <row r="37" spans="1:7" x14ac:dyDescent="0.25">
      <c r="A37" s="1" t="s">
        <v>214</v>
      </c>
      <c r="B37" s="1" t="s">
        <v>299</v>
      </c>
      <c r="C37" s="1" t="s">
        <v>337</v>
      </c>
      <c r="D37" s="9">
        <v>32</v>
      </c>
      <c r="E37" s="9">
        <f>SUMIFS(Opportunity_SKU_Demand!$H$2:$H$195,Opportunity_SKU_Demand!$D$2:$D$195,$A37,Opportunity_SKU_Demand!$E$2:$E$195,$B37,Opportunity_SKU_Demand!$F$2:$F$195,$C37)</f>
        <v>48</v>
      </c>
      <c r="F37" s="9">
        <f>SUMIFS(Opportunity_SKU_Demand!$I$2:$I$195,Opportunity_SKU_Demand!$D$2:$D$195,$A37,Opportunity_SKU_Demand!$E$2:$E$195,$B37,Opportunity_SKU_Demand!$F$2:$F$195,$C37)</f>
        <v>1536</v>
      </c>
      <c r="G37" s="9">
        <f>COUNTIFS(Opportunity_SKU_Demand!$D$2:$D$195,$A37,Opportunity_SKU_Demand!$E$2:$E$195,$B37,Opportunity_SKU_Demand!$F$2:$F$195,$C37)</f>
        <v>1</v>
      </c>
    </row>
    <row r="38" spans="1:7" x14ac:dyDescent="0.25">
      <c r="A38" s="1" t="s">
        <v>214</v>
      </c>
      <c r="B38" s="1" t="s">
        <v>299</v>
      </c>
      <c r="C38" s="1" t="s">
        <v>340</v>
      </c>
      <c r="D38" s="9">
        <v>32</v>
      </c>
      <c r="E38" s="9">
        <f>SUMIFS(Opportunity_SKU_Demand!$H$2:$H$195,Opportunity_SKU_Demand!$D$2:$D$195,$A38,Opportunity_SKU_Demand!$E$2:$E$195,$B38,Opportunity_SKU_Demand!$F$2:$F$195,$C38)</f>
        <v>120</v>
      </c>
      <c r="F38" s="9">
        <f>SUMIFS(Opportunity_SKU_Demand!$I$2:$I$195,Opportunity_SKU_Demand!$D$2:$D$195,$A38,Opportunity_SKU_Demand!$E$2:$E$195,$B38,Opportunity_SKU_Demand!$F$2:$F$195,$C38)</f>
        <v>3840</v>
      </c>
      <c r="G38" s="9">
        <f>COUNTIFS(Opportunity_SKU_Demand!$D$2:$D$195,$A38,Opportunity_SKU_Demand!$E$2:$E$195,$B38,Opportunity_SKU_Demand!$F$2:$F$195,$C38)</f>
        <v>1</v>
      </c>
    </row>
    <row r="39" spans="1:7" x14ac:dyDescent="0.25">
      <c r="A39" s="1" t="s">
        <v>214</v>
      </c>
      <c r="B39" s="1" t="s">
        <v>299</v>
      </c>
      <c r="C39" s="1" t="s">
        <v>351</v>
      </c>
      <c r="D39" s="9">
        <v>176</v>
      </c>
      <c r="E39" s="9">
        <f>SUMIFS(Opportunity_SKU_Demand!$H$2:$H$195,Opportunity_SKU_Demand!$D$2:$D$195,$A39,Opportunity_SKU_Demand!$E$2:$E$195,$B39,Opportunity_SKU_Demand!$F$2:$F$195,$C39)</f>
        <v>12</v>
      </c>
      <c r="F39" s="9">
        <f>SUMIFS(Opportunity_SKU_Demand!$I$2:$I$195,Opportunity_SKU_Demand!$D$2:$D$195,$A39,Opportunity_SKU_Demand!$E$2:$E$195,$B39,Opportunity_SKU_Demand!$F$2:$F$195,$C39)</f>
        <v>2112</v>
      </c>
      <c r="G39" s="9">
        <f>COUNTIFS(Opportunity_SKU_Demand!$D$2:$D$195,$A39,Opportunity_SKU_Demand!$E$2:$E$195,$B39,Opportunity_SKU_Demand!$F$2:$F$195,$C39)</f>
        <v>1</v>
      </c>
    </row>
    <row r="40" spans="1:7" x14ac:dyDescent="0.25">
      <c r="A40" s="1" t="s">
        <v>214</v>
      </c>
      <c r="B40" s="1" t="s">
        <v>299</v>
      </c>
      <c r="C40" s="1" t="s">
        <v>333</v>
      </c>
      <c r="D40" s="9">
        <v>16</v>
      </c>
      <c r="E40" s="9">
        <f>SUMIFS(Opportunity_SKU_Demand!$H$2:$H$195,Opportunity_SKU_Demand!$D$2:$D$195,$A40,Opportunity_SKU_Demand!$E$2:$E$195,$B40,Opportunity_SKU_Demand!$F$2:$F$195,$C40)</f>
        <v>24</v>
      </c>
      <c r="F40" s="9">
        <f>SUMIFS(Opportunity_SKU_Demand!$I$2:$I$195,Opportunity_SKU_Demand!$D$2:$D$195,$A40,Opportunity_SKU_Demand!$E$2:$E$195,$B40,Opportunity_SKU_Demand!$F$2:$F$195,$C40)</f>
        <v>384</v>
      </c>
      <c r="G40" s="9">
        <f>COUNTIFS(Opportunity_SKU_Demand!$D$2:$D$195,$A40,Opportunity_SKU_Demand!$E$2:$E$195,$B40,Opportunity_SKU_Demand!$F$2:$F$195,$C40)</f>
        <v>1</v>
      </c>
    </row>
    <row r="41" spans="1:7" x14ac:dyDescent="0.25">
      <c r="A41" s="1" t="s">
        <v>235</v>
      </c>
      <c r="B41" s="1" t="s">
        <v>291</v>
      </c>
      <c r="C41" s="1" t="s">
        <v>326</v>
      </c>
      <c r="D41" s="9">
        <v>16</v>
      </c>
      <c r="E41" s="9">
        <f>SUMIFS(Opportunity_SKU_Demand!$H$2:$H$195,Opportunity_SKU_Demand!$D$2:$D$195,$A41,Opportunity_SKU_Demand!$E$2:$E$195,$B41,Opportunity_SKU_Demand!$F$2:$F$195,$C41)</f>
        <v>120</v>
      </c>
      <c r="F41" s="9">
        <f>SUMIFS(Opportunity_SKU_Demand!$I$2:$I$195,Opportunity_SKU_Demand!$D$2:$D$195,$A41,Opportunity_SKU_Demand!$E$2:$E$195,$B41,Opportunity_SKU_Demand!$F$2:$F$195,$C41)</f>
        <v>1920</v>
      </c>
      <c r="G41" s="9">
        <f>COUNTIFS(Opportunity_SKU_Demand!$D$2:$D$195,$A41,Opportunity_SKU_Demand!$E$2:$E$195,$B41,Opportunity_SKU_Demand!$F$2:$F$195,$C41)</f>
        <v>1</v>
      </c>
    </row>
    <row r="42" spans="1:7" x14ac:dyDescent="0.25">
      <c r="A42" s="1" t="s">
        <v>235</v>
      </c>
      <c r="B42" s="1" t="s">
        <v>291</v>
      </c>
      <c r="C42" s="1" t="s">
        <v>351</v>
      </c>
      <c r="D42" s="9">
        <v>176</v>
      </c>
      <c r="E42" s="9">
        <f>SUMIFS(Opportunity_SKU_Demand!$H$2:$H$195,Opportunity_SKU_Demand!$D$2:$D$195,$A42,Opportunity_SKU_Demand!$E$2:$E$195,$B42,Opportunity_SKU_Demand!$F$2:$F$195,$C42)</f>
        <v>12</v>
      </c>
      <c r="F42" s="9">
        <f>SUMIFS(Opportunity_SKU_Demand!$I$2:$I$195,Opportunity_SKU_Demand!$D$2:$D$195,$A42,Opportunity_SKU_Demand!$E$2:$E$195,$B42,Opportunity_SKU_Demand!$F$2:$F$195,$C42)</f>
        <v>2112</v>
      </c>
      <c r="G42" s="9">
        <f>COUNTIFS(Opportunity_SKU_Demand!$D$2:$D$195,$A42,Opportunity_SKU_Demand!$E$2:$E$195,$B42,Opportunity_SKU_Demand!$F$2:$F$195,$C42)</f>
        <v>1</v>
      </c>
    </row>
    <row r="43" spans="1:7" x14ac:dyDescent="0.25">
      <c r="A43" s="1" t="s">
        <v>235</v>
      </c>
      <c r="B43" s="1" t="s">
        <v>299</v>
      </c>
      <c r="C43" s="1" t="s">
        <v>317</v>
      </c>
      <c r="D43" s="9">
        <v>32</v>
      </c>
      <c r="E43" s="9">
        <f>SUMIFS(Opportunity_SKU_Demand!$H$2:$H$195,Opportunity_SKU_Demand!$D$2:$D$195,$A43,Opportunity_SKU_Demand!$E$2:$E$195,$B43,Opportunity_SKU_Demand!$F$2:$F$195,$C43)</f>
        <v>166</v>
      </c>
      <c r="F43" s="9">
        <f>SUMIFS(Opportunity_SKU_Demand!$I$2:$I$195,Opportunity_SKU_Demand!$D$2:$D$195,$A43,Opportunity_SKU_Demand!$E$2:$E$195,$B43,Opportunity_SKU_Demand!$F$2:$F$195,$C43)</f>
        <v>5312</v>
      </c>
      <c r="G43" s="9">
        <f>COUNTIFS(Opportunity_SKU_Demand!$D$2:$D$195,$A43,Opportunity_SKU_Demand!$E$2:$E$195,$B43,Opportunity_SKU_Demand!$F$2:$F$195,$C43)</f>
        <v>3</v>
      </c>
    </row>
    <row r="44" spans="1:7" x14ac:dyDescent="0.25">
      <c r="A44" s="1" t="s">
        <v>235</v>
      </c>
      <c r="B44" s="1" t="s">
        <v>299</v>
      </c>
      <c r="C44" s="1" t="s">
        <v>337</v>
      </c>
      <c r="D44" s="9">
        <v>32</v>
      </c>
      <c r="E44" s="9">
        <f>SUMIFS(Opportunity_SKU_Demand!$H$2:$H$195,Opportunity_SKU_Demand!$D$2:$D$195,$A44,Opportunity_SKU_Demand!$E$2:$E$195,$B44,Opportunity_SKU_Demand!$F$2:$F$195,$C44)</f>
        <v>90</v>
      </c>
      <c r="F44" s="9">
        <f>SUMIFS(Opportunity_SKU_Demand!$I$2:$I$195,Opportunity_SKU_Demand!$D$2:$D$195,$A44,Opportunity_SKU_Demand!$E$2:$E$195,$B44,Opportunity_SKU_Demand!$F$2:$F$195,$C44)</f>
        <v>2880</v>
      </c>
      <c r="G44" s="9">
        <f>COUNTIFS(Opportunity_SKU_Demand!$D$2:$D$195,$A44,Opportunity_SKU_Demand!$E$2:$E$195,$B44,Opportunity_SKU_Demand!$F$2:$F$195,$C44)</f>
        <v>1</v>
      </c>
    </row>
    <row r="45" spans="1:7" x14ac:dyDescent="0.25">
      <c r="A45" s="1" t="s">
        <v>235</v>
      </c>
      <c r="B45" s="1" t="s">
        <v>299</v>
      </c>
      <c r="C45" s="1" t="s">
        <v>300</v>
      </c>
      <c r="D45" s="9">
        <v>64</v>
      </c>
      <c r="E45" s="9">
        <f>SUMIFS(Opportunity_SKU_Demand!$H$2:$H$195,Opportunity_SKU_Demand!$D$2:$D$195,$A45,Opportunity_SKU_Demand!$E$2:$E$195,$B45,Opportunity_SKU_Demand!$F$2:$F$195,$C45)</f>
        <v>48</v>
      </c>
      <c r="F45" s="9">
        <f>SUMIFS(Opportunity_SKU_Demand!$I$2:$I$195,Opportunity_SKU_Demand!$D$2:$D$195,$A45,Opportunity_SKU_Demand!$E$2:$E$195,$B45,Opportunity_SKU_Demand!$F$2:$F$195,$C45)</f>
        <v>3072</v>
      </c>
      <c r="G45" s="9">
        <f>COUNTIFS(Opportunity_SKU_Demand!$D$2:$D$195,$A45,Opportunity_SKU_Demand!$E$2:$E$195,$B45,Opportunity_SKU_Demand!$F$2:$F$195,$C45)</f>
        <v>1</v>
      </c>
    </row>
    <row r="46" spans="1:7" x14ac:dyDescent="0.25">
      <c r="A46" s="1" t="s">
        <v>235</v>
      </c>
      <c r="B46" s="1" t="s">
        <v>299</v>
      </c>
      <c r="C46" s="1" t="s">
        <v>340</v>
      </c>
      <c r="D46" s="9">
        <v>32</v>
      </c>
      <c r="E46" s="9">
        <f>SUMIFS(Opportunity_SKU_Demand!$H$2:$H$195,Opportunity_SKU_Demand!$D$2:$D$195,$A46,Opportunity_SKU_Demand!$E$2:$E$195,$B46,Opportunity_SKU_Demand!$F$2:$F$195,$C46)</f>
        <v>30</v>
      </c>
      <c r="F46" s="9">
        <f>SUMIFS(Opportunity_SKU_Demand!$I$2:$I$195,Opportunity_SKU_Demand!$D$2:$D$195,$A46,Opportunity_SKU_Demand!$E$2:$E$195,$B46,Opportunity_SKU_Demand!$F$2:$F$195,$C46)</f>
        <v>960</v>
      </c>
      <c r="G46" s="9">
        <f>COUNTIFS(Opportunity_SKU_Demand!$D$2:$D$195,$A46,Opportunity_SKU_Demand!$E$2:$E$195,$B46,Opportunity_SKU_Demand!$F$2:$F$195,$C46)</f>
        <v>1</v>
      </c>
    </row>
    <row r="47" spans="1:7" x14ac:dyDescent="0.25">
      <c r="A47" s="1" t="s">
        <v>235</v>
      </c>
      <c r="B47" s="1" t="s">
        <v>299</v>
      </c>
      <c r="C47" s="1" t="s">
        <v>351</v>
      </c>
      <c r="D47" s="9">
        <v>176</v>
      </c>
      <c r="E47" s="9">
        <f>SUMIFS(Opportunity_SKU_Demand!$H$2:$H$195,Opportunity_SKU_Demand!$D$2:$D$195,$A47,Opportunity_SKU_Demand!$E$2:$E$195,$B47,Opportunity_SKU_Demand!$F$2:$F$195,$C47)</f>
        <v>24</v>
      </c>
      <c r="F47" s="9">
        <f>SUMIFS(Opportunity_SKU_Demand!$I$2:$I$195,Opportunity_SKU_Demand!$D$2:$D$195,$A47,Opportunity_SKU_Demand!$E$2:$E$195,$B47,Opportunity_SKU_Demand!$F$2:$F$195,$C47)</f>
        <v>4224</v>
      </c>
      <c r="G47" s="9">
        <f>COUNTIFS(Opportunity_SKU_Demand!$D$2:$D$195,$A47,Opportunity_SKU_Demand!$E$2:$E$195,$B47,Opportunity_SKU_Demand!$F$2:$F$195,$C47)</f>
        <v>1</v>
      </c>
    </row>
    <row r="48" spans="1:7" x14ac:dyDescent="0.25">
      <c r="A48" s="1" t="s">
        <v>235</v>
      </c>
      <c r="B48" s="1" t="s">
        <v>307</v>
      </c>
      <c r="C48" s="1" t="s">
        <v>402</v>
      </c>
      <c r="D48" s="9">
        <v>16</v>
      </c>
      <c r="E48" s="9">
        <f>SUMIFS(Opportunity_SKU_Demand!$H$2:$H$195,Opportunity_SKU_Demand!$D$2:$D$195,$A48,Opportunity_SKU_Demand!$E$2:$E$195,$B48,Opportunity_SKU_Demand!$F$2:$F$195,$C48)</f>
        <v>75</v>
      </c>
      <c r="F48" s="9">
        <f>SUMIFS(Opportunity_SKU_Demand!$I$2:$I$195,Opportunity_SKU_Demand!$D$2:$D$195,$A48,Opportunity_SKU_Demand!$E$2:$E$195,$B48,Opportunity_SKU_Demand!$F$2:$F$195,$C48)</f>
        <v>1200</v>
      </c>
      <c r="G48" s="9">
        <f>COUNTIFS(Opportunity_SKU_Demand!$D$2:$D$195,$A48,Opportunity_SKU_Demand!$E$2:$E$195,$B48,Opportunity_SKU_Demand!$F$2:$F$195,$C48)</f>
        <v>1</v>
      </c>
    </row>
    <row r="49" spans="1:7" x14ac:dyDescent="0.25">
      <c r="A49" s="1" t="s">
        <v>235</v>
      </c>
      <c r="B49" s="1" t="s">
        <v>307</v>
      </c>
      <c r="C49" s="1" t="s">
        <v>292</v>
      </c>
      <c r="D49" s="9">
        <v>16</v>
      </c>
      <c r="E49" s="9">
        <f>SUMIFS(Opportunity_SKU_Demand!$H$2:$H$195,Opportunity_SKU_Demand!$D$2:$D$195,$A49,Opportunity_SKU_Demand!$E$2:$E$195,$B49,Opportunity_SKU_Demand!$F$2:$F$195,$C49)</f>
        <v>24</v>
      </c>
      <c r="F49" s="9">
        <f>SUMIFS(Opportunity_SKU_Demand!$I$2:$I$195,Opportunity_SKU_Demand!$D$2:$D$195,$A49,Opportunity_SKU_Demand!$E$2:$E$195,$B49,Opportunity_SKU_Demand!$F$2:$F$195,$C49)</f>
        <v>384</v>
      </c>
      <c r="G49" s="9">
        <f>COUNTIFS(Opportunity_SKU_Demand!$D$2:$D$195,$A49,Opportunity_SKU_Demand!$E$2:$E$195,$B49,Opportunity_SKU_Demand!$F$2:$F$195,$C49)</f>
        <v>1</v>
      </c>
    </row>
    <row r="50" spans="1:7" x14ac:dyDescent="0.25">
      <c r="A50" s="1" t="s">
        <v>213</v>
      </c>
      <c r="B50" s="1" t="s">
        <v>291</v>
      </c>
      <c r="C50" s="1" t="s">
        <v>305</v>
      </c>
      <c r="D50" s="9">
        <v>8</v>
      </c>
      <c r="E50" s="9">
        <f>SUMIFS(Opportunity_SKU_Demand!$H$2:$H$195,Opportunity_SKU_Demand!$D$2:$D$195,$A50,Opportunity_SKU_Demand!$E$2:$E$195,$B50,Opportunity_SKU_Demand!$F$2:$F$195,$C50)</f>
        <v>60</v>
      </c>
      <c r="F50" s="9">
        <f>SUMIFS(Opportunity_SKU_Demand!$I$2:$I$195,Opportunity_SKU_Demand!$D$2:$D$195,$A50,Opportunity_SKU_Demand!$E$2:$E$195,$B50,Opportunity_SKU_Demand!$F$2:$F$195,$C50)</f>
        <v>480</v>
      </c>
      <c r="G50" s="9">
        <f>COUNTIFS(Opportunity_SKU_Demand!$D$2:$D$195,$A50,Opportunity_SKU_Demand!$E$2:$E$195,$B50,Opportunity_SKU_Demand!$F$2:$F$195,$C50)</f>
        <v>1</v>
      </c>
    </row>
    <row r="51" spans="1:7" x14ac:dyDescent="0.25">
      <c r="A51" s="1" t="s">
        <v>213</v>
      </c>
      <c r="B51" s="1" t="s">
        <v>291</v>
      </c>
      <c r="C51" s="1" t="s">
        <v>326</v>
      </c>
      <c r="D51" s="9">
        <v>16</v>
      </c>
      <c r="E51" s="9">
        <f>SUMIFS(Opportunity_SKU_Demand!$H$2:$H$195,Opportunity_SKU_Demand!$D$2:$D$195,$A51,Opportunity_SKU_Demand!$E$2:$E$195,$B51,Opportunity_SKU_Demand!$F$2:$F$195,$C51)</f>
        <v>48</v>
      </c>
      <c r="F51" s="9">
        <f>SUMIFS(Opportunity_SKU_Demand!$I$2:$I$195,Opportunity_SKU_Demand!$D$2:$D$195,$A51,Opportunity_SKU_Demand!$E$2:$E$195,$B51,Opportunity_SKU_Demand!$F$2:$F$195,$C51)</f>
        <v>768</v>
      </c>
      <c r="G51" s="9">
        <f>COUNTIFS(Opportunity_SKU_Demand!$D$2:$D$195,$A51,Opportunity_SKU_Demand!$E$2:$E$195,$B51,Opportunity_SKU_Demand!$F$2:$F$195,$C51)</f>
        <v>1</v>
      </c>
    </row>
    <row r="52" spans="1:7" x14ac:dyDescent="0.25">
      <c r="A52" s="1" t="s">
        <v>213</v>
      </c>
      <c r="B52" s="1" t="s">
        <v>291</v>
      </c>
      <c r="C52" s="1" t="s">
        <v>351</v>
      </c>
      <c r="D52" s="9">
        <v>176</v>
      </c>
      <c r="E52" s="9">
        <f>SUMIFS(Opportunity_SKU_Demand!$H$2:$H$195,Opportunity_SKU_Demand!$D$2:$D$195,$A52,Opportunity_SKU_Demand!$E$2:$E$195,$B52,Opportunity_SKU_Demand!$F$2:$F$195,$C52)</f>
        <v>16</v>
      </c>
      <c r="F52" s="9">
        <f>SUMIFS(Opportunity_SKU_Demand!$I$2:$I$195,Opportunity_SKU_Demand!$D$2:$D$195,$A52,Opportunity_SKU_Demand!$E$2:$E$195,$B52,Opportunity_SKU_Demand!$F$2:$F$195,$C52)</f>
        <v>2816</v>
      </c>
      <c r="G52" s="9">
        <f>COUNTIFS(Opportunity_SKU_Demand!$D$2:$D$195,$A52,Opportunity_SKU_Demand!$E$2:$E$195,$B52,Opportunity_SKU_Demand!$F$2:$F$195,$C52)</f>
        <v>1</v>
      </c>
    </row>
    <row r="53" spans="1:7" x14ac:dyDescent="0.25">
      <c r="A53" s="1" t="s">
        <v>213</v>
      </c>
      <c r="B53" s="1" t="s">
        <v>291</v>
      </c>
      <c r="C53" s="1" t="s">
        <v>382</v>
      </c>
      <c r="D53" s="9">
        <v>24</v>
      </c>
      <c r="E53" s="9">
        <f>SUMIFS(Opportunity_SKU_Demand!$H$2:$H$195,Opportunity_SKU_Demand!$D$2:$D$195,$A53,Opportunity_SKU_Demand!$E$2:$E$195,$B53,Opportunity_SKU_Demand!$F$2:$F$195,$C53)</f>
        <v>6</v>
      </c>
      <c r="F53" s="9">
        <f>SUMIFS(Opportunity_SKU_Demand!$I$2:$I$195,Opportunity_SKU_Demand!$D$2:$D$195,$A53,Opportunity_SKU_Demand!$E$2:$E$195,$B53,Opportunity_SKU_Demand!$F$2:$F$195,$C53)</f>
        <v>144</v>
      </c>
      <c r="G53" s="9">
        <f>COUNTIFS(Opportunity_SKU_Demand!$D$2:$D$195,$A53,Opportunity_SKU_Demand!$E$2:$E$195,$B53,Opportunity_SKU_Demand!$F$2:$F$195,$C53)</f>
        <v>1</v>
      </c>
    </row>
    <row r="54" spans="1:7" x14ac:dyDescent="0.25">
      <c r="A54" s="1" t="s">
        <v>213</v>
      </c>
      <c r="B54" s="1" t="s">
        <v>299</v>
      </c>
      <c r="C54" s="1" t="s">
        <v>402</v>
      </c>
      <c r="D54" s="9">
        <v>16</v>
      </c>
      <c r="E54" s="9">
        <f>SUMIFS(Opportunity_SKU_Demand!$H$2:$H$195,Opportunity_SKU_Demand!$D$2:$D$195,$A54,Opportunity_SKU_Demand!$E$2:$E$195,$B54,Opportunity_SKU_Demand!$F$2:$F$195,$C54)</f>
        <v>30</v>
      </c>
      <c r="F54" s="9">
        <f>SUMIFS(Opportunity_SKU_Demand!$I$2:$I$195,Opportunity_SKU_Demand!$D$2:$D$195,$A54,Opportunity_SKU_Demand!$E$2:$E$195,$B54,Opportunity_SKU_Demand!$F$2:$F$195,$C54)</f>
        <v>480</v>
      </c>
      <c r="G54" s="9">
        <f>COUNTIFS(Opportunity_SKU_Demand!$D$2:$D$195,$A54,Opportunity_SKU_Demand!$E$2:$E$195,$B54,Opportunity_SKU_Demand!$F$2:$F$195,$C54)</f>
        <v>1</v>
      </c>
    </row>
    <row r="55" spans="1:7" x14ac:dyDescent="0.25">
      <c r="A55" s="1" t="s">
        <v>213</v>
      </c>
      <c r="B55" s="1" t="s">
        <v>299</v>
      </c>
      <c r="C55" s="1" t="s">
        <v>326</v>
      </c>
      <c r="D55" s="9">
        <v>16</v>
      </c>
      <c r="E55" s="9">
        <f>SUMIFS(Opportunity_SKU_Demand!$H$2:$H$195,Opportunity_SKU_Demand!$D$2:$D$195,$A55,Opportunity_SKU_Demand!$E$2:$E$195,$B55,Opportunity_SKU_Demand!$F$2:$F$195,$C55)</f>
        <v>75</v>
      </c>
      <c r="F55" s="9">
        <f>SUMIFS(Opportunity_SKU_Demand!$I$2:$I$195,Opportunity_SKU_Demand!$D$2:$D$195,$A55,Opportunity_SKU_Demand!$E$2:$E$195,$B55,Opportunity_SKU_Demand!$F$2:$F$195,$C55)</f>
        <v>1200</v>
      </c>
      <c r="G55" s="9">
        <f>COUNTIFS(Opportunity_SKU_Demand!$D$2:$D$195,$A55,Opportunity_SKU_Demand!$E$2:$E$195,$B55,Opportunity_SKU_Demand!$F$2:$F$195,$C55)</f>
        <v>1</v>
      </c>
    </row>
    <row r="56" spans="1:7" x14ac:dyDescent="0.25">
      <c r="A56" s="1" t="s">
        <v>213</v>
      </c>
      <c r="B56" s="1" t="s">
        <v>299</v>
      </c>
      <c r="C56" s="1" t="s">
        <v>337</v>
      </c>
      <c r="D56" s="9">
        <v>32</v>
      </c>
      <c r="E56" s="9">
        <f>SUMIFS(Opportunity_SKU_Demand!$H$2:$H$195,Opportunity_SKU_Demand!$D$2:$D$195,$A56,Opportunity_SKU_Demand!$E$2:$E$195,$B56,Opportunity_SKU_Demand!$F$2:$F$195,$C56)</f>
        <v>144</v>
      </c>
      <c r="F56" s="9">
        <f>SUMIFS(Opportunity_SKU_Demand!$I$2:$I$195,Opportunity_SKU_Demand!$D$2:$D$195,$A56,Opportunity_SKU_Demand!$E$2:$E$195,$B56,Opportunity_SKU_Demand!$F$2:$F$195,$C56)</f>
        <v>4608</v>
      </c>
      <c r="G56" s="9">
        <f>COUNTIFS(Opportunity_SKU_Demand!$D$2:$D$195,$A56,Opportunity_SKU_Demand!$E$2:$E$195,$B56,Opportunity_SKU_Demand!$F$2:$F$195,$C56)</f>
        <v>2</v>
      </c>
    </row>
    <row r="57" spans="1:7" x14ac:dyDescent="0.25">
      <c r="A57" s="1" t="s">
        <v>213</v>
      </c>
      <c r="B57" s="1" t="s">
        <v>299</v>
      </c>
      <c r="C57" s="1" t="s">
        <v>300</v>
      </c>
      <c r="D57" s="9">
        <v>64</v>
      </c>
      <c r="E57" s="9">
        <f>SUMIFS(Opportunity_SKU_Demand!$H$2:$H$195,Opportunity_SKU_Demand!$D$2:$D$195,$A57,Opportunity_SKU_Demand!$E$2:$E$195,$B57,Opportunity_SKU_Demand!$F$2:$F$195,$C57)</f>
        <v>40</v>
      </c>
      <c r="F57" s="9">
        <f>SUMIFS(Opportunity_SKU_Demand!$I$2:$I$195,Opportunity_SKU_Demand!$D$2:$D$195,$A57,Opportunity_SKU_Demand!$E$2:$E$195,$B57,Opportunity_SKU_Demand!$F$2:$F$195,$C57)</f>
        <v>2560</v>
      </c>
      <c r="G57" s="9">
        <f>COUNTIFS(Opportunity_SKU_Demand!$D$2:$D$195,$A57,Opportunity_SKU_Demand!$E$2:$E$195,$B57,Opportunity_SKU_Demand!$F$2:$F$195,$C57)</f>
        <v>2</v>
      </c>
    </row>
    <row r="58" spans="1:7" x14ac:dyDescent="0.25">
      <c r="A58" s="1" t="s">
        <v>213</v>
      </c>
      <c r="B58" s="1" t="s">
        <v>299</v>
      </c>
      <c r="C58" s="1" t="s">
        <v>321</v>
      </c>
      <c r="D58" s="9">
        <v>128</v>
      </c>
      <c r="E58" s="9">
        <f>SUMIFS(Opportunity_SKU_Demand!$H$2:$H$195,Opportunity_SKU_Demand!$D$2:$D$195,$A58,Opportunity_SKU_Demand!$E$2:$E$195,$B58,Opportunity_SKU_Demand!$F$2:$F$195,$C58)</f>
        <v>6</v>
      </c>
      <c r="F58" s="9">
        <f>SUMIFS(Opportunity_SKU_Demand!$I$2:$I$195,Opportunity_SKU_Demand!$D$2:$D$195,$A58,Opportunity_SKU_Demand!$E$2:$E$195,$B58,Opportunity_SKU_Demand!$F$2:$F$195,$C58)</f>
        <v>768</v>
      </c>
      <c r="G58" s="9">
        <f>COUNTIFS(Opportunity_SKU_Demand!$D$2:$D$195,$A58,Opportunity_SKU_Demand!$E$2:$E$195,$B58,Opportunity_SKU_Demand!$F$2:$F$195,$C58)</f>
        <v>1</v>
      </c>
    </row>
    <row r="59" spans="1:7" x14ac:dyDescent="0.25">
      <c r="A59" s="1" t="s">
        <v>213</v>
      </c>
      <c r="B59" s="1" t="s">
        <v>299</v>
      </c>
      <c r="C59" s="1" t="s">
        <v>382</v>
      </c>
      <c r="D59" s="9">
        <v>24</v>
      </c>
      <c r="E59" s="9">
        <f>SUMIFS(Opportunity_SKU_Demand!$H$2:$H$195,Opportunity_SKU_Demand!$D$2:$D$195,$A59,Opportunity_SKU_Demand!$E$2:$E$195,$B59,Opportunity_SKU_Demand!$F$2:$F$195,$C59)</f>
        <v>24</v>
      </c>
      <c r="F59" s="9">
        <f>SUMIFS(Opportunity_SKU_Demand!$I$2:$I$195,Opportunity_SKU_Demand!$D$2:$D$195,$A59,Opportunity_SKU_Demand!$E$2:$E$195,$B59,Opportunity_SKU_Demand!$F$2:$F$195,$C59)</f>
        <v>576</v>
      </c>
      <c r="G59" s="9">
        <f>COUNTIFS(Opportunity_SKU_Demand!$D$2:$D$195,$A59,Opportunity_SKU_Demand!$E$2:$E$195,$B59,Opportunity_SKU_Demand!$F$2:$F$195,$C59)</f>
        <v>1</v>
      </c>
    </row>
    <row r="60" spans="1:7" x14ac:dyDescent="0.25">
      <c r="A60" s="1" t="s">
        <v>213</v>
      </c>
      <c r="B60" s="1" t="s">
        <v>299</v>
      </c>
      <c r="C60" s="1" t="s">
        <v>330</v>
      </c>
      <c r="D60" s="9">
        <v>40</v>
      </c>
      <c r="E60" s="9">
        <f>SUMIFS(Opportunity_SKU_Demand!$H$2:$H$195,Opportunity_SKU_Demand!$D$2:$D$195,$A60,Opportunity_SKU_Demand!$E$2:$E$195,$B60,Opportunity_SKU_Demand!$F$2:$F$195,$C60)</f>
        <v>10</v>
      </c>
      <c r="F60" s="9">
        <f>SUMIFS(Opportunity_SKU_Demand!$I$2:$I$195,Opportunity_SKU_Demand!$D$2:$D$195,$A60,Opportunity_SKU_Demand!$E$2:$E$195,$B60,Opportunity_SKU_Demand!$F$2:$F$195,$C60)</f>
        <v>400</v>
      </c>
      <c r="G60" s="9">
        <f>COUNTIFS(Opportunity_SKU_Demand!$D$2:$D$195,$A60,Opportunity_SKU_Demand!$E$2:$E$195,$B60,Opportunity_SKU_Demand!$F$2:$F$195,$C60)</f>
        <v>1</v>
      </c>
    </row>
    <row r="61" spans="1:7" x14ac:dyDescent="0.25">
      <c r="A61" s="1" t="s">
        <v>213</v>
      </c>
      <c r="B61" s="1" t="s">
        <v>299</v>
      </c>
      <c r="C61" s="1" t="s">
        <v>313</v>
      </c>
      <c r="D61" s="9">
        <v>96</v>
      </c>
      <c r="E61" s="9">
        <f>SUMIFS(Opportunity_SKU_Demand!$H$2:$H$195,Opportunity_SKU_Demand!$D$2:$D$195,$A61,Opportunity_SKU_Demand!$E$2:$E$195,$B61,Opportunity_SKU_Demand!$F$2:$F$195,$C61)</f>
        <v>24</v>
      </c>
      <c r="F61" s="9">
        <f>SUMIFS(Opportunity_SKU_Demand!$I$2:$I$195,Opportunity_SKU_Demand!$D$2:$D$195,$A61,Opportunity_SKU_Demand!$E$2:$E$195,$B61,Opportunity_SKU_Demand!$F$2:$F$195,$C61)</f>
        <v>2304</v>
      </c>
      <c r="G61" s="9">
        <f>COUNTIFS(Opportunity_SKU_Demand!$D$2:$D$195,$A61,Opportunity_SKU_Demand!$E$2:$E$195,$B61,Opportunity_SKU_Demand!$F$2:$F$195,$C61)</f>
        <v>1</v>
      </c>
    </row>
    <row r="62" spans="1:7" x14ac:dyDescent="0.25">
      <c r="A62" s="1" t="s">
        <v>213</v>
      </c>
      <c r="B62" s="1" t="s">
        <v>307</v>
      </c>
      <c r="C62" s="1" t="s">
        <v>366</v>
      </c>
      <c r="D62" s="9">
        <v>32</v>
      </c>
      <c r="E62" s="9">
        <f>SUMIFS(Opportunity_SKU_Demand!$H$2:$H$195,Opportunity_SKU_Demand!$D$2:$D$195,$A62,Opportunity_SKU_Demand!$E$2:$E$195,$B62,Opportunity_SKU_Demand!$F$2:$F$195,$C62)</f>
        <v>40</v>
      </c>
      <c r="F62" s="9">
        <f>SUMIFS(Opportunity_SKU_Demand!$I$2:$I$195,Opportunity_SKU_Demand!$D$2:$D$195,$A62,Opportunity_SKU_Demand!$E$2:$E$195,$B62,Opportunity_SKU_Demand!$F$2:$F$195,$C62)</f>
        <v>1280</v>
      </c>
      <c r="G62" s="9">
        <f>COUNTIFS(Opportunity_SKU_Demand!$D$2:$D$195,$A62,Opportunity_SKU_Demand!$E$2:$E$195,$B62,Opportunity_SKU_Demand!$F$2:$F$195,$C62)</f>
        <v>1</v>
      </c>
    </row>
    <row r="63" spans="1:7" x14ac:dyDescent="0.25">
      <c r="A63" s="1" t="s">
        <v>213</v>
      </c>
      <c r="B63" s="1" t="s">
        <v>307</v>
      </c>
      <c r="C63" s="1" t="s">
        <v>337</v>
      </c>
      <c r="D63" s="9">
        <v>32</v>
      </c>
      <c r="E63" s="9">
        <f>SUMIFS(Opportunity_SKU_Demand!$H$2:$H$195,Opportunity_SKU_Demand!$D$2:$D$195,$A63,Opportunity_SKU_Demand!$E$2:$E$195,$B63,Opportunity_SKU_Demand!$F$2:$F$195,$C63)</f>
        <v>75</v>
      </c>
      <c r="F63" s="9">
        <f>SUMIFS(Opportunity_SKU_Demand!$I$2:$I$195,Opportunity_SKU_Demand!$D$2:$D$195,$A63,Opportunity_SKU_Demand!$E$2:$E$195,$B63,Opportunity_SKU_Demand!$F$2:$F$195,$C63)</f>
        <v>2400</v>
      </c>
      <c r="G63" s="9">
        <f>COUNTIFS(Opportunity_SKU_Demand!$D$2:$D$195,$A63,Opportunity_SKU_Demand!$E$2:$E$195,$B63,Opportunity_SKU_Demand!$F$2:$F$195,$C63)</f>
        <v>1</v>
      </c>
    </row>
    <row r="64" spans="1:7" x14ac:dyDescent="0.25">
      <c r="A64" s="1" t="s">
        <v>213</v>
      </c>
      <c r="B64" s="1" t="s">
        <v>307</v>
      </c>
      <c r="C64" s="1" t="s">
        <v>340</v>
      </c>
      <c r="D64" s="9">
        <v>32</v>
      </c>
      <c r="E64" s="9">
        <f>SUMIFS(Opportunity_SKU_Demand!$H$2:$H$195,Opportunity_SKU_Demand!$D$2:$D$195,$A64,Opportunity_SKU_Demand!$E$2:$E$195,$B64,Opportunity_SKU_Demand!$F$2:$F$195,$C64)</f>
        <v>16</v>
      </c>
      <c r="F64" s="9">
        <f>SUMIFS(Opportunity_SKU_Demand!$I$2:$I$195,Opportunity_SKU_Demand!$D$2:$D$195,$A64,Opportunity_SKU_Demand!$E$2:$E$195,$B64,Opportunity_SKU_Demand!$F$2:$F$195,$C64)</f>
        <v>512</v>
      </c>
      <c r="G64" s="9">
        <f>COUNTIFS(Opportunity_SKU_Demand!$D$2:$D$195,$A64,Opportunity_SKU_Demand!$E$2:$E$195,$B64,Opportunity_SKU_Demand!$F$2:$F$195,$C64)</f>
        <v>1</v>
      </c>
    </row>
    <row r="65" spans="1:7" x14ac:dyDescent="0.25">
      <c r="A65" s="1" t="s">
        <v>202</v>
      </c>
      <c r="B65" s="1" t="s">
        <v>291</v>
      </c>
      <c r="C65" s="1" t="s">
        <v>402</v>
      </c>
      <c r="D65" s="9">
        <v>16</v>
      </c>
      <c r="E65" s="9">
        <f>SUMIFS(Opportunity_SKU_Demand!$H$2:$H$195,Opportunity_SKU_Demand!$D$2:$D$195,$A65,Opportunity_SKU_Demand!$E$2:$E$195,$B65,Opportunity_SKU_Demand!$F$2:$F$195,$C65)</f>
        <v>30</v>
      </c>
      <c r="F65" s="9">
        <f>SUMIFS(Opportunity_SKU_Demand!$I$2:$I$195,Opportunity_SKU_Demand!$D$2:$D$195,$A65,Opportunity_SKU_Demand!$E$2:$E$195,$B65,Opportunity_SKU_Demand!$F$2:$F$195,$C65)</f>
        <v>480</v>
      </c>
      <c r="G65" s="9">
        <f>COUNTIFS(Opportunity_SKU_Demand!$D$2:$D$195,$A65,Opportunity_SKU_Demand!$E$2:$E$195,$B65,Opportunity_SKU_Demand!$F$2:$F$195,$C65)</f>
        <v>1</v>
      </c>
    </row>
    <row r="66" spans="1:7" x14ac:dyDescent="0.25">
      <c r="A66" s="1" t="s">
        <v>202</v>
      </c>
      <c r="B66" s="1" t="s">
        <v>291</v>
      </c>
      <c r="C66" s="1" t="s">
        <v>317</v>
      </c>
      <c r="D66" s="9">
        <v>32</v>
      </c>
      <c r="E66" s="9">
        <f>SUMIFS(Opportunity_SKU_Demand!$H$2:$H$195,Opportunity_SKU_Demand!$D$2:$D$195,$A66,Opportunity_SKU_Demand!$E$2:$E$195,$B66,Opportunity_SKU_Demand!$F$2:$F$195,$C66)</f>
        <v>120</v>
      </c>
      <c r="F66" s="9">
        <f>SUMIFS(Opportunity_SKU_Demand!$I$2:$I$195,Opportunity_SKU_Demand!$D$2:$D$195,$A66,Opportunity_SKU_Demand!$E$2:$E$195,$B66,Opportunity_SKU_Demand!$F$2:$F$195,$C66)</f>
        <v>3840</v>
      </c>
      <c r="G66" s="9">
        <f>COUNTIFS(Opportunity_SKU_Demand!$D$2:$D$195,$A66,Opportunity_SKU_Demand!$E$2:$E$195,$B66,Opportunity_SKU_Demand!$F$2:$F$195,$C66)</f>
        <v>1</v>
      </c>
    </row>
    <row r="67" spans="1:7" x14ac:dyDescent="0.25">
      <c r="A67" s="1" t="s">
        <v>202</v>
      </c>
      <c r="B67" s="1" t="s">
        <v>299</v>
      </c>
      <c r="C67" s="1" t="s">
        <v>337</v>
      </c>
      <c r="D67" s="9">
        <v>32</v>
      </c>
      <c r="E67" s="9">
        <f>SUMIFS(Opportunity_SKU_Demand!$H$2:$H$195,Opportunity_SKU_Demand!$D$2:$D$195,$A67,Opportunity_SKU_Demand!$E$2:$E$195,$B67,Opportunity_SKU_Demand!$F$2:$F$195,$C67)</f>
        <v>70</v>
      </c>
      <c r="F67" s="9">
        <f>SUMIFS(Opportunity_SKU_Demand!$I$2:$I$195,Opportunity_SKU_Demand!$D$2:$D$195,$A67,Opportunity_SKU_Demand!$E$2:$E$195,$B67,Opportunity_SKU_Demand!$F$2:$F$195,$C67)</f>
        <v>2240</v>
      </c>
      <c r="G67" s="9">
        <f>COUNTIFS(Opportunity_SKU_Demand!$D$2:$D$195,$A67,Opportunity_SKU_Demand!$E$2:$E$195,$B67,Opportunity_SKU_Demand!$F$2:$F$195,$C67)</f>
        <v>2</v>
      </c>
    </row>
    <row r="68" spans="1:7" x14ac:dyDescent="0.25">
      <c r="A68" s="1" t="s">
        <v>202</v>
      </c>
      <c r="B68" s="1" t="s">
        <v>307</v>
      </c>
      <c r="C68" s="1" t="s">
        <v>317</v>
      </c>
      <c r="D68" s="9">
        <v>32</v>
      </c>
      <c r="E68" s="9">
        <f>SUMIFS(Opportunity_SKU_Demand!$H$2:$H$195,Opportunity_SKU_Demand!$D$2:$D$195,$A68,Opportunity_SKU_Demand!$E$2:$E$195,$B68,Opportunity_SKU_Demand!$F$2:$F$195,$C68)</f>
        <v>20</v>
      </c>
      <c r="F68" s="9">
        <f>SUMIFS(Opportunity_SKU_Demand!$I$2:$I$195,Opportunity_SKU_Demand!$D$2:$D$195,$A68,Opportunity_SKU_Demand!$E$2:$E$195,$B68,Opportunity_SKU_Demand!$F$2:$F$195,$C68)</f>
        <v>640</v>
      </c>
      <c r="G68" s="9">
        <f>COUNTIFS(Opportunity_SKU_Demand!$D$2:$D$195,$A68,Opportunity_SKU_Demand!$E$2:$E$195,$B68,Opportunity_SKU_Demand!$F$2:$F$195,$C68)</f>
        <v>1</v>
      </c>
    </row>
    <row r="69" spans="1:7" x14ac:dyDescent="0.25">
      <c r="A69" s="1" t="s">
        <v>202</v>
      </c>
      <c r="B69" s="1" t="s">
        <v>307</v>
      </c>
      <c r="C69" s="1" t="s">
        <v>308</v>
      </c>
      <c r="D69" s="9">
        <v>64</v>
      </c>
      <c r="E69" s="9">
        <f>SUMIFS(Opportunity_SKU_Demand!$H$2:$H$195,Opportunity_SKU_Demand!$D$2:$D$195,$A69,Opportunity_SKU_Demand!$E$2:$E$195,$B69,Opportunity_SKU_Demand!$F$2:$F$195,$C69)</f>
        <v>16</v>
      </c>
      <c r="F69" s="9">
        <f>SUMIFS(Opportunity_SKU_Demand!$I$2:$I$195,Opportunity_SKU_Demand!$D$2:$D$195,$A69,Opportunity_SKU_Demand!$E$2:$E$195,$B69,Opportunity_SKU_Demand!$F$2:$F$195,$C69)</f>
        <v>1024</v>
      </c>
      <c r="G69" s="9">
        <f>COUNTIFS(Opportunity_SKU_Demand!$D$2:$D$195,$A69,Opportunity_SKU_Demand!$E$2:$E$195,$B69,Opportunity_SKU_Demand!$F$2:$F$195,$C69)</f>
        <v>1</v>
      </c>
    </row>
    <row r="70" spans="1:7" x14ac:dyDescent="0.25">
      <c r="A70" s="1" t="s">
        <v>202</v>
      </c>
      <c r="B70" s="1" t="s">
        <v>307</v>
      </c>
      <c r="C70" s="1" t="s">
        <v>337</v>
      </c>
      <c r="D70" s="9">
        <v>32</v>
      </c>
      <c r="E70" s="9">
        <f>SUMIFS(Opportunity_SKU_Demand!$H$2:$H$195,Opportunity_SKU_Demand!$D$2:$D$195,$A70,Opportunity_SKU_Demand!$E$2:$E$195,$B70,Opportunity_SKU_Demand!$F$2:$F$195,$C70)</f>
        <v>16</v>
      </c>
      <c r="F70" s="9">
        <f>SUMIFS(Opportunity_SKU_Demand!$I$2:$I$195,Opportunity_SKU_Demand!$D$2:$D$195,$A70,Opportunity_SKU_Demand!$E$2:$E$195,$B70,Opportunity_SKU_Demand!$F$2:$F$195,$C70)</f>
        <v>512</v>
      </c>
      <c r="G70" s="9">
        <f>COUNTIFS(Opportunity_SKU_Demand!$D$2:$D$195,$A70,Opportunity_SKU_Demand!$E$2:$E$195,$B70,Opportunity_SKU_Demand!$F$2:$F$195,$C70)</f>
        <v>1</v>
      </c>
    </row>
    <row r="71" spans="1:7" x14ac:dyDescent="0.25">
      <c r="A71" s="1" t="s">
        <v>198</v>
      </c>
      <c r="B71" s="1" t="s">
        <v>291</v>
      </c>
      <c r="C71" s="1" t="s">
        <v>292</v>
      </c>
      <c r="D71" s="9">
        <v>16</v>
      </c>
      <c r="E71" s="9">
        <f>SUMIFS(Opportunity_SKU_Demand!$H$2:$H$195,Opportunity_SKU_Demand!$D$2:$D$195,$A71,Opportunity_SKU_Demand!$E$2:$E$195,$B71,Opportunity_SKU_Demand!$F$2:$F$195,$C71)</f>
        <v>76</v>
      </c>
      <c r="F71" s="9">
        <f>SUMIFS(Opportunity_SKU_Demand!$I$2:$I$195,Opportunity_SKU_Demand!$D$2:$D$195,$A71,Opportunity_SKU_Demand!$E$2:$E$195,$B71,Opportunity_SKU_Demand!$F$2:$F$195,$C71)</f>
        <v>1216</v>
      </c>
      <c r="G71" s="9">
        <f>COUNTIFS(Opportunity_SKU_Demand!$D$2:$D$195,$A71,Opportunity_SKU_Demand!$E$2:$E$195,$B71,Opportunity_SKU_Demand!$F$2:$F$195,$C71)</f>
        <v>2</v>
      </c>
    </row>
    <row r="72" spans="1:7" x14ac:dyDescent="0.25">
      <c r="A72" s="1" t="s">
        <v>198</v>
      </c>
      <c r="B72" s="1" t="s">
        <v>291</v>
      </c>
      <c r="C72" s="1" t="s">
        <v>308</v>
      </c>
      <c r="D72" s="9">
        <v>64</v>
      </c>
      <c r="E72" s="9">
        <f>SUMIFS(Opportunity_SKU_Demand!$H$2:$H$195,Opportunity_SKU_Demand!$D$2:$D$195,$A72,Opportunity_SKU_Demand!$E$2:$E$195,$B72,Opportunity_SKU_Demand!$F$2:$F$195,$C72)</f>
        <v>150</v>
      </c>
      <c r="F72" s="9">
        <f>SUMIFS(Opportunity_SKU_Demand!$I$2:$I$195,Opportunity_SKU_Demand!$D$2:$D$195,$A72,Opportunity_SKU_Demand!$E$2:$E$195,$B72,Opportunity_SKU_Demand!$F$2:$F$195,$C72)</f>
        <v>9600</v>
      </c>
      <c r="G72" s="9">
        <f>COUNTIFS(Opportunity_SKU_Demand!$D$2:$D$195,$A72,Opportunity_SKU_Demand!$E$2:$E$195,$B72,Opportunity_SKU_Demand!$F$2:$F$195,$C72)</f>
        <v>2</v>
      </c>
    </row>
    <row r="73" spans="1:7" x14ac:dyDescent="0.25">
      <c r="A73" s="1" t="s">
        <v>198</v>
      </c>
      <c r="B73" s="1" t="s">
        <v>291</v>
      </c>
      <c r="C73" s="1" t="s">
        <v>305</v>
      </c>
      <c r="D73" s="9">
        <v>8</v>
      </c>
      <c r="E73" s="9">
        <f>SUMIFS(Opportunity_SKU_Demand!$H$2:$H$195,Opportunity_SKU_Demand!$D$2:$D$195,$A73,Opportunity_SKU_Demand!$E$2:$E$195,$B73,Opportunity_SKU_Demand!$F$2:$F$195,$C73)</f>
        <v>40</v>
      </c>
      <c r="F73" s="9">
        <f>SUMIFS(Opportunity_SKU_Demand!$I$2:$I$195,Opportunity_SKU_Demand!$D$2:$D$195,$A73,Opportunity_SKU_Demand!$E$2:$E$195,$B73,Opportunity_SKU_Demand!$F$2:$F$195,$C73)</f>
        <v>320</v>
      </c>
      <c r="G73" s="9">
        <f>COUNTIFS(Opportunity_SKU_Demand!$D$2:$D$195,$A73,Opportunity_SKU_Demand!$E$2:$E$195,$B73,Opportunity_SKU_Demand!$F$2:$F$195,$C73)</f>
        <v>2</v>
      </c>
    </row>
    <row r="74" spans="1:7" x14ac:dyDescent="0.25">
      <c r="A74" s="1" t="s">
        <v>198</v>
      </c>
      <c r="B74" s="1" t="s">
        <v>291</v>
      </c>
      <c r="C74" s="1" t="s">
        <v>300</v>
      </c>
      <c r="D74" s="9">
        <v>64</v>
      </c>
      <c r="E74" s="9">
        <f>SUMIFS(Opportunity_SKU_Demand!$H$2:$H$195,Opportunity_SKU_Demand!$D$2:$D$195,$A74,Opportunity_SKU_Demand!$E$2:$E$195,$B74,Opportunity_SKU_Demand!$F$2:$F$195,$C74)</f>
        <v>84</v>
      </c>
      <c r="F74" s="9">
        <f>SUMIFS(Opportunity_SKU_Demand!$I$2:$I$195,Opportunity_SKU_Demand!$D$2:$D$195,$A74,Opportunity_SKU_Demand!$E$2:$E$195,$B74,Opportunity_SKU_Demand!$F$2:$F$195,$C74)</f>
        <v>5376</v>
      </c>
      <c r="G74" s="9">
        <f>COUNTIFS(Opportunity_SKU_Demand!$D$2:$D$195,$A74,Opportunity_SKU_Demand!$E$2:$E$195,$B74,Opportunity_SKU_Demand!$F$2:$F$195,$C74)</f>
        <v>2</v>
      </c>
    </row>
    <row r="75" spans="1:7" x14ac:dyDescent="0.25">
      <c r="A75" s="1" t="s">
        <v>198</v>
      </c>
      <c r="B75" s="1" t="s">
        <v>291</v>
      </c>
      <c r="C75" s="1" t="s">
        <v>333</v>
      </c>
      <c r="D75" s="9">
        <v>16</v>
      </c>
      <c r="E75" s="9">
        <f>SUMIFS(Opportunity_SKU_Demand!$H$2:$H$195,Opportunity_SKU_Demand!$D$2:$D$195,$A75,Opportunity_SKU_Demand!$E$2:$E$195,$B75,Opportunity_SKU_Demand!$F$2:$F$195,$C75)</f>
        <v>120</v>
      </c>
      <c r="F75" s="9">
        <f>SUMIFS(Opportunity_SKU_Demand!$I$2:$I$195,Opportunity_SKU_Demand!$D$2:$D$195,$A75,Opportunity_SKU_Demand!$E$2:$E$195,$B75,Opportunity_SKU_Demand!$F$2:$F$195,$C75)</f>
        <v>1920</v>
      </c>
      <c r="G75" s="9">
        <f>COUNTIFS(Opportunity_SKU_Demand!$D$2:$D$195,$A75,Opportunity_SKU_Demand!$E$2:$E$195,$B75,Opportunity_SKU_Demand!$F$2:$F$195,$C75)</f>
        <v>1</v>
      </c>
    </row>
    <row r="76" spans="1:7" x14ac:dyDescent="0.25">
      <c r="A76" s="1" t="s">
        <v>198</v>
      </c>
      <c r="B76" s="1" t="s">
        <v>291</v>
      </c>
      <c r="C76" s="1" t="s">
        <v>382</v>
      </c>
      <c r="D76" s="9">
        <v>24</v>
      </c>
      <c r="E76" s="9">
        <f>SUMIFS(Opportunity_SKU_Demand!$H$2:$H$195,Opportunity_SKU_Demand!$D$2:$D$195,$A76,Opportunity_SKU_Demand!$E$2:$E$195,$B76,Opportunity_SKU_Demand!$F$2:$F$195,$C76)</f>
        <v>32</v>
      </c>
      <c r="F76" s="9">
        <f>SUMIFS(Opportunity_SKU_Demand!$I$2:$I$195,Opportunity_SKU_Demand!$D$2:$D$195,$A76,Opportunity_SKU_Demand!$E$2:$E$195,$B76,Opportunity_SKU_Demand!$F$2:$F$195,$C76)</f>
        <v>768</v>
      </c>
      <c r="G76" s="9">
        <f>COUNTIFS(Opportunity_SKU_Demand!$D$2:$D$195,$A76,Opportunity_SKU_Demand!$E$2:$E$195,$B76,Opportunity_SKU_Demand!$F$2:$F$195,$C76)</f>
        <v>1</v>
      </c>
    </row>
    <row r="77" spans="1:7" x14ac:dyDescent="0.25">
      <c r="A77" s="1" t="s">
        <v>198</v>
      </c>
      <c r="B77" s="1" t="s">
        <v>291</v>
      </c>
      <c r="C77" s="1" t="s">
        <v>330</v>
      </c>
      <c r="D77" s="9">
        <v>40</v>
      </c>
      <c r="E77" s="9">
        <f>SUMIFS(Opportunity_SKU_Demand!$H$2:$H$195,Opportunity_SKU_Demand!$D$2:$D$195,$A77,Opportunity_SKU_Demand!$E$2:$E$195,$B77,Opportunity_SKU_Demand!$F$2:$F$195,$C77)</f>
        <v>20</v>
      </c>
      <c r="F77" s="9">
        <f>SUMIFS(Opportunity_SKU_Demand!$I$2:$I$195,Opportunity_SKU_Demand!$D$2:$D$195,$A77,Opportunity_SKU_Demand!$E$2:$E$195,$B77,Opportunity_SKU_Demand!$F$2:$F$195,$C77)</f>
        <v>800</v>
      </c>
      <c r="G77" s="9">
        <f>COUNTIFS(Opportunity_SKU_Demand!$D$2:$D$195,$A77,Opportunity_SKU_Demand!$E$2:$E$195,$B77,Opportunity_SKU_Demand!$F$2:$F$195,$C77)</f>
        <v>2</v>
      </c>
    </row>
    <row r="78" spans="1:7" x14ac:dyDescent="0.25">
      <c r="A78" s="1" t="s">
        <v>198</v>
      </c>
      <c r="B78" s="1" t="s">
        <v>291</v>
      </c>
      <c r="C78" s="1" t="s">
        <v>313</v>
      </c>
      <c r="D78" s="9">
        <v>96</v>
      </c>
      <c r="E78" s="9">
        <f>SUMIFS(Opportunity_SKU_Demand!$H$2:$H$195,Opportunity_SKU_Demand!$D$2:$D$195,$A78,Opportunity_SKU_Demand!$E$2:$E$195,$B78,Opportunity_SKU_Demand!$F$2:$F$195,$C78)</f>
        <v>12</v>
      </c>
      <c r="F78" s="9">
        <f>SUMIFS(Opportunity_SKU_Demand!$I$2:$I$195,Opportunity_SKU_Demand!$D$2:$D$195,$A78,Opportunity_SKU_Demand!$E$2:$E$195,$B78,Opportunity_SKU_Demand!$F$2:$F$195,$C78)</f>
        <v>1152</v>
      </c>
      <c r="G78" s="9">
        <f>COUNTIFS(Opportunity_SKU_Demand!$D$2:$D$195,$A78,Opportunity_SKU_Demand!$E$2:$E$195,$B78,Opportunity_SKU_Demand!$F$2:$F$195,$C78)</f>
        <v>1</v>
      </c>
    </row>
    <row r="79" spans="1:7" x14ac:dyDescent="0.25">
      <c r="A79" s="1" t="s">
        <v>198</v>
      </c>
      <c r="B79" s="1" t="s">
        <v>299</v>
      </c>
      <c r="C79" s="1" t="s">
        <v>402</v>
      </c>
      <c r="D79" s="9">
        <v>16</v>
      </c>
      <c r="E79" s="9">
        <f>SUMIFS(Opportunity_SKU_Demand!$H$2:$H$195,Opportunity_SKU_Demand!$D$2:$D$195,$A79,Opportunity_SKU_Demand!$E$2:$E$195,$B79,Opportunity_SKU_Demand!$F$2:$F$195,$C79)</f>
        <v>60</v>
      </c>
      <c r="F79" s="9">
        <f>SUMIFS(Opportunity_SKU_Demand!$I$2:$I$195,Opportunity_SKU_Demand!$D$2:$D$195,$A79,Opportunity_SKU_Demand!$E$2:$E$195,$B79,Opportunity_SKU_Demand!$F$2:$F$195,$C79)</f>
        <v>960</v>
      </c>
      <c r="G79" s="9">
        <f>COUNTIFS(Opportunity_SKU_Demand!$D$2:$D$195,$A79,Opportunity_SKU_Demand!$E$2:$E$195,$B79,Opportunity_SKU_Demand!$F$2:$F$195,$C79)</f>
        <v>1</v>
      </c>
    </row>
    <row r="80" spans="1:7" x14ac:dyDescent="0.25">
      <c r="A80" s="1" t="s">
        <v>198</v>
      </c>
      <c r="B80" s="1" t="s">
        <v>299</v>
      </c>
      <c r="C80" s="1" t="s">
        <v>317</v>
      </c>
      <c r="D80" s="9">
        <v>32</v>
      </c>
      <c r="E80" s="9">
        <f>SUMIFS(Opportunity_SKU_Demand!$H$2:$H$195,Opportunity_SKU_Demand!$D$2:$D$195,$A80,Opportunity_SKU_Demand!$E$2:$E$195,$B80,Opportunity_SKU_Demand!$F$2:$F$195,$C80)</f>
        <v>44</v>
      </c>
      <c r="F80" s="9">
        <f>SUMIFS(Opportunity_SKU_Demand!$I$2:$I$195,Opportunity_SKU_Demand!$D$2:$D$195,$A80,Opportunity_SKU_Demand!$E$2:$E$195,$B80,Opportunity_SKU_Demand!$F$2:$F$195,$C80)</f>
        <v>1408</v>
      </c>
      <c r="G80" s="9">
        <f>COUNTIFS(Opportunity_SKU_Demand!$D$2:$D$195,$A80,Opportunity_SKU_Demand!$E$2:$E$195,$B80,Opportunity_SKU_Demand!$F$2:$F$195,$C80)</f>
        <v>2</v>
      </c>
    </row>
    <row r="81" spans="1:7" x14ac:dyDescent="0.25">
      <c r="A81" s="1" t="s">
        <v>198</v>
      </c>
      <c r="B81" s="1" t="s">
        <v>299</v>
      </c>
      <c r="C81" s="1" t="s">
        <v>308</v>
      </c>
      <c r="D81" s="9">
        <v>64</v>
      </c>
      <c r="E81" s="9">
        <f>SUMIFS(Opportunity_SKU_Demand!$H$2:$H$195,Opportunity_SKU_Demand!$D$2:$D$195,$A81,Opportunity_SKU_Demand!$E$2:$E$195,$B81,Opportunity_SKU_Demand!$F$2:$F$195,$C81)</f>
        <v>75</v>
      </c>
      <c r="F81" s="9">
        <f>SUMIFS(Opportunity_SKU_Demand!$I$2:$I$195,Opportunity_SKU_Demand!$D$2:$D$195,$A81,Opportunity_SKU_Demand!$E$2:$E$195,$B81,Opportunity_SKU_Demand!$F$2:$F$195,$C81)</f>
        <v>4800</v>
      </c>
      <c r="G81" s="9">
        <f>COUNTIFS(Opportunity_SKU_Demand!$D$2:$D$195,$A81,Opportunity_SKU_Demand!$E$2:$E$195,$B81,Opportunity_SKU_Demand!$F$2:$F$195,$C81)</f>
        <v>1</v>
      </c>
    </row>
    <row r="82" spans="1:7" x14ac:dyDescent="0.25">
      <c r="A82" s="1" t="s">
        <v>198</v>
      </c>
      <c r="B82" s="1" t="s">
        <v>299</v>
      </c>
      <c r="C82" s="1" t="s">
        <v>326</v>
      </c>
      <c r="D82" s="9">
        <v>16</v>
      </c>
      <c r="E82" s="9">
        <f>SUMIFS(Opportunity_SKU_Demand!$H$2:$H$195,Opportunity_SKU_Demand!$D$2:$D$195,$A82,Opportunity_SKU_Demand!$E$2:$E$195,$B82,Opportunity_SKU_Demand!$F$2:$F$195,$C82)</f>
        <v>84</v>
      </c>
      <c r="F82" s="9">
        <f>SUMIFS(Opportunity_SKU_Demand!$I$2:$I$195,Opportunity_SKU_Demand!$D$2:$D$195,$A82,Opportunity_SKU_Demand!$E$2:$E$195,$B82,Opportunity_SKU_Demand!$F$2:$F$195,$C82)</f>
        <v>1344</v>
      </c>
      <c r="G82" s="9">
        <f>COUNTIFS(Opportunity_SKU_Demand!$D$2:$D$195,$A82,Opportunity_SKU_Demand!$E$2:$E$195,$B82,Opportunity_SKU_Demand!$F$2:$F$195,$C82)</f>
        <v>2</v>
      </c>
    </row>
    <row r="83" spans="1:7" x14ac:dyDescent="0.25">
      <c r="A83" s="1" t="s">
        <v>198</v>
      </c>
      <c r="B83" s="1" t="s">
        <v>299</v>
      </c>
      <c r="C83" s="1" t="s">
        <v>366</v>
      </c>
      <c r="D83" s="9">
        <v>32</v>
      </c>
      <c r="E83" s="9">
        <f>SUMIFS(Opportunity_SKU_Demand!$H$2:$H$195,Opportunity_SKU_Demand!$D$2:$D$195,$A83,Opportunity_SKU_Demand!$E$2:$E$195,$B83,Opportunity_SKU_Demand!$F$2:$F$195,$C83)</f>
        <v>60</v>
      </c>
      <c r="F83" s="9">
        <f>SUMIFS(Opportunity_SKU_Demand!$I$2:$I$195,Opportunity_SKU_Demand!$D$2:$D$195,$A83,Opportunity_SKU_Demand!$E$2:$E$195,$B83,Opportunity_SKU_Demand!$F$2:$F$195,$C83)</f>
        <v>1920</v>
      </c>
      <c r="G83" s="9">
        <f>COUNTIFS(Opportunity_SKU_Demand!$D$2:$D$195,$A83,Opportunity_SKU_Demand!$E$2:$E$195,$B83,Opportunity_SKU_Demand!$F$2:$F$195,$C83)</f>
        <v>1</v>
      </c>
    </row>
    <row r="84" spans="1:7" x14ac:dyDescent="0.25">
      <c r="A84" s="1" t="s">
        <v>198</v>
      </c>
      <c r="B84" s="1" t="s">
        <v>299</v>
      </c>
      <c r="C84" s="1" t="s">
        <v>333</v>
      </c>
      <c r="D84" s="9">
        <v>16</v>
      </c>
      <c r="E84" s="9">
        <f>SUMIFS(Opportunity_SKU_Demand!$H$2:$H$195,Opportunity_SKU_Demand!$D$2:$D$195,$A84,Opportunity_SKU_Demand!$E$2:$E$195,$B84,Opportunity_SKU_Demand!$F$2:$F$195,$C84)</f>
        <v>20</v>
      </c>
      <c r="F84" s="9">
        <f>SUMIFS(Opportunity_SKU_Demand!$I$2:$I$195,Opportunity_SKU_Demand!$D$2:$D$195,$A84,Opportunity_SKU_Demand!$E$2:$E$195,$B84,Opportunity_SKU_Demand!$F$2:$F$195,$C84)</f>
        <v>320</v>
      </c>
      <c r="G84" s="9">
        <f>COUNTIFS(Opportunity_SKU_Demand!$D$2:$D$195,$A84,Opportunity_SKU_Demand!$E$2:$E$195,$B84,Opportunity_SKU_Demand!$F$2:$F$195,$C84)</f>
        <v>1</v>
      </c>
    </row>
    <row r="85" spans="1:7" x14ac:dyDescent="0.25">
      <c r="A85" s="1" t="s">
        <v>198</v>
      </c>
      <c r="B85" s="1" t="s">
        <v>299</v>
      </c>
      <c r="C85" s="1" t="s">
        <v>321</v>
      </c>
      <c r="D85" s="9">
        <v>128</v>
      </c>
      <c r="E85" s="9">
        <f>SUMIFS(Opportunity_SKU_Demand!$H$2:$H$195,Opportunity_SKU_Demand!$D$2:$D$195,$A85,Opportunity_SKU_Demand!$E$2:$E$195,$B85,Opportunity_SKU_Demand!$F$2:$F$195,$C85)</f>
        <v>4</v>
      </c>
      <c r="F85" s="9">
        <f>SUMIFS(Opportunity_SKU_Demand!$I$2:$I$195,Opportunity_SKU_Demand!$D$2:$D$195,$A85,Opportunity_SKU_Demand!$E$2:$E$195,$B85,Opportunity_SKU_Demand!$F$2:$F$195,$C85)</f>
        <v>512</v>
      </c>
      <c r="G85" s="9">
        <f>COUNTIFS(Opportunity_SKU_Demand!$D$2:$D$195,$A85,Opportunity_SKU_Demand!$E$2:$E$195,$B85,Opportunity_SKU_Demand!$F$2:$F$195,$C85)</f>
        <v>2</v>
      </c>
    </row>
    <row r="86" spans="1:7" x14ac:dyDescent="0.25">
      <c r="A86" s="1" t="s">
        <v>198</v>
      </c>
      <c r="B86" s="1" t="s">
        <v>299</v>
      </c>
      <c r="C86" s="1" t="s">
        <v>382</v>
      </c>
      <c r="D86" s="9">
        <v>24</v>
      </c>
      <c r="E86" s="9">
        <f>SUMIFS(Opportunity_SKU_Demand!$H$2:$H$195,Opportunity_SKU_Demand!$D$2:$D$195,$A86,Opportunity_SKU_Demand!$E$2:$E$195,$B86,Opportunity_SKU_Demand!$F$2:$F$195,$C86)</f>
        <v>6</v>
      </c>
      <c r="F86" s="9">
        <f>SUMIFS(Opportunity_SKU_Demand!$I$2:$I$195,Opportunity_SKU_Demand!$D$2:$D$195,$A86,Opportunity_SKU_Demand!$E$2:$E$195,$B86,Opportunity_SKU_Demand!$F$2:$F$195,$C86)</f>
        <v>144</v>
      </c>
      <c r="G86" s="9">
        <f>COUNTIFS(Opportunity_SKU_Demand!$D$2:$D$195,$A86,Opportunity_SKU_Demand!$E$2:$E$195,$B86,Opportunity_SKU_Demand!$F$2:$F$195,$C86)</f>
        <v>1</v>
      </c>
    </row>
    <row r="87" spans="1:7" x14ac:dyDescent="0.25">
      <c r="A87" s="1" t="s">
        <v>198</v>
      </c>
      <c r="B87" s="1" t="s">
        <v>299</v>
      </c>
      <c r="C87" s="1" t="s">
        <v>313</v>
      </c>
      <c r="D87" s="9">
        <v>96</v>
      </c>
      <c r="E87" s="9">
        <f>SUMIFS(Opportunity_SKU_Demand!$H$2:$H$195,Opportunity_SKU_Demand!$D$2:$D$195,$A87,Opportunity_SKU_Demand!$E$2:$E$195,$B87,Opportunity_SKU_Demand!$F$2:$F$195,$C87)</f>
        <v>24</v>
      </c>
      <c r="F87" s="9">
        <f>SUMIFS(Opportunity_SKU_Demand!$I$2:$I$195,Opportunity_SKU_Demand!$D$2:$D$195,$A87,Opportunity_SKU_Demand!$E$2:$E$195,$B87,Opportunity_SKU_Demand!$F$2:$F$195,$C87)</f>
        <v>2304</v>
      </c>
      <c r="G87" s="9">
        <f>COUNTIFS(Opportunity_SKU_Demand!$D$2:$D$195,$A87,Opportunity_SKU_Demand!$E$2:$E$195,$B87,Opportunity_SKU_Demand!$F$2:$F$195,$C87)</f>
        <v>1</v>
      </c>
    </row>
    <row r="88" spans="1:7" x14ac:dyDescent="0.25">
      <c r="A88" s="1" t="s">
        <v>198</v>
      </c>
      <c r="B88" s="1" t="s">
        <v>307</v>
      </c>
      <c r="C88" s="1" t="s">
        <v>402</v>
      </c>
      <c r="D88" s="9">
        <v>16</v>
      </c>
      <c r="E88" s="9">
        <f>SUMIFS(Opportunity_SKU_Demand!$H$2:$H$195,Opportunity_SKU_Demand!$D$2:$D$195,$A88,Opportunity_SKU_Demand!$E$2:$E$195,$B88,Opportunity_SKU_Demand!$F$2:$F$195,$C88)</f>
        <v>108</v>
      </c>
      <c r="F88" s="9">
        <f>SUMIFS(Opportunity_SKU_Demand!$I$2:$I$195,Opportunity_SKU_Demand!$D$2:$D$195,$A88,Opportunity_SKU_Demand!$E$2:$E$195,$B88,Opportunity_SKU_Demand!$F$2:$F$195,$C88)</f>
        <v>1728</v>
      </c>
      <c r="G88" s="9">
        <f>COUNTIFS(Opportunity_SKU_Demand!$D$2:$D$195,$A88,Opportunity_SKU_Demand!$E$2:$E$195,$B88,Opportunity_SKU_Demand!$F$2:$F$195,$C88)</f>
        <v>2</v>
      </c>
    </row>
    <row r="89" spans="1:7" x14ac:dyDescent="0.25">
      <c r="A89" s="1" t="s">
        <v>198</v>
      </c>
      <c r="B89" s="1" t="s">
        <v>307</v>
      </c>
      <c r="C89" s="1" t="s">
        <v>292</v>
      </c>
      <c r="D89" s="9">
        <v>16</v>
      </c>
      <c r="E89" s="9">
        <f>SUMIFS(Opportunity_SKU_Demand!$H$2:$H$195,Opportunity_SKU_Demand!$D$2:$D$195,$A89,Opportunity_SKU_Demand!$E$2:$E$195,$B89,Opportunity_SKU_Demand!$F$2:$F$195,$C89)</f>
        <v>75</v>
      </c>
      <c r="F89" s="9">
        <f>SUMIFS(Opportunity_SKU_Demand!$I$2:$I$195,Opportunity_SKU_Demand!$D$2:$D$195,$A89,Opportunity_SKU_Demand!$E$2:$E$195,$B89,Opportunity_SKU_Demand!$F$2:$F$195,$C89)</f>
        <v>1200</v>
      </c>
      <c r="G89" s="9">
        <f>COUNTIFS(Opportunity_SKU_Demand!$D$2:$D$195,$A89,Opportunity_SKU_Demand!$E$2:$E$195,$B89,Opportunity_SKU_Demand!$F$2:$F$195,$C89)</f>
        <v>1</v>
      </c>
    </row>
    <row r="90" spans="1:7" x14ac:dyDescent="0.25">
      <c r="A90" s="1" t="s">
        <v>198</v>
      </c>
      <c r="B90" s="1" t="s">
        <v>307</v>
      </c>
      <c r="C90" s="1" t="s">
        <v>317</v>
      </c>
      <c r="D90" s="9">
        <v>32</v>
      </c>
      <c r="E90" s="9">
        <f>SUMIFS(Opportunity_SKU_Demand!$H$2:$H$195,Opportunity_SKU_Demand!$D$2:$D$195,$A90,Opportunity_SKU_Demand!$E$2:$E$195,$B90,Opportunity_SKU_Demand!$F$2:$F$195,$C90)</f>
        <v>95</v>
      </c>
      <c r="F90" s="9">
        <f>SUMIFS(Opportunity_SKU_Demand!$I$2:$I$195,Opportunity_SKU_Demand!$D$2:$D$195,$A90,Opportunity_SKU_Demand!$E$2:$E$195,$B90,Opportunity_SKU_Demand!$F$2:$F$195,$C90)</f>
        <v>3040</v>
      </c>
      <c r="G90" s="9">
        <f>COUNTIFS(Opportunity_SKU_Demand!$D$2:$D$195,$A90,Opportunity_SKU_Demand!$E$2:$E$195,$B90,Opportunity_SKU_Demand!$F$2:$F$195,$C90)</f>
        <v>2</v>
      </c>
    </row>
    <row r="91" spans="1:7" x14ac:dyDescent="0.25">
      <c r="A91" s="1" t="s">
        <v>198</v>
      </c>
      <c r="B91" s="1" t="s">
        <v>307</v>
      </c>
      <c r="C91" s="1" t="s">
        <v>308</v>
      </c>
      <c r="D91" s="9">
        <v>64</v>
      </c>
      <c r="E91" s="9">
        <f>SUMIFS(Opportunity_SKU_Demand!$H$2:$H$195,Opportunity_SKU_Demand!$D$2:$D$195,$A91,Opportunity_SKU_Demand!$E$2:$E$195,$B91,Opportunity_SKU_Demand!$F$2:$F$195,$C91)</f>
        <v>24</v>
      </c>
      <c r="F91" s="9">
        <f>SUMIFS(Opportunity_SKU_Demand!$I$2:$I$195,Opportunity_SKU_Demand!$D$2:$D$195,$A91,Opportunity_SKU_Demand!$E$2:$E$195,$B91,Opportunity_SKU_Demand!$F$2:$F$195,$C91)</f>
        <v>1536</v>
      </c>
      <c r="G91" s="9">
        <f>COUNTIFS(Opportunity_SKU_Demand!$D$2:$D$195,$A91,Opportunity_SKU_Demand!$E$2:$E$195,$B91,Opportunity_SKU_Demand!$F$2:$F$195,$C91)</f>
        <v>1</v>
      </c>
    </row>
    <row r="92" spans="1:7" x14ac:dyDescent="0.25">
      <c r="A92" s="1" t="s">
        <v>198</v>
      </c>
      <c r="B92" s="1" t="s">
        <v>307</v>
      </c>
      <c r="C92" s="1" t="s">
        <v>305</v>
      </c>
      <c r="D92" s="9">
        <v>8</v>
      </c>
      <c r="E92" s="9">
        <f>SUMIFS(Opportunity_SKU_Demand!$H$2:$H$195,Opportunity_SKU_Demand!$D$2:$D$195,$A92,Opportunity_SKU_Demand!$E$2:$E$195,$B92,Opportunity_SKU_Demand!$F$2:$F$195,$C92)</f>
        <v>40</v>
      </c>
      <c r="F92" s="9">
        <f>SUMIFS(Opportunity_SKU_Demand!$I$2:$I$195,Opportunity_SKU_Demand!$D$2:$D$195,$A92,Opportunity_SKU_Demand!$E$2:$E$195,$B92,Opportunity_SKU_Demand!$F$2:$F$195,$C92)</f>
        <v>320</v>
      </c>
      <c r="G92" s="9">
        <f>COUNTIFS(Opportunity_SKU_Demand!$D$2:$D$195,$A92,Opportunity_SKU_Demand!$E$2:$E$195,$B92,Opportunity_SKU_Demand!$F$2:$F$195,$C92)</f>
        <v>1</v>
      </c>
    </row>
    <row r="93" spans="1:7" x14ac:dyDescent="0.25">
      <c r="A93" s="1" t="s">
        <v>198</v>
      </c>
      <c r="B93" s="1" t="s">
        <v>307</v>
      </c>
      <c r="C93" s="1" t="s">
        <v>326</v>
      </c>
      <c r="D93" s="9">
        <v>16</v>
      </c>
      <c r="E93" s="9">
        <f>SUMIFS(Opportunity_SKU_Demand!$H$2:$H$195,Opportunity_SKU_Demand!$D$2:$D$195,$A93,Opportunity_SKU_Demand!$E$2:$E$195,$B93,Opportunity_SKU_Demand!$F$2:$F$195,$C93)</f>
        <v>94</v>
      </c>
      <c r="F93" s="9">
        <f>SUMIFS(Opportunity_SKU_Demand!$I$2:$I$195,Opportunity_SKU_Demand!$D$2:$D$195,$A93,Opportunity_SKU_Demand!$E$2:$E$195,$B93,Opportunity_SKU_Demand!$F$2:$F$195,$C93)</f>
        <v>1504</v>
      </c>
      <c r="G93" s="9">
        <f>COUNTIFS(Opportunity_SKU_Demand!$D$2:$D$195,$A93,Opportunity_SKU_Demand!$E$2:$E$195,$B93,Opportunity_SKU_Demand!$F$2:$F$195,$C93)</f>
        <v>3</v>
      </c>
    </row>
    <row r="94" spans="1:7" x14ac:dyDescent="0.25">
      <c r="A94" s="1" t="s">
        <v>198</v>
      </c>
      <c r="B94" s="1" t="s">
        <v>307</v>
      </c>
      <c r="C94" s="1" t="s">
        <v>337</v>
      </c>
      <c r="D94" s="9">
        <v>32</v>
      </c>
      <c r="E94" s="9">
        <f>SUMIFS(Opportunity_SKU_Demand!$H$2:$H$195,Opportunity_SKU_Demand!$D$2:$D$195,$A94,Opportunity_SKU_Demand!$E$2:$E$195,$B94,Opportunity_SKU_Demand!$F$2:$F$195,$C94)</f>
        <v>10</v>
      </c>
      <c r="F94" s="9">
        <f>SUMIFS(Opportunity_SKU_Demand!$I$2:$I$195,Opportunity_SKU_Demand!$D$2:$D$195,$A94,Opportunity_SKU_Demand!$E$2:$E$195,$B94,Opportunity_SKU_Demand!$F$2:$F$195,$C94)</f>
        <v>320</v>
      </c>
      <c r="G94" s="9">
        <f>COUNTIFS(Opportunity_SKU_Demand!$D$2:$D$195,$A94,Opportunity_SKU_Demand!$E$2:$E$195,$B94,Opportunity_SKU_Demand!$F$2:$F$195,$C94)</f>
        <v>1</v>
      </c>
    </row>
    <row r="95" spans="1:7" x14ac:dyDescent="0.25">
      <c r="A95" s="1" t="s">
        <v>198</v>
      </c>
      <c r="B95" s="1" t="s">
        <v>307</v>
      </c>
      <c r="C95" s="1" t="s">
        <v>351</v>
      </c>
      <c r="D95" s="9">
        <v>176</v>
      </c>
      <c r="E95" s="9">
        <f>SUMIFS(Opportunity_SKU_Demand!$H$2:$H$195,Opportunity_SKU_Demand!$D$2:$D$195,$A95,Opportunity_SKU_Demand!$E$2:$E$195,$B95,Opportunity_SKU_Demand!$F$2:$F$195,$C95)</f>
        <v>8</v>
      </c>
      <c r="F95" s="9">
        <f>SUMIFS(Opportunity_SKU_Demand!$I$2:$I$195,Opportunity_SKU_Demand!$D$2:$D$195,$A95,Opportunity_SKU_Demand!$E$2:$E$195,$B95,Opportunity_SKU_Demand!$F$2:$F$195,$C95)</f>
        <v>1408</v>
      </c>
      <c r="G95" s="9">
        <f>COUNTIFS(Opportunity_SKU_Demand!$D$2:$D$195,$A95,Opportunity_SKU_Demand!$E$2:$E$195,$B95,Opportunity_SKU_Demand!$F$2:$F$195,$C95)</f>
        <v>1</v>
      </c>
    </row>
    <row r="96" spans="1:7" x14ac:dyDescent="0.25">
      <c r="A96" s="1" t="s">
        <v>198</v>
      </c>
      <c r="B96" s="1" t="s">
        <v>307</v>
      </c>
      <c r="C96" s="1" t="s">
        <v>321</v>
      </c>
      <c r="D96" s="9">
        <v>128</v>
      </c>
      <c r="E96" s="9">
        <f>SUMIFS(Opportunity_SKU_Demand!$H$2:$H$195,Opportunity_SKU_Demand!$D$2:$D$195,$A96,Opportunity_SKU_Demand!$E$2:$E$195,$B96,Opportunity_SKU_Demand!$F$2:$F$195,$C96)</f>
        <v>5</v>
      </c>
      <c r="F96" s="9">
        <f>SUMIFS(Opportunity_SKU_Demand!$I$2:$I$195,Opportunity_SKU_Demand!$D$2:$D$195,$A96,Opportunity_SKU_Demand!$E$2:$E$195,$B96,Opportunity_SKU_Demand!$F$2:$F$195,$C96)</f>
        <v>640</v>
      </c>
      <c r="G96" s="9">
        <f>COUNTIFS(Opportunity_SKU_Demand!$D$2:$D$195,$A96,Opportunity_SKU_Demand!$E$2:$E$195,$B96,Opportunity_SKU_Demand!$F$2:$F$195,$C96)</f>
        <v>2</v>
      </c>
    </row>
    <row r="97" spans="1:7" x14ac:dyDescent="0.25">
      <c r="A97" s="1" t="s">
        <v>198</v>
      </c>
      <c r="B97" s="1" t="s">
        <v>307</v>
      </c>
      <c r="C97" s="1" t="s">
        <v>382</v>
      </c>
      <c r="D97" s="9">
        <v>24</v>
      </c>
      <c r="E97" s="9">
        <f>SUMIFS(Opportunity_SKU_Demand!$H$2:$H$195,Opportunity_SKU_Demand!$D$2:$D$195,$A97,Opportunity_SKU_Demand!$E$2:$E$195,$B97,Opportunity_SKU_Demand!$F$2:$F$195,$C97)</f>
        <v>32</v>
      </c>
      <c r="F97" s="9">
        <f>SUMIFS(Opportunity_SKU_Demand!$I$2:$I$195,Opportunity_SKU_Demand!$D$2:$D$195,$A97,Opportunity_SKU_Demand!$E$2:$E$195,$B97,Opportunity_SKU_Demand!$F$2:$F$195,$C97)</f>
        <v>768</v>
      </c>
      <c r="G97" s="9">
        <f>COUNTIFS(Opportunity_SKU_Demand!$D$2:$D$195,$A97,Opportunity_SKU_Demand!$E$2:$E$195,$B97,Opportunity_SKU_Demand!$F$2:$F$195,$C97)</f>
        <v>1</v>
      </c>
    </row>
    <row r="98" spans="1:7" x14ac:dyDescent="0.25">
      <c r="A98" s="1" t="s">
        <v>198</v>
      </c>
      <c r="B98" s="1" t="s">
        <v>307</v>
      </c>
      <c r="C98" s="1" t="s">
        <v>330</v>
      </c>
      <c r="D98" s="9">
        <v>40</v>
      </c>
      <c r="E98" s="9">
        <f>SUMIFS(Opportunity_SKU_Demand!$H$2:$H$195,Opportunity_SKU_Demand!$D$2:$D$195,$A98,Opportunity_SKU_Demand!$E$2:$E$195,$B98,Opportunity_SKU_Demand!$F$2:$F$195,$C98)</f>
        <v>52</v>
      </c>
      <c r="F98" s="9">
        <f>SUMIFS(Opportunity_SKU_Demand!$I$2:$I$195,Opportunity_SKU_Demand!$D$2:$D$195,$A98,Opportunity_SKU_Demand!$E$2:$E$195,$B98,Opportunity_SKU_Demand!$F$2:$F$195,$C98)</f>
        <v>2080</v>
      </c>
      <c r="G98" s="9">
        <f>COUNTIFS(Opportunity_SKU_Demand!$D$2:$D$195,$A98,Opportunity_SKU_Demand!$E$2:$E$195,$B98,Opportunity_SKU_Demand!$F$2:$F$195,$C98)</f>
        <v>2</v>
      </c>
    </row>
    <row r="99" spans="1:7" x14ac:dyDescent="0.25">
      <c r="A99" s="1" t="s">
        <v>198</v>
      </c>
      <c r="B99" s="1" t="s">
        <v>307</v>
      </c>
      <c r="C99" s="1" t="s">
        <v>313</v>
      </c>
      <c r="D99" s="9">
        <v>96</v>
      </c>
      <c r="E99" s="9">
        <f>SUMIFS(Opportunity_SKU_Demand!$H$2:$H$195,Opportunity_SKU_Demand!$D$2:$D$195,$A99,Opportunity_SKU_Demand!$E$2:$E$195,$B99,Opportunity_SKU_Demand!$F$2:$F$195,$C99)</f>
        <v>10</v>
      </c>
      <c r="F99" s="9">
        <f>SUMIFS(Opportunity_SKU_Demand!$I$2:$I$195,Opportunity_SKU_Demand!$D$2:$D$195,$A99,Opportunity_SKU_Demand!$E$2:$E$195,$B99,Opportunity_SKU_Demand!$F$2:$F$195,$C99)</f>
        <v>960</v>
      </c>
      <c r="G99" s="9">
        <f>COUNTIFS(Opportunity_SKU_Demand!$D$2:$D$195,$A99,Opportunity_SKU_Demand!$E$2:$E$195,$B99,Opportunity_SKU_Demand!$F$2:$F$195,$C99)</f>
        <v>1</v>
      </c>
    </row>
    <row r="100" spans="1:7" x14ac:dyDescent="0.25">
      <c r="A100" s="1" t="s">
        <v>217</v>
      </c>
      <c r="B100" s="1" t="s">
        <v>291</v>
      </c>
      <c r="C100" s="1" t="s">
        <v>305</v>
      </c>
      <c r="D100" s="9">
        <v>8</v>
      </c>
      <c r="E100" s="9">
        <f>SUMIFS(Opportunity_SKU_Demand!$H$2:$H$195,Opportunity_SKU_Demand!$D$2:$D$195,$A100,Opportunity_SKU_Demand!$E$2:$E$195,$B100,Opportunity_SKU_Demand!$F$2:$F$195,$C100)</f>
        <v>16</v>
      </c>
      <c r="F100" s="9">
        <f>SUMIFS(Opportunity_SKU_Demand!$I$2:$I$195,Opportunity_SKU_Demand!$D$2:$D$195,$A100,Opportunity_SKU_Demand!$E$2:$E$195,$B100,Opportunity_SKU_Demand!$F$2:$F$195,$C100)</f>
        <v>128</v>
      </c>
      <c r="G100" s="9">
        <f>COUNTIFS(Opportunity_SKU_Demand!$D$2:$D$195,$A100,Opportunity_SKU_Demand!$E$2:$E$195,$B100,Opportunity_SKU_Demand!$F$2:$F$195,$C100)</f>
        <v>1</v>
      </c>
    </row>
    <row r="101" spans="1:7" x14ac:dyDescent="0.25">
      <c r="A101" s="1" t="s">
        <v>217</v>
      </c>
      <c r="B101" s="1" t="s">
        <v>291</v>
      </c>
      <c r="C101" s="1" t="s">
        <v>326</v>
      </c>
      <c r="D101" s="9">
        <v>16</v>
      </c>
      <c r="E101" s="9">
        <f>SUMIFS(Opportunity_SKU_Demand!$H$2:$H$195,Opportunity_SKU_Demand!$D$2:$D$195,$A101,Opportunity_SKU_Demand!$E$2:$E$195,$B101,Opportunity_SKU_Demand!$F$2:$F$195,$C101)</f>
        <v>140</v>
      </c>
      <c r="F101" s="9">
        <f>SUMIFS(Opportunity_SKU_Demand!$I$2:$I$195,Opportunity_SKU_Demand!$D$2:$D$195,$A101,Opportunity_SKU_Demand!$E$2:$E$195,$B101,Opportunity_SKU_Demand!$F$2:$F$195,$C101)</f>
        <v>2240</v>
      </c>
      <c r="G101" s="9">
        <f>COUNTIFS(Opportunity_SKU_Demand!$D$2:$D$195,$A101,Opportunity_SKU_Demand!$E$2:$E$195,$B101,Opportunity_SKU_Demand!$F$2:$F$195,$C101)</f>
        <v>3</v>
      </c>
    </row>
    <row r="102" spans="1:7" x14ac:dyDescent="0.25">
      <c r="A102" s="1" t="s">
        <v>217</v>
      </c>
      <c r="B102" s="1" t="s">
        <v>291</v>
      </c>
      <c r="C102" s="1" t="s">
        <v>366</v>
      </c>
      <c r="D102" s="9">
        <v>32</v>
      </c>
      <c r="E102" s="9">
        <f>SUMIFS(Opportunity_SKU_Demand!$H$2:$H$195,Opportunity_SKU_Demand!$D$2:$D$195,$A102,Opportunity_SKU_Demand!$E$2:$E$195,$B102,Opportunity_SKU_Demand!$F$2:$F$195,$C102)</f>
        <v>75</v>
      </c>
      <c r="F102" s="9">
        <f>SUMIFS(Opportunity_SKU_Demand!$I$2:$I$195,Opportunity_SKU_Demand!$D$2:$D$195,$A102,Opportunity_SKU_Demand!$E$2:$E$195,$B102,Opportunity_SKU_Demand!$F$2:$F$195,$C102)</f>
        <v>2400</v>
      </c>
      <c r="G102" s="9">
        <f>COUNTIFS(Opportunity_SKU_Demand!$D$2:$D$195,$A102,Opportunity_SKU_Demand!$E$2:$E$195,$B102,Opportunity_SKU_Demand!$F$2:$F$195,$C102)</f>
        <v>1</v>
      </c>
    </row>
    <row r="103" spans="1:7" x14ac:dyDescent="0.25">
      <c r="A103" s="1" t="s">
        <v>217</v>
      </c>
      <c r="B103" s="1" t="s">
        <v>291</v>
      </c>
      <c r="C103" s="1" t="s">
        <v>351</v>
      </c>
      <c r="D103" s="9">
        <v>176</v>
      </c>
      <c r="E103" s="9">
        <f>SUMIFS(Opportunity_SKU_Demand!$H$2:$H$195,Opportunity_SKU_Demand!$D$2:$D$195,$A103,Opportunity_SKU_Demand!$E$2:$E$195,$B103,Opportunity_SKU_Demand!$F$2:$F$195,$C103)</f>
        <v>16</v>
      </c>
      <c r="F103" s="9">
        <f>SUMIFS(Opportunity_SKU_Demand!$I$2:$I$195,Opportunity_SKU_Demand!$D$2:$D$195,$A103,Opportunity_SKU_Demand!$E$2:$E$195,$B103,Opportunity_SKU_Demand!$F$2:$F$195,$C103)</f>
        <v>2816</v>
      </c>
      <c r="G103" s="9">
        <f>COUNTIFS(Opportunity_SKU_Demand!$D$2:$D$195,$A103,Opportunity_SKU_Demand!$E$2:$E$195,$B103,Opportunity_SKU_Demand!$F$2:$F$195,$C103)</f>
        <v>1</v>
      </c>
    </row>
    <row r="104" spans="1:7" x14ac:dyDescent="0.25">
      <c r="A104" s="1" t="s">
        <v>217</v>
      </c>
      <c r="B104" s="1" t="s">
        <v>299</v>
      </c>
      <c r="C104" s="1" t="s">
        <v>292</v>
      </c>
      <c r="D104" s="9">
        <v>16</v>
      </c>
      <c r="E104" s="9">
        <f>SUMIFS(Opportunity_SKU_Demand!$H$2:$H$195,Opportunity_SKU_Demand!$D$2:$D$195,$A104,Opportunity_SKU_Demand!$E$2:$E$195,$B104,Opportunity_SKU_Demand!$F$2:$F$195,$C104)</f>
        <v>24</v>
      </c>
      <c r="F104" s="9">
        <f>SUMIFS(Opportunity_SKU_Demand!$I$2:$I$195,Opportunity_SKU_Demand!$D$2:$D$195,$A104,Opportunity_SKU_Demand!$E$2:$E$195,$B104,Opportunity_SKU_Demand!$F$2:$F$195,$C104)</f>
        <v>384</v>
      </c>
      <c r="G104" s="9">
        <f>COUNTIFS(Opportunity_SKU_Demand!$D$2:$D$195,$A104,Opportunity_SKU_Demand!$E$2:$E$195,$B104,Opportunity_SKU_Demand!$F$2:$F$195,$C104)</f>
        <v>1</v>
      </c>
    </row>
    <row r="105" spans="1:7" x14ac:dyDescent="0.25">
      <c r="A105" s="1" t="s">
        <v>217</v>
      </c>
      <c r="B105" s="1" t="s">
        <v>299</v>
      </c>
      <c r="C105" s="1" t="s">
        <v>300</v>
      </c>
      <c r="D105" s="9">
        <v>64</v>
      </c>
      <c r="E105" s="9">
        <f>SUMIFS(Opportunity_SKU_Demand!$H$2:$H$195,Opportunity_SKU_Demand!$D$2:$D$195,$A105,Opportunity_SKU_Demand!$E$2:$E$195,$B105,Opportunity_SKU_Demand!$F$2:$F$195,$C105)</f>
        <v>60</v>
      </c>
      <c r="F105" s="9">
        <f>SUMIFS(Opportunity_SKU_Demand!$I$2:$I$195,Opportunity_SKU_Demand!$D$2:$D$195,$A105,Opportunity_SKU_Demand!$E$2:$E$195,$B105,Opportunity_SKU_Demand!$F$2:$F$195,$C105)</f>
        <v>3840</v>
      </c>
      <c r="G105" s="9">
        <f>COUNTIFS(Opportunity_SKU_Demand!$D$2:$D$195,$A105,Opportunity_SKU_Demand!$E$2:$E$195,$B105,Opportunity_SKU_Demand!$F$2:$F$195,$C105)</f>
        <v>1</v>
      </c>
    </row>
    <row r="106" spans="1:7" x14ac:dyDescent="0.25">
      <c r="A106" s="1" t="s">
        <v>217</v>
      </c>
      <c r="B106" s="1" t="s">
        <v>299</v>
      </c>
      <c r="C106" s="1" t="s">
        <v>351</v>
      </c>
      <c r="D106" s="9">
        <v>176</v>
      </c>
      <c r="E106" s="9">
        <f>SUMIFS(Opportunity_SKU_Demand!$H$2:$H$195,Opportunity_SKU_Demand!$D$2:$D$195,$A106,Opportunity_SKU_Demand!$E$2:$E$195,$B106,Opportunity_SKU_Demand!$F$2:$F$195,$C106)</f>
        <v>32</v>
      </c>
      <c r="F106" s="9">
        <f>SUMIFS(Opportunity_SKU_Demand!$I$2:$I$195,Opportunity_SKU_Demand!$D$2:$D$195,$A106,Opportunity_SKU_Demand!$E$2:$E$195,$B106,Opportunity_SKU_Demand!$F$2:$F$195,$C106)</f>
        <v>5632</v>
      </c>
      <c r="G106" s="9">
        <f>COUNTIFS(Opportunity_SKU_Demand!$D$2:$D$195,$A106,Opportunity_SKU_Demand!$E$2:$E$195,$B106,Opportunity_SKU_Demand!$F$2:$F$195,$C106)</f>
        <v>1</v>
      </c>
    </row>
    <row r="107" spans="1:7" x14ac:dyDescent="0.25">
      <c r="A107" s="1" t="s">
        <v>217</v>
      </c>
      <c r="B107" s="1" t="s">
        <v>307</v>
      </c>
      <c r="C107" s="1" t="s">
        <v>292</v>
      </c>
      <c r="D107" s="9">
        <v>16</v>
      </c>
      <c r="E107" s="9">
        <f>SUMIFS(Opportunity_SKU_Demand!$H$2:$H$195,Opportunity_SKU_Demand!$D$2:$D$195,$A107,Opportunity_SKU_Demand!$E$2:$E$195,$B107,Opportunity_SKU_Demand!$F$2:$F$195,$C107)</f>
        <v>16</v>
      </c>
      <c r="F107" s="9">
        <f>SUMIFS(Opportunity_SKU_Demand!$I$2:$I$195,Opportunity_SKU_Demand!$D$2:$D$195,$A107,Opportunity_SKU_Demand!$E$2:$E$195,$B107,Opportunity_SKU_Demand!$F$2:$F$195,$C107)</f>
        <v>256</v>
      </c>
      <c r="G107" s="9">
        <f>COUNTIFS(Opportunity_SKU_Demand!$D$2:$D$195,$A107,Opportunity_SKU_Demand!$E$2:$E$195,$B107,Opportunity_SKU_Demand!$F$2:$F$195,$C107)</f>
        <v>1</v>
      </c>
    </row>
    <row r="108" spans="1:7" x14ac:dyDescent="0.25">
      <c r="A108" s="1" t="s">
        <v>217</v>
      </c>
      <c r="B108" s="1" t="s">
        <v>307</v>
      </c>
      <c r="C108" s="1" t="s">
        <v>366</v>
      </c>
      <c r="D108" s="9">
        <v>32</v>
      </c>
      <c r="E108" s="9">
        <f>SUMIFS(Opportunity_SKU_Demand!$H$2:$H$195,Opportunity_SKU_Demand!$D$2:$D$195,$A108,Opportunity_SKU_Demand!$E$2:$E$195,$B108,Opportunity_SKU_Demand!$F$2:$F$195,$C108)</f>
        <v>16</v>
      </c>
      <c r="F108" s="9">
        <f>SUMIFS(Opportunity_SKU_Demand!$I$2:$I$195,Opportunity_SKU_Demand!$D$2:$D$195,$A108,Opportunity_SKU_Demand!$E$2:$E$195,$B108,Opportunity_SKU_Demand!$F$2:$F$195,$C108)</f>
        <v>512</v>
      </c>
      <c r="G108" s="9">
        <f>COUNTIFS(Opportunity_SKU_Demand!$D$2:$D$195,$A108,Opportunity_SKU_Demand!$E$2:$E$195,$B108,Opportunity_SKU_Demand!$F$2:$F$195,$C108)</f>
        <v>1</v>
      </c>
    </row>
    <row r="109" spans="1:7" x14ac:dyDescent="0.25">
      <c r="A109" s="1" t="s">
        <v>217</v>
      </c>
      <c r="B109" s="1" t="s">
        <v>307</v>
      </c>
      <c r="C109" s="1" t="s">
        <v>337</v>
      </c>
      <c r="D109" s="9">
        <v>32</v>
      </c>
      <c r="E109" s="9">
        <f>SUMIFS(Opportunity_SKU_Demand!$H$2:$H$195,Opportunity_SKU_Demand!$D$2:$D$195,$A109,Opportunity_SKU_Demand!$E$2:$E$195,$B109,Opportunity_SKU_Demand!$F$2:$F$195,$C109)</f>
        <v>90</v>
      </c>
      <c r="F109" s="9">
        <f>SUMIFS(Opportunity_SKU_Demand!$I$2:$I$195,Opportunity_SKU_Demand!$D$2:$D$195,$A109,Opportunity_SKU_Demand!$E$2:$E$195,$B109,Opportunity_SKU_Demand!$F$2:$F$195,$C109)</f>
        <v>2880</v>
      </c>
      <c r="G109" s="9">
        <f>COUNTIFS(Opportunity_SKU_Demand!$D$2:$D$195,$A109,Opportunity_SKU_Demand!$E$2:$E$195,$B109,Opportunity_SKU_Demand!$F$2:$F$195,$C109)</f>
        <v>1</v>
      </c>
    </row>
    <row r="110" spans="1:7" x14ac:dyDescent="0.25">
      <c r="A110" s="1" t="s">
        <v>217</v>
      </c>
      <c r="B110" s="1" t="s">
        <v>307</v>
      </c>
      <c r="C110" s="1" t="s">
        <v>340</v>
      </c>
      <c r="D110" s="9">
        <v>32</v>
      </c>
      <c r="E110" s="9">
        <f>SUMIFS(Opportunity_SKU_Demand!$H$2:$H$195,Opportunity_SKU_Demand!$D$2:$D$195,$A110,Opportunity_SKU_Demand!$E$2:$E$195,$B110,Opportunity_SKU_Demand!$F$2:$F$195,$C110)</f>
        <v>30</v>
      </c>
      <c r="F110" s="9">
        <f>SUMIFS(Opportunity_SKU_Demand!$I$2:$I$195,Opportunity_SKU_Demand!$D$2:$D$195,$A110,Opportunity_SKU_Demand!$E$2:$E$195,$B110,Opportunity_SKU_Demand!$F$2:$F$195,$C110)</f>
        <v>960</v>
      </c>
      <c r="G110" s="9">
        <f>COUNTIFS(Opportunity_SKU_Demand!$D$2:$D$195,$A110,Opportunity_SKU_Demand!$E$2:$E$195,$B110,Opportunity_SKU_Demand!$F$2:$F$195,$C110)</f>
        <v>1</v>
      </c>
    </row>
    <row r="111" spans="1:7" x14ac:dyDescent="0.25">
      <c r="A111" s="1" t="s">
        <v>217</v>
      </c>
      <c r="B111" s="1" t="s">
        <v>307</v>
      </c>
      <c r="C111" s="1" t="s">
        <v>321</v>
      </c>
      <c r="D111" s="9">
        <v>128</v>
      </c>
      <c r="E111" s="9">
        <f>SUMIFS(Opportunity_SKU_Demand!$H$2:$H$195,Opportunity_SKU_Demand!$D$2:$D$195,$A111,Opportunity_SKU_Demand!$E$2:$E$195,$B111,Opportunity_SKU_Demand!$F$2:$F$195,$C111)</f>
        <v>8</v>
      </c>
      <c r="F111" s="9">
        <f>SUMIFS(Opportunity_SKU_Demand!$I$2:$I$195,Opportunity_SKU_Demand!$D$2:$D$195,$A111,Opportunity_SKU_Demand!$E$2:$E$195,$B111,Opportunity_SKU_Demand!$F$2:$F$195,$C111)</f>
        <v>1024</v>
      </c>
      <c r="G111" s="9">
        <f>COUNTIFS(Opportunity_SKU_Demand!$D$2:$D$195,$A111,Opportunity_SKU_Demand!$E$2:$E$195,$B111,Opportunity_SKU_Demand!$F$2:$F$195,$C111)</f>
        <v>2</v>
      </c>
    </row>
    <row r="112" spans="1:7" x14ac:dyDescent="0.25">
      <c r="A112" s="1" t="s">
        <v>191</v>
      </c>
      <c r="B112" s="1" t="s">
        <v>291</v>
      </c>
      <c r="C112" s="1" t="s">
        <v>317</v>
      </c>
      <c r="D112" s="9">
        <v>32</v>
      </c>
      <c r="E112" s="9">
        <f>SUMIFS(Opportunity_SKU_Demand!$H$2:$H$195,Opportunity_SKU_Demand!$D$2:$D$195,$A112,Opportunity_SKU_Demand!$E$2:$E$195,$B112,Opportunity_SKU_Demand!$F$2:$F$195,$C112)</f>
        <v>24</v>
      </c>
      <c r="F112" s="9">
        <f>SUMIFS(Opportunity_SKU_Demand!$I$2:$I$195,Opportunity_SKU_Demand!$D$2:$D$195,$A112,Opportunity_SKU_Demand!$E$2:$E$195,$B112,Opportunity_SKU_Demand!$F$2:$F$195,$C112)</f>
        <v>768</v>
      </c>
      <c r="G112" s="9">
        <f>COUNTIFS(Opportunity_SKU_Demand!$D$2:$D$195,$A112,Opportunity_SKU_Demand!$E$2:$E$195,$B112,Opportunity_SKU_Demand!$F$2:$F$195,$C112)</f>
        <v>1</v>
      </c>
    </row>
    <row r="113" spans="1:7" x14ac:dyDescent="0.25">
      <c r="A113" s="1" t="s">
        <v>191</v>
      </c>
      <c r="B113" s="1" t="s">
        <v>291</v>
      </c>
      <c r="C113" s="1" t="s">
        <v>305</v>
      </c>
      <c r="D113" s="9">
        <v>8</v>
      </c>
      <c r="E113" s="9">
        <f>SUMIFS(Opportunity_SKU_Demand!$H$2:$H$195,Opportunity_SKU_Demand!$D$2:$D$195,$A113,Opportunity_SKU_Demand!$E$2:$E$195,$B113,Opportunity_SKU_Demand!$F$2:$F$195,$C113)</f>
        <v>80</v>
      </c>
      <c r="F113" s="9">
        <f>SUMIFS(Opportunity_SKU_Demand!$I$2:$I$195,Opportunity_SKU_Demand!$D$2:$D$195,$A113,Opportunity_SKU_Demand!$E$2:$E$195,$B113,Opportunity_SKU_Demand!$F$2:$F$195,$C113)</f>
        <v>640</v>
      </c>
      <c r="G113" s="9">
        <f>COUNTIFS(Opportunity_SKU_Demand!$D$2:$D$195,$A113,Opportunity_SKU_Demand!$E$2:$E$195,$B113,Opportunity_SKU_Demand!$F$2:$F$195,$C113)</f>
        <v>2</v>
      </c>
    </row>
    <row r="114" spans="1:7" x14ac:dyDescent="0.25">
      <c r="A114" s="1" t="s">
        <v>191</v>
      </c>
      <c r="B114" s="1" t="s">
        <v>291</v>
      </c>
      <c r="C114" s="1" t="s">
        <v>326</v>
      </c>
      <c r="D114" s="9">
        <v>16</v>
      </c>
      <c r="E114" s="9">
        <f>SUMIFS(Opportunity_SKU_Demand!$H$2:$H$195,Opportunity_SKU_Demand!$D$2:$D$195,$A114,Opportunity_SKU_Demand!$E$2:$E$195,$B114,Opportunity_SKU_Demand!$F$2:$F$195,$C114)</f>
        <v>30</v>
      </c>
      <c r="F114" s="9">
        <f>SUMIFS(Opportunity_SKU_Demand!$I$2:$I$195,Opportunity_SKU_Demand!$D$2:$D$195,$A114,Opportunity_SKU_Demand!$E$2:$E$195,$B114,Opportunity_SKU_Demand!$F$2:$F$195,$C114)</f>
        <v>480</v>
      </c>
      <c r="G114" s="9">
        <f>COUNTIFS(Opportunity_SKU_Demand!$D$2:$D$195,$A114,Opportunity_SKU_Demand!$E$2:$E$195,$B114,Opportunity_SKU_Demand!$F$2:$F$195,$C114)</f>
        <v>1</v>
      </c>
    </row>
    <row r="115" spans="1:7" x14ac:dyDescent="0.25">
      <c r="A115" s="1" t="s">
        <v>191</v>
      </c>
      <c r="B115" s="1" t="s">
        <v>291</v>
      </c>
      <c r="C115" s="1" t="s">
        <v>366</v>
      </c>
      <c r="D115" s="9">
        <v>32</v>
      </c>
      <c r="E115" s="9">
        <f>SUMIFS(Opportunity_SKU_Demand!$H$2:$H$195,Opportunity_SKU_Demand!$D$2:$D$195,$A115,Opportunity_SKU_Demand!$E$2:$E$195,$B115,Opportunity_SKU_Demand!$F$2:$F$195,$C115)</f>
        <v>75</v>
      </c>
      <c r="F115" s="9">
        <f>SUMIFS(Opportunity_SKU_Demand!$I$2:$I$195,Opportunity_SKU_Demand!$D$2:$D$195,$A115,Opportunity_SKU_Demand!$E$2:$E$195,$B115,Opportunity_SKU_Demand!$F$2:$F$195,$C115)</f>
        <v>2400</v>
      </c>
      <c r="G115" s="9">
        <f>COUNTIFS(Opportunity_SKU_Demand!$D$2:$D$195,$A115,Opportunity_SKU_Demand!$E$2:$E$195,$B115,Opportunity_SKU_Demand!$F$2:$F$195,$C115)</f>
        <v>1</v>
      </c>
    </row>
    <row r="116" spans="1:7" x14ac:dyDescent="0.25">
      <c r="A116" s="1" t="s">
        <v>191</v>
      </c>
      <c r="B116" s="1" t="s">
        <v>291</v>
      </c>
      <c r="C116" s="1" t="s">
        <v>337</v>
      </c>
      <c r="D116" s="9">
        <v>32</v>
      </c>
      <c r="E116" s="9">
        <f>SUMIFS(Opportunity_SKU_Demand!$H$2:$H$195,Opportunity_SKU_Demand!$D$2:$D$195,$A116,Opportunity_SKU_Demand!$E$2:$E$195,$B116,Opportunity_SKU_Demand!$F$2:$F$195,$C116)</f>
        <v>40</v>
      </c>
      <c r="F116" s="9">
        <f>SUMIFS(Opportunity_SKU_Demand!$I$2:$I$195,Opportunity_SKU_Demand!$D$2:$D$195,$A116,Opportunity_SKU_Demand!$E$2:$E$195,$B116,Opportunity_SKU_Demand!$F$2:$F$195,$C116)</f>
        <v>1280</v>
      </c>
      <c r="G116" s="9">
        <f>COUNTIFS(Opportunity_SKU_Demand!$D$2:$D$195,$A116,Opportunity_SKU_Demand!$E$2:$E$195,$B116,Opportunity_SKU_Demand!$F$2:$F$195,$C116)</f>
        <v>1</v>
      </c>
    </row>
    <row r="117" spans="1:7" x14ac:dyDescent="0.25">
      <c r="A117" s="1" t="s">
        <v>191</v>
      </c>
      <c r="B117" s="1" t="s">
        <v>291</v>
      </c>
      <c r="C117" s="1" t="s">
        <v>340</v>
      </c>
      <c r="D117" s="9">
        <v>32</v>
      </c>
      <c r="E117" s="9">
        <f>SUMIFS(Opportunity_SKU_Demand!$H$2:$H$195,Opportunity_SKU_Demand!$D$2:$D$195,$A117,Opportunity_SKU_Demand!$E$2:$E$195,$B117,Opportunity_SKU_Demand!$F$2:$F$195,$C117)</f>
        <v>60</v>
      </c>
      <c r="F117" s="9">
        <f>SUMIFS(Opportunity_SKU_Demand!$I$2:$I$195,Opportunity_SKU_Demand!$D$2:$D$195,$A117,Opportunity_SKU_Demand!$E$2:$E$195,$B117,Opportunity_SKU_Demand!$F$2:$F$195,$C117)</f>
        <v>1920</v>
      </c>
      <c r="G117" s="9">
        <f>COUNTIFS(Opportunity_SKU_Demand!$D$2:$D$195,$A117,Opportunity_SKU_Demand!$E$2:$E$195,$B117,Opportunity_SKU_Demand!$F$2:$F$195,$C117)</f>
        <v>1</v>
      </c>
    </row>
    <row r="118" spans="1:7" x14ac:dyDescent="0.25">
      <c r="A118" s="1" t="s">
        <v>191</v>
      </c>
      <c r="B118" s="1" t="s">
        <v>299</v>
      </c>
      <c r="C118" s="1" t="s">
        <v>317</v>
      </c>
      <c r="D118" s="9">
        <v>32</v>
      </c>
      <c r="E118" s="9">
        <f>SUMIFS(Opportunity_SKU_Demand!$H$2:$H$195,Opportunity_SKU_Demand!$D$2:$D$195,$A118,Opportunity_SKU_Demand!$E$2:$E$195,$B118,Opportunity_SKU_Demand!$F$2:$F$195,$C118)</f>
        <v>20</v>
      </c>
      <c r="F118" s="9">
        <f>SUMIFS(Opportunity_SKU_Demand!$I$2:$I$195,Opportunity_SKU_Demand!$D$2:$D$195,$A118,Opportunity_SKU_Demand!$E$2:$E$195,$B118,Opportunity_SKU_Demand!$F$2:$F$195,$C118)</f>
        <v>640</v>
      </c>
      <c r="G118" s="9">
        <f>COUNTIFS(Opportunity_SKU_Demand!$D$2:$D$195,$A118,Opportunity_SKU_Demand!$E$2:$E$195,$B118,Opportunity_SKU_Demand!$F$2:$F$195,$C118)</f>
        <v>1</v>
      </c>
    </row>
    <row r="119" spans="1:7" x14ac:dyDescent="0.25">
      <c r="A119" s="1" t="s">
        <v>191</v>
      </c>
      <c r="B119" s="1" t="s">
        <v>299</v>
      </c>
      <c r="C119" s="1" t="s">
        <v>308</v>
      </c>
      <c r="D119" s="9">
        <v>64</v>
      </c>
      <c r="E119" s="9">
        <f>SUMIFS(Opportunity_SKU_Demand!$H$2:$H$195,Opportunity_SKU_Demand!$D$2:$D$195,$A119,Opportunity_SKU_Demand!$E$2:$E$195,$B119,Opportunity_SKU_Demand!$F$2:$F$195,$C119)</f>
        <v>20</v>
      </c>
      <c r="F119" s="9">
        <f>SUMIFS(Opportunity_SKU_Demand!$I$2:$I$195,Opportunity_SKU_Demand!$D$2:$D$195,$A119,Opportunity_SKU_Demand!$E$2:$E$195,$B119,Opportunity_SKU_Demand!$F$2:$F$195,$C119)</f>
        <v>1280</v>
      </c>
      <c r="G119" s="9">
        <f>COUNTIFS(Opportunity_SKU_Demand!$D$2:$D$195,$A119,Opportunity_SKU_Demand!$E$2:$E$195,$B119,Opportunity_SKU_Demand!$F$2:$F$195,$C119)</f>
        <v>1</v>
      </c>
    </row>
    <row r="120" spans="1:7" x14ac:dyDescent="0.25">
      <c r="A120" s="1" t="s">
        <v>191</v>
      </c>
      <c r="B120" s="1" t="s">
        <v>299</v>
      </c>
      <c r="C120" s="1" t="s">
        <v>337</v>
      </c>
      <c r="D120" s="9">
        <v>32</v>
      </c>
      <c r="E120" s="9">
        <f>SUMIFS(Opportunity_SKU_Demand!$H$2:$H$195,Opportunity_SKU_Demand!$D$2:$D$195,$A120,Opportunity_SKU_Demand!$E$2:$E$195,$B120,Opportunity_SKU_Demand!$F$2:$F$195,$C120)</f>
        <v>160</v>
      </c>
      <c r="F120" s="9">
        <f>SUMIFS(Opportunity_SKU_Demand!$I$2:$I$195,Opportunity_SKU_Demand!$D$2:$D$195,$A120,Opportunity_SKU_Demand!$E$2:$E$195,$B120,Opportunity_SKU_Demand!$F$2:$F$195,$C120)</f>
        <v>5120</v>
      </c>
      <c r="G120" s="9">
        <f>COUNTIFS(Opportunity_SKU_Demand!$D$2:$D$195,$A120,Opportunity_SKU_Demand!$E$2:$E$195,$B120,Opportunity_SKU_Demand!$F$2:$F$195,$C120)</f>
        <v>2</v>
      </c>
    </row>
    <row r="121" spans="1:7" x14ac:dyDescent="0.25">
      <c r="A121" s="1" t="s">
        <v>191</v>
      </c>
      <c r="B121" s="1" t="s">
        <v>299</v>
      </c>
      <c r="C121" s="1" t="s">
        <v>333</v>
      </c>
      <c r="D121" s="9">
        <v>16</v>
      </c>
      <c r="E121" s="9">
        <f>SUMIFS(Opportunity_SKU_Demand!$H$2:$H$195,Opportunity_SKU_Demand!$D$2:$D$195,$A121,Opportunity_SKU_Demand!$E$2:$E$195,$B121,Opportunity_SKU_Demand!$F$2:$F$195,$C121)</f>
        <v>75</v>
      </c>
      <c r="F121" s="9">
        <f>SUMIFS(Opportunity_SKU_Demand!$I$2:$I$195,Opportunity_SKU_Demand!$D$2:$D$195,$A121,Opportunity_SKU_Demand!$E$2:$E$195,$B121,Opportunity_SKU_Demand!$F$2:$F$195,$C121)</f>
        <v>1200</v>
      </c>
      <c r="G121" s="9">
        <f>COUNTIFS(Opportunity_SKU_Demand!$D$2:$D$195,$A121,Opportunity_SKU_Demand!$E$2:$E$195,$B121,Opportunity_SKU_Demand!$F$2:$F$195,$C121)</f>
        <v>1</v>
      </c>
    </row>
    <row r="122" spans="1:7" x14ac:dyDescent="0.25">
      <c r="A122" s="1" t="s">
        <v>191</v>
      </c>
      <c r="B122" s="1" t="s">
        <v>307</v>
      </c>
      <c r="C122" s="1" t="s">
        <v>402</v>
      </c>
      <c r="D122" s="9">
        <v>16</v>
      </c>
      <c r="E122" s="9">
        <f>SUMIFS(Opportunity_SKU_Demand!$H$2:$H$195,Opportunity_SKU_Demand!$D$2:$D$195,$A122,Opportunity_SKU_Demand!$E$2:$E$195,$B122,Opportunity_SKU_Demand!$F$2:$F$195,$C122)</f>
        <v>40</v>
      </c>
      <c r="F122" s="9">
        <f>SUMIFS(Opportunity_SKU_Demand!$I$2:$I$195,Opportunity_SKU_Demand!$D$2:$D$195,$A122,Opportunity_SKU_Demand!$E$2:$E$195,$B122,Opportunity_SKU_Demand!$F$2:$F$195,$C122)</f>
        <v>640</v>
      </c>
      <c r="G122" s="9">
        <f>COUNTIFS(Opportunity_SKU_Demand!$D$2:$D$195,$A122,Opportunity_SKU_Demand!$E$2:$E$195,$B122,Opportunity_SKU_Demand!$F$2:$F$195,$C122)</f>
        <v>1</v>
      </c>
    </row>
    <row r="123" spans="1:7" x14ac:dyDescent="0.25">
      <c r="A123" s="1" t="s">
        <v>191</v>
      </c>
      <c r="B123" s="1" t="s">
        <v>307</v>
      </c>
      <c r="C123" s="1" t="s">
        <v>292</v>
      </c>
      <c r="D123" s="9">
        <v>16</v>
      </c>
      <c r="E123" s="9">
        <f>SUMIFS(Opportunity_SKU_Demand!$H$2:$H$195,Opportunity_SKU_Demand!$D$2:$D$195,$A123,Opportunity_SKU_Demand!$E$2:$E$195,$B123,Opportunity_SKU_Demand!$F$2:$F$195,$C123)</f>
        <v>16</v>
      </c>
      <c r="F123" s="9">
        <f>SUMIFS(Opportunity_SKU_Demand!$I$2:$I$195,Opportunity_SKU_Demand!$D$2:$D$195,$A123,Opportunity_SKU_Demand!$E$2:$E$195,$B123,Opportunity_SKU_Demand!$F$2:$F$195,$C123)</f>
        <v>256</v>
      </c>
      <c r="G123" s="9">
        <f>COUNTIFS(Opportunity_SKU_Demand!$D$2:$D$195,$A123,Opportunity_SKU_Demand!$E$2:$E$195,$B123,Opportunity_SKU_Demand!$F$2:$F$195,$C123)</f>
        <v>1</v>
      </c>
    </row>
    <row r="124" spans="1:7" x14ac:dyDescent="0.25">
      <c r="A124" s="1" t="s">
        <v>191</v>
      </c>
      <c r="B124" s="1" t="s">
        <v>307</v>
      </c>
      <c r="C124" s="1" t="s">
        <v>308</v>
      </c>
      <c r="D124" s="9">
        <v>64</v>
      </c>
      <c r="E124" s="9">
        <f>SUMIFS(Opportunity_SKU_Demand!$H$2:$H$195,Opportunity_SKU_Demand!$D$2:$D$195,$A124,Opportunity_SKU_Demand!$E$2:$E$195,$B124,Opportunity_SKU_Demand!$F$2:$F$195,$C124)</f>
        <v>60</v>
      </c>
      <c r="F124" s="9">
        <f>SUMIFS(Opportunity_SKU_Demand!$I$2:$I$195,Opportunity_SKU_Demand!$D$2:$D$195,$A124,Opportunity_SKU_Demand!$E$2:$E$195,$B124,Opportunity_SKU_Demand!$F$2:$F$195,$C124)</f>
        <v>3840</v>
      </c>
      <c r="G124" s="9">
        <f>COUNTIFS(Opportunity_SKU_Demand!$D$2:$D$195,$A124,Opportunity_SKU_Demand!$E$2:$E$195,$B124,Opportunity_SKU_Demand!$F$2:$F$195,$C124)</f>
        <v>1</v>
      </c>
    </row>
    <row r="125" spans="1:7" x14ac:dyDescent="0.25">
      <c r="A125" s="1" t="s">
        <v>191</v>
      </c>
      <c r="B125" s="1" t="s">
        <v>307</v>
      </c>
      <c r="C125" s="1" t="s">
        <v>305</v>
      </c>
      <c r="D125" s="9">
        <v>8</v>
      </c>
      <c r="E125" s="9">
        <f>SUMIFS(Opportunity_SKU_Demand!$H$2:$H$195,Opportunity_SKU_Demand!$D$2:$D$195,$A125,Opportunity_SKU_Demand!$E$2:$E$195,$B125,Opportunity_SKU_Demand!$F$2:$F$195,$C125)</f>
        <v>20</v>
      </c>
      <c r="F125" s="9">
        <f>SUMIFS(Opportunity_SKU_Demand!$I$2:$I$195,Opportunity_SKU_Demand!$D$2:$D$195,$A125,Opportunity_SKU_Demand!$E$2:$E$195,$B125,Opportunity_SKU_Demand!$F$2:$F$195,$C125)</f>
        <v>160</v>
      </c>
      <c r="G125" s="9">
        <f>COUNTIFS(Opportunity_SKU_Demand!$D$2:$D$195,$A125,Opportunity_SKU_Demand!$E$2:$E$195,$B125,Opportunity_SKU_Demand!$F$2:$F$195,$C125)</f>
        <v>1</v>
      </c>
    </row>
    <row r="126" spans="1:7" x14ac:dyDescent="0.25">
      <c r="A126" s="1" t="s">
        <v>191</v>
      </c>
      <c r="B126" s="1" t="s">
        <v>307</v>
      </c>
      <c r="C126" s="1" t="s">
        <v>366</v>
      </c>
      <c r="D126" s="9">
        <v>32</v>
      </c>
      <c r="E126" s="9">
        <f>SUMIFS(Opportunity_SKU_Demand!$H$2:$H$195,Opportunity_SKU_Demand!$D$2:$D$195,$A126,Opportunity_SKU_Demand!$E$2:$E$195,$B126,Opportunity_SKU_Demand!$F$2:$F$195,$C126)</f>
        <v>40</v>
      </c>
      <c r="F126" s="9">
        <f>SUMIFS(Opportunity_SKU_Demand!$I$2:$I$195,Opportunity_SKU_Demand!$D$2:$D$195,$A126,Opportunity_SKU_Demand!$E$2:$E$195,$B126,Opportunity_SKU_Demand!$F$2:$F$195,$C126)</f>
        <v>1280</v>
      </c>
      <c r="G126" s="9">
        <f>COUNTIFS(Opportunity_SKU_Demand!$D$2:$D$195,$A126,Opportunity_SKU_Demand!$E$2:$E$195,$B126,Opportunity_SKU_Demand!$F$2:$F$195,$C126)</f>
        <v>1</v>
      </c>
    </row>
    <row r="127" spans="1:7" x14ac:dyDescent="0.25">
      <c r="A127" s="1" t="s">
        <v>191</v>
      </c>
      <c r="B127" s="1" t="s">
        <v>307</v>
      </c>
      <c r="C127" s="1" t="s">
        <v>351</v>
      </c>
      <c r="D127" s="9">
        <v>176</v>
      </c>
      <c r="E127" s="9">
        <f>SUMIFS(Opportunity_SKU_Demand!$H$2:$H$195,Opportunity_SKU_Demand!$D$2:$D$195,$A127,Opportunity_SKU_Demand!$E$2:$E$195,$B127,Opportunity_SKU_Demand!$F$2:$F$195,$C127)</f>
        <v>44</v>
      </c>
      <c r="F127" s="9">
        <f>SUMIFS(Opportunity_SKU_Demand!$I$2:$I$195,Opportunity_SKU_Demand!$D$2:$D$195,$A127,Opportunity_SKU_Demand!$E$2:$E$195,$B127,Opportunity_SKU_Demand!$F$2:$F$195,$C127)</f>
        <v>7744</v>
      </c>
      <c r="G127" s="9">
        <f>COUNTIFS(Opportunity_SKU_Demand!$D$2:$D$195,$A127,Opportunity_SKU_Demand!$E$2:$E$195,$B127,Opportunity_SKU_Demand!$F$2:$F$195,$C127)</f>
        <v>2</v>
      </c>
    </row>
    <row r="128" spans="1:7" x14ac:dyDescent="0.25">
      <c r="A128" s="1" t="s">
        <v>191</v>
      </c>
      <c r="B128" s="1" t="s">
        <v>307</v>
      </c>
      <c r="C128" s="1" t="s">
        <v>333</v>
      </c>
      <c r="D128" s="9">
        <v>16</v>
      </c>
      <c r="E128" s="9">
        <f>SUMIFS(Opportunity_SKU_Demand!$H$2:$H$195,Opportunity_SKU_Demand!$D$2:$D$195,$A128,Opportunity_SKU_Demand!$E$2:$E$195,$B128,Opportunity_SKU_Demand!$F$2:$F$195,$C128)</f>
        <v>16</v>
      </c>
      <c r="F128" s="9">
        <f>SUMIFS(Opportunity_SKU_Demand!$I$2:$I$195,Opportunity_SKU_Demand!$D$2:$D$195,$A128,Opportunity_SKU_Demand!$E$2:$E$195,$B128,Opportunity_SKU_Demand!$F$2:$F$195,$C128)</f>
        <v>256</v>
      </c>
      <c r="G128" s="9">
        <f>COUNTIFS(Opportunity_SKU_Demand!$D$2:$D$195,$A128,Opportunity_SKU_Demand!$E$2:$E$195,$B128,Opportunity_SKU_Demand!$F$2:$F$195,$C128)</f>
        <v>1</v>
      </c>
    </row>
    <row r="129" spans="1:7" x14ac:dyDescent="0.25">
      <c r="A129" s="1" t="s">
        <v>192</v>
      </c>
      <c r="B129" s="1" t="s">
        <v>291</v>
      </c>
      <c r="C129" s="1" t="s">
        <v>292</v>
      </c>
      <c r="D129" s="9">
        <v>16</v>
      </c>
      <c r="E129" s="9">
        <f>SUMIFS(Opportunity_SKU_Demand!$H$2:$H$195,Opportunity_SKU_Demand!$D$2:$D$195,$A129,Opportunity_SKU_Demand!$E$2:$E$195,$B129,Opportunity_SKU_Demand!$F$2:$F$195,$C129)</f>
        <v>40</v>
      </c>
      <c r="F129" s="9">
        <f>SUMIFS(Opportunity_SKU_Demand!$I$2:$I$195,Opportunity_SKU_Demand!$D$2:$D$195,$A129,Opportunity_SKU_Demand!$E$2:$E$195,$B129,Opportunity_SKU_Demand!$F$2:$F$195,$C129)</f>
        <v>640</v>
      </c>
      <c r="G129" s="9">
        <f>COUNTIFS(Opportunity_SKU_Demand!$D$2:$D$195,$A129,Opportunity_SKU_Demand!$E$2:$E$195,$B129,Opportunity_SKU_Demand!$F$2:$F$195,$C129)</f>
        <v>1</v>
      </c>
    </row>
    <row r="130" spans="1:7" x14ac:dyDescent="0.25">
      <c r="A130" s="1" t="s">
        <v>192</v>
      </c>
      <c r="B130" s="1" t="s">
        <v>291</v>
      </c>
      <c r="C130" s="1" t="s">
        <v>317</v>
      </c>
      <c r="D130" s="9">
        <v>32</v>
      </c>
      <c r="E130" s="9">
        <f>SUMIFS(Opportunity_SKU_Demand!$H$2:$H$195,Opportunity_SKU_Demand!$D$2:$D$195,$A130,Opportunity_SKU_Demand!$E$2:$E$195,$B130,Opportunity_SKU_Demand!$F$2:$F$195,$C130)</f>
        <v>60</v>
      </c>
      <c r="F130" s="9">
        <f>SUMIFS(Opportunity_SKU_Demand!$I$2:$I$195,Opportunity_SKU_Demand!$D$2:$D$195,$A130,Opportunity_SKU_Demand!$E$2:$E$195,$B130,Opportunity_SKU_Demand!$F$2:$F$195,$C130)</f>
        <v>1920</v>
      </c>
      <c r="G130" s="9">
        <f>COUNTIFS(Opportunity_SKU_Demand!$D$2:$D$195,$A130,Opportunity_SKU_Demand!$E$2:$E$195,$B130,Opportunity_SKU_Demand!$F$2:$F$195,$C130)</f>
        <v>1</v>
      </c>
    </row>
    <row r="131" spans="1:7" x14ac:dyDescent="0.25">
      <c r="A131" s="1" t="s">
        <v>192</v>
      </c>
      <c r="B131" s="1" t="s">
        <v>291</v>
      </c>
      <c r="C131" s="1" t="s">
        <v>366</v>
      </c>
      <c r="D131" s="9">
        <v>32</v>
      </c>
      <c r="E131" s="9">
        <f>SUMIFS(Opportunity_SKU_Demand!$H$2:$H$195,Opportunity_SKU_Demand!$D$2:$D$195,$A131,Opportunity_SKU_Demand!$E$2:$E$195,$B131,Opportunity_SKU_Demand!$F$2:$F$195,$C131)</f>
        <v>60</v>
      </c>
      <c r="F131" s="9">
        <f>SUMIFS(Opportunity_SKU_Demand!$I$2:$I$195,Opportunity_SKU_Demand!$D$2:$D$195,$A131,Opportunity_SKU_Demand!$E$2:$E$195,$B131,Opportunity_SKU_Demand!$F$2:$F$195,$C131)</f>
        <v>1920</v>
      </c>
      <c r="G131" s="9">
        <f>COUNTIFS(Opportunity_SKU_Demand!$D$2:$D$195,$A131,Opportunity_SKU_Demand!$E$2:$E$195,$B131,Opportunity_SKU_Demand!$F$2:$F$195,$C131)</f>
        <v>1</v>
      </c>
    </row>
    <row r="132" spans="1:7" x14ac:dyDescent="0.25">
      <c r="A132" s="1" t="s">
        <v>192</v>
      </c>
      <c r="B132" s="1" t="s">
        <v>291</v>
      </c>
      <c r="C132" s="1" t="s">
        <v>337</v>
      </c>
      <c r="D132" s="9">
        <v>32</v>
      </c>
      <c r="E132" s="9">
        <f>SUMIFS(Opportunity_SKU_Demand!$H$2:$H$195,Opportunity_SKU_Demand!$D$2:$D$195,$A132,Opportunity_SKU_Demand!$E$2:$E$195,$B132,Opportunity_SKU_Demand!$F$2:$F$195,$C132)</f>
        <v>48</v>
      </c>
      <c r="F132" s="9">
        <f>SUMIFS(Opportunity_SKU_Demand!$I$2:$I$195,Opportunity_SKU_Demand!$D$2:$D$195,$A132,Opportunity_SKU_Demand!$E$2:$E$195,$B132,Opportunity_SKU_Demand!$F$2:$F$195,$C132)</f>
        <v>1536</v>
      </c>
      <c r="G132" s="9">
        <f>COUNTIFS(Opportunity_SKU_Demand!$D$2:$D$195,$A132,Opportunity_SKU_Demand!$E$2:$E$195,$B132,Opportunity_SKU_Demand!$F$2:$F$195,$C132)</f>
        <v>1</v>
      </c>
    </row>
    <row r="133" spans="1:7" x14ac:dyDescent="0.25">
      <c r="A133" s="1" t="s">
        <v>192</v>
      </c>
      <c r="B133" s="1" t="s">
        <v>291</v>
      </c>
      <c r="C133" s="1" t="s">
        <v>300</v>
      </c>
      <c r="D133" s="9">
        <v>64</v>
      </c>
      <c r="E133" s="9">
        <f>SUMIFS(Opportunity_SKU_Demand!$H$2:$H$195,Opportunity_SKU_Demand!$D$2:$D$195,$A133,Opportunity_SKU_Demand!$E$2:$E$195,$B133,Opportunity_SKU_Demand!$F$2:$F$195,$C133)</f>
        <v>46</v>
      </c>
      <c r="F133" s="9">
        <f>SUMIFS(Opportunity_SKU_Demand!$I$2:$I$195,Opportunity_SKU_Demand!$D$2:$D$195,$A133,Opportunity_SKU_Demand!$E$2:$E$195,$B133,Opportunity_SKU_Demand!$F$2:$F$195,$C133)</f>
        <v>2944</v>
      </c>
      <c r="G133" s="9">
        <f>COUNTIFS(Opportunity_SKU_Demand!$D$2:$D$195,$A133,Opportunity_SKU_Demand!$E$2:$E$195,$B133,Opportunity_SKU_Demand!$F$2:$F$195,$C133)</f>
        <v>2</v>
      </c>
    </row>
    <row r="134" spans="1:7" x14ac:dyDescent="0.25">
      <c r="A134" s="1" t="s">
        <v>192</v>
      </c>
      <c r="B134" s="1" t="s">
        <v>291</v>
      </c>
      <c r="C134" s="1" t="s">
        <v>340</v>
      </c>
      <c r="D134" s="9">
        <v>32</v>
      </c>
      <c r="E134" s="9">
        <f>SUMIFS(Opportunity_SKU_Demand!$H$2:$H$195,Opportunity_SKU_Demand!$D$2:$D$195,$A134,Opportunity_SKU_Demand!$E$2:$E$195,$B134,Opportunity_SKU_Demand!$F$2:$F$195,$C134)</f>
        <v>165</v>
      </c>
      <c r="F134" s="9">
        <f>SUMIFS(Opportunity_SKU_Demand!$I$2:$I$195,Opportunity_SKU_Demand!$D$2:$D$195,$A134,Opportunity_SKU_Demand!$E$2:$E$195,$B134,Opportunity_SKU_Demand!$F$2:$F$195,$C134)</f>
        <v>5280</v>
      </c>
      <c r="G134" s="9">
        <f>COUNTIFS(Opportunity_SKU_Demand!$D$2:$D$195,$A134,Opportunity_SKU_Demand!$E$2:$E$195,$B134,Opportunity_SKU_Demand!$F$2:$F$195,$C134)</f>
        <v>3</v>
      </c>
    </row>
    <row r="135" spans="1:7" x14ac:dyDescent="0.25">
      <c r="A135" s="1" t="s">
        <v>192</v>
      </c>
      <c r="B135" s="1" t="s">
        <v>291</v>
      </c>
      <c r="C135" s="1" t="s">
        <v>351</v>
      </c>
      <c r="D135" s="9">
        <v>176</v>
      </c>
      <c r="E135" s="9">
        <f>SUMIFS(Opportunity_SKU_Demand!$H$2:$H$195,Opportunity_SKU_Demand!$D$2:$D$195,$A135,Opportunity_SKU_Demand!$E$2:$E$195,$B135,Opportunity_SKU_Demand!$F$2:$F$195,$C135)</f>
        <v>8</v>
      </c>
      <c r="F135" s="9">
        <f>SUMIFS(Opportunity_SKU_Demand!$I$2:$I$195,Opportunity_SKU_Demand!$D$2:$D$195,$A135,Opportunity_SKU_Demand!$E$2:$E$195,$B135,Opportunity_SKU_Demand!$F$2:$F$195,$C135)</f>
        <v>1408</v>
      </c>
      <c r="G135" s="9">
        <f>COUNTIFS(Opportunity_SKU_Demand!$D$2:$D$195,$A135,Opportunity_SKU_Demand!$E$2:$E$195,$B135,Opportunity_SKU_Demand!$F$2:$F$195,$C135)</f>
        <v>1</v>
      </c>
    </row>
    <row r="136" spans="1:7" x14ac:dyDescent="0.25">
      <c r="A136" s="1" t="s">
        <v>192</v>
      </c>
      <c r="B136" s="1" t="s">
        <v>291</v>
      </c>
      <c r="C136" s="1" t="s">
        <v>333</v>
      </c>
      <c r="D136" s="9">
        <v>16</v>
      </c>
      <c r="E136" s="9">
        <f>SUMIFS(Opportunity_SKU_Demand!$H$2:$H$195,Opportunity_SKU_Demand!$D$2:$D$195,$A136,Opportunity_SKU_Demand!$E$2:$E$195,$B136,Opportunity_SKU_Demand!$F$2:$F$195,$C136)</f>
        <v>100</v>
      </c>
      <c r="F136" s="9">
        <f>SUMIFS(Opportunity_SKU_Demand!$I$2:$I$195,Opportunity_SKU_Demand!$D$2:$D$195,$A136,Opportunity_SKU_Demand!$E$2:$E$195,$B136,Opportunity_SKU_Demand!$F$2:$F$195,$C136)</f>
        <v>1600</v>
      </c>
      <c r="G136" s="9">
        <f>COUNTIFS(Opportunity_SKU_Demand!$D$2:$D$195,$A136,Opportunity_SKU_Demand!$E$2:$E$195,$B136,Opportunity_SKU_Demand!$F$2:$F$195,$C136)</f>
        <v>2</v>
      </c>
    </row>
    <row r="137" spans="1:7" x14ac:dyDescent="0.25">
      <c r="A137" s="1" t="s">
        <v>192</v>
      </c>
      <c r="B137" s="1" t="s">
        <v>291</v>
      </c>
      <c r="C137" s="1" t="s">
        <v>382</v>
      </c>
      <c r="D137" s="9">
        <v>24</v>
      </c>
      <c r="E137" s="9">
        <f>SUMIFS(Opportunity_SKU_Demand!$H$2:$H$195,Opportunity_SKU_Demand!$D$2:$D$195,$A137,Opportunity_SKU_Demand!$E$2:$E$195,$B137,Opportunity_SKU_Demand!$F$2:$F$195,$C137)</f>
        <v>10</v>
      </c>
      <c r="F137" s="9">
        <f>SUMIFS(Opportunity_SKU_Demand!$I$2:$I$195,Opportunity_SKU_Demand!$D$2:$D$195,$A137,Opportunity_SKU_Demand!$E$2:$E$195,$B137,Opportunity_SKU_Demand!$F$2:$F$195,$C137)</f>
        <v>240</v>
      </c>
      <c r="G137" s="9">
        <f>COUNTIFS(Opportunity_SKU_Demand!$D$2:$D$195,$A137,Opportunity_SKU_Demand!$E$2:$E$195,$B137,Opportunity_SKU_Demand!$F$2:$F$195,$C137)</f>
        <v>1</v>
      </c>
    </row>
    <row r="138" spans="1:7" x14ac:dyDescent="0.25">
      <c r="A138" s="1" t="s">
        <v>192</v>
      </c>
      <c r="B138" s="1" t="s">
        <v>291</v>
      </c>
      <c r="C138" s="1" t="s">
        <v>330</v>
      </c>
      <c r="D138" s="9">
        <v>40</v>
      </c>
      <c r="E138" s="9">
        <f>SUMIFS(Opportunity_SKU_Demand!$H$2:$H$195,Opportunity_SKU_Demand!$D$2:$D$195,$A138,Opportunity_SKU_Demand!$E$2:$E$195,$B138,Opportunity_SKU_Demand!$F$2:$F$195,$C138)</f>
        <v>40</v>
      </c>
      <c r="F138" s="9">
        <f>SUMIFS(Opportunity_SKU_Demand!$I$2:$I$195,Opportunity_SKU_Demand!$D$2:$D$195,$A138,Opportunity_SKU_Demand!$E$2:$E$195,$B138,Opportunity_SKU_Demand!$F$2:$F$195,$C138)</f>
        <v>1600</v>
      </c>
      <c r="G138" s="9">
        <f>COUNTIFS(Opportunity_SKU_Demand!$D$2:$D$195,$A138,Opportunity_SKU_Demand!$E$2:$E$195,$B138,Opportunity_SKU_Demand!$F$2:$F$195,$C138)</f>
        <v>3</v>
      </c>
    </row>
    <row r="139" spans="1:7" x14ac:dyDescent="0.25">
      <c r="A139" s="1" t="s">
        <v>192</v>
      </c>
      <c r="B139" s="1" t="s">
        <v>299</v>
      </c>
      <c r="C139" s="1" t="s">
        <v>308</v>
      </c>
      <c r="D139" s="9">
        <v>64</v>
      </c>
      <c r="E139" s="9">
        <f>SUMIFS(Opportunity_SKU_Demand!$H$2:$H$195,Opportunity_SKU_Demand!$D$2:$D$195,$A139,Opportunity_SKU_Demand!$E$2:$E$195,$B139,Opportunity_SKU_Demand!$F$2:$F$195,$C139)</f>
        <v>75</v>
      </c>
      <c r="F139" s="9">
        <f>SUMIFS(Opportunity_SKU_Demand!$I$2:$I$195,Opportunity_SKU_Demand!$D$2:$D$195,$A139,Opportunity_SKU_Demand!$E$2:$E$195,$B139,Opportunity_SKU_Demand!$F$2:$F$195,$C139)</f>
        <v>4800</v>
      </c>
      <c r="G139" s="9">
        <f>COUNTIFS(Opportunity_SKU_Demand!$D$2:$D$195,$A139,Opportunity_SKU_Demand!$E$2:$E$195,$B139,Opportunity_SKU_Demand!$F$2:$F$195,$C139)</f>
        <v>1</v>
      </c>
    </row>
    <row r="140" spans="1:7" x14ac:dyDescent="0.25">
      <c r="A140" s="1" t="s">
        <v>192</v>
      </c>
      <c r="B140" s="1" t="s">
        <v>299</v>
      </c>
      <c r="C140" s="1" t="s">
        <v>300</v>
      </c>
      <c r="D140" s="9">
        <v>64</v>
      </c>
      <c r="E140" s="9">
        <f>SUMIFS(Opportunity_SKU_Demand!$H$2:$H$195,Opportunity_SKU_Demand!$D$2:$D$195,$A140,Opportunity_SKU_Demand!$E$2:$E$195,$B140,Opportunity_SKU_Demand!$F$2:$F$195,$C140)</f>
        <v>30</v>
      </c>
      <c r="F140" s="9">
        <f>SUMIFS(Opportunity_SKU_Demand!$I$2:$I$195,Opportunity_SKU_Demand!$D$2:$D$195,$A140,Opportunity_SKU_Demand!$E$2:$E$195,$B140,Opportunity_SKU_Demand!$F$2:$F$195,$C140)</f>
        <v>1920</v>
      </c>
      <c r="G140" s="9">
        <f>COUNTIFS(Opportunity_SKU_Demand!$D$2:$D$195,$A140,Opportunity_SKU_Demand!$E$2:$E$195,$B140,Opportunity_SKU_Demand!$F$2:$F$195,$C140)</f>
        <v>1</v>
      </c>
    </row>
    <row r="141" spans="1:7" x14ac:dyDescent="0.25">
      <c r="A141" s="1" t="s">
        <v>192</v>
      </c>
      <c r="B141" s="1" t="s">
        <v>299</v>
      </c>
      <c r="C141" s="1" t="s">
        <v>382</v>
      </c>
      <c r="D141" s="9">
        <v>24</v>
      </c>
      <c r="E141" s="9">
        <f>SUMIFS(Opportunity_SKU_Demand!$H$2:$H$195,Opportunity_SKU_Demand!$D$2:$D$195,$A141,Opportunity_SKU_Demand!$E$2:$E$195,$B141,Opportunity_SKU_Demand!$F$2:$F$195,$C141)</f>
        <v>24</v>
      </c>
      <c r="F141" s="9">
        <f>SUMIFS(Opportunity_SKU_Demand!$I$2:$I$195,Opportunity_SKU_Demand!$D$2:$D$195,$A141,Opportunity_SKU_Demand!$E$2:$E$195,$B141,Opportunity_SKU_Demand!$F$2:$F$195,$C141)</f>
        <v>576</v>
      </c>
      <c r="G141" s="9">
        <f>COUNTIFS(Opportunity_SKU_Demand!$D$2:$D$195,$A141,Opportunity_SKU_Demand!$E$2:$E$195,$B141,Opportunity_SKU_Demand!$F$2:$F$195,$C141)</f>
        <v>1</v>
      </c>
    </row>
    <row r="142" spans="1:7" x14ac:dyDescent="0.25">
      <c r="A142" s="1" t="s">
        <v>192</v>
      </c>
      <c r="B142" s="1" t="s">
        <v>299</v>
      </c>
      <c r="C142" s="1" t="s">
        <v>330</v>
      </c>
      <c r="D142" s="9">
        <v>40</v>
      </c>
      <c r="E142" s="9">
        <f>SUMIFS(Opportunity_SKU_Demand!$H$2:$H$195,Opportunity_SKU_Demand!$D$2:$D$195,$A142,Opportunity_SKU_Demand!$E$2:$E$195,$B142,Opportunity_SKU_Demand!$F$2:$F$195,$C142)</f>
        <v>12</v>
      </c>
      <c r="F142" s="9">
        <f>SUMIFS(Opportunity_SKU_Demand!$I$2:$I$195,Opportunity_SKU_Demand!$D$2:$D$195,$A142,Opportunity_SKU_Demand!$E$2:$E$195,$B142,Opportunity_SKU_Demand!$F$2:$F$195,$C142)</f>
        <v>480</v>
      </c>
      <c r="G142" s="9">
        <f>COUNTIFS(Opportunity_SKU_Demand!$D$2:$D$195,$A142,Opportunity_SKU_Demand!$E$2:$E$195,$B142,Opportunity_SKU_Demand!$F$2:$F$195,$C142)</f>
        <v>2</v>
      </c>
    </row>
    <row r="143" spans="1:7" x14ac:dyDescent="0.25">
      <c r="A143" s="1" t="s">
        <v>192</v>
      </c>
      <c r="B143" s="1" t="s">
        <v>299</v>
      </c>
      <c r="C143" s="1" t="s">
        <v>313</v>
      </c>
      <c r="D143" s="9">
        <v>96</v>
      </c>
      <c r="E143" s="9">
        <f>SUMIFS(Opportunity_SKU_Demand!$H$2:$H$195,Opportunity_SKU_Demand!$D$2:$D$195,$A143,Opportunity_SKU_Demand!$E$2:$E$195,$B143,Opportunity_SKU_Demand!$F$2:$F$195,$C143)</f>
        <v>20</v>
      </c>
      <c r="F143" s="9">
        <f>SUMIFS(Opportunity_SKU_Demand!$I$2:$I$195,Opportunity_SKU_Demand!$D$2:$D$195,$A143,Opportunity_SKU_Demand!$E$2:$E$195,$B143,Opportunity_SKU_Demand!$F$2:$F$195,$C143)</f>
        <v>1920</v>
      </c>
      <c r="G143" s="9">
        <f>COUNTIFS(Opportunity_SKU_Demand!$D$2:$D$195,$A143,Opportunity_SKU_Demand!$E$2:$E$195,$B143,Opportunity_SKU_Demand!$F$2:$F$195,$C143)</f>
        <v>1</v>
      </c>
    </row>
    <row r="144" spans="1:7" x14ac:dyDescent="0.25">
      <c r="A144" s="1" t="s">
        <v>192</v>
      </c>
      <c r="B144" s="1" t="s">
        <v>307</v>
      </c>
      <c r="C144" s="1" t="s">
        <v>317</v>
      </c>
      <c r="D144" s="9">
        <v>32</v>
      </c>
      <c r="E144" s="9">
        <f>SUMIFS(Opportunity_SKU_Demand!$H$2:$H$195,Opportunity_SKU_Demand!$D$2:$D$195,$A144,Opportunity_SKU_Demand!$E$2:$E$195,$B144,Opportunity_SKU_Demand!$F$2:$F$195,$C144)</f>
        <v>24</v>
      </c>
      <c r="F144" s="9">
        <f>SUMIFS(Opportunity_SKU_Demand!$I$2:$I$195,Opportunity_SKU_Demand!$D$2:$D$195,$A144,Opportunity_SKU_Demand!$E$2:$E$195,$B144,Opportunity_SKU_Demand!$F$2:$F$195,$C144)</f>
        <v>768</v>
      </c>
      <c r="G144" s="9">
        <f>COUNTIFS(Opportunity_SKU_Demand!$D$2:$D$195,$A144,Opportunity_SKU_Demand!$E$2:$E$195,$B144,Opportunity_SKU_Demand!$F$2:$F$195,$C144)</f>
        <v>1</v>
      </c>
    </row>
    <row r="145" spans="1:7" x14ac:dyDescent="0.25">
      <c r="A145" s="1" t="s">
        <v>192</v>
      </c>
      <c r="B145" s="1" t="s">
        <v>307</v>
      </c>
      <c r="C145" s="1" t="s">
        <v>305</v>
      </c>
      <c r="D145" s="9">
        <v>8</v>
      </c>
      <c r="E145" s="9">
        <f>SUMIFS(Opportunity_SKU_Demand!$H$2:$H$195,Opportunity_SKU_Demand!$D$2:$D$195,$A145,Opportunity_SKU_Demand!$E$2:$E$195,$B145,Opportunity_SKU_Demand!$F$2:$F$195,$C145)</f>
        <v>144</v>
      </c>
      <c r="F145" s="9">
        <f>SUMIFS(Opportunity_SKU_Demand!$I$2:$I$195,Opportunity_SKU_Demand!$D$2:$D$195,$A145,Opportunity_SKU_Demand!$E$2:$E$195,$B145,Opportunity_SKU_Demand!$F$2:$F$195,$C145)</f>
        <v>1152</v>
      </c>
      <c r="G145" s="9">
        <f>COUNTIFS(Opportunity_SKU_Demand!$D$2:$D$195,$A145,Opportunity_SKU_Demand!$E$2:$E$195,$B145,Opportunity_SKU_Demand!$F$2:$F$195,$C145)</f>
        <v>2</v>
      </c>
    </row>
    <row r="146" spans="1:7" x14ac:dyDescent="0.25">
      <c r="A146" s="1" t="s">
        <v>192</v>
      </c>
      <c r="B146" s="1" t="s">
        <v>307</v>
      </c>
      <c r="C146" s="1" t="s">
        <v>326</v>
      </c>
      <c r="D146" s="9">
        <v>16</v>
      </c>
      <c r="E146" s="9">
        <f>SUMIFS(Opportunity_SKU_Demand!$H$2:$H$195,Opportunity_SKU_Demand!$D$2:$D$195,$A146,Opportunity_SKU_Demand!$E$2:$E$195,$B146,Opportunity_SKU_Demand!$F$2:$F$195,$C146)</f>
        <v>140</v>
      </c>
      <c r="F146" s="9">
        <f>SUMIFS(Opportunity_SKU_Demand!$I$2:$I$195,Opportunity_SKU_Demand!$D$2:$D$195,$A146,Opportunity_SKU_Demand!$E$2:$E$195,$B146,Opportunity_SKU_Demand!$F$2:$F$195,$C146)</f>
        <v>2240</v>
      </c>
      <c r="G146" s="9">
        <f>COUNTIFS(Opportunity_SKU_Demand!$D$2:$D$195,$A146,Opportunity_SKU_Demand!$E$2:$E$195,$B146,Opportunity_SKU_Demand!$F$2:$F$195,$C146)</f>
        <v>2</v>
      </c>
    </row>
    <row r="147" spans="1:7" x14ac:dyDescent="0.25">
      <c r="A147" s="1" t="s">
        <v>192</v>
      </c>
      <c r="B147" s="1" t="s">
        <v>307</v>
      </c>
      <c r="C147" s="1" t="s">
        <v>337</v>
      </c>
      <c r="D147" s="9">
        <v>32</v>
      </c>
      <c r="E147" s="9">
        <f>SUMIFS(Opportunity_SKU_Demand!$H$2:$H$195,Opportunity_SKU_Demand!$D$2:$D$195,$A147,Opportunity_SKU_Demand!$E$2:$E$195,$B147,Opportunity_SKU_Demand!$F$2:$F$195,$C147)</f>
        <v>90</v>
      </c>
      <c r="F147" s="9">
        <f>SUMIFS(Opportunity_SKU_Demand!$I$2:$I$195,Opportunity_SKU_Demand!$D$2:$D$195,$A147,Opportunity_SKU_Demand!$E$2:$E$195,$B147,Opportunity_SKU_Demand!$F$2:$F$195,$C147)</f>
        <v>2880</v>
      </c>
      <c r="G147" s="9">
        <f>COUNTIFS(Opportunity_SKU_Demand!$D$2:$D$195,$A147,Opportunity_SKU_Demand!$E$2:$E$195,$B147,Opportunity_SKU_Demand!$F$2:$F$195,$C147)</f>
        <v>1</v>
      </c>
    </row>
    <row r="148" spans="1:7" x14ac:dyDescent="0.25">
      <c r="A148" s="1" t="s">
        <v>192</v>
      </c>
      <c r="B148" s="1" t="s">
        <v>307</v>
      </c>
      <c r="C148" s="1" t="s">
        <v>382</v>
      </c>
      <c r="D148" s="9">
        <v>24</v>
      </c>
      <c r="E148" s="9">
        <f>SUMIFS(Opportunity_SKU_Demand!$H$2:$H$195,Opportunity_SKU_Demand!$D$2:$D$195,$A148,Opportunity_SKU_Demand!$E$2:$E$195,$B148,Opportunity_SKU_Demand!$F$2:$F$195,$C148)</f>
        <v>16</v>
      </c>
      <c r="F148" s="9">
        <f>SUMIFS(Opportunity_SKU_Demand!$I$2:$I$195,Opportunity_SKU_Demand!$D$2:$D$195,$A148,Opportunity_SKU_Demand!$E$2:$E$195,$B148,Opportunity_SKU_Demand!$F$2:$F$195,$C148)</f>
        <v>384</v>
      </c>
      <c r="G148" s="9">
        <f>COUNTIFS(Opportunity_SKU_Demand!$D$2:$D$195,$A148,Opportunity_SKU_Demand!$E$2:$E$195,$B148,Opportunity_SKU_Demand!$F$2:$F$195,$C148)</f>
        <v>1</v>
      </c>
    </row>
    <row r="149" spans="1:7" x14ac:dyDescent="0.25">
      <c r="A149" s="1" t="s">
        <v>192</v>
      </c>
      <c r="B149" s="1" t="s">
        <v>307</v>
      </c>
      <c r="C149" s="1" t="s">
        <v>330</v>
      </c>
      <c r="D149" s="9">
        <v>40</v>
      </c>
      <c r="E149" s="9">
        <f>SUMIFS(Opportunity_SKU_Demand!$H$2:$H$195,Opportunity_SKU_Demand!$D$2:$D$195,$A149,Opportunity_SKU_Demand!$E$2:$E$195,$B149,Opportunity_SKU_Demand!$F$2:$F$195,$C149)</f>
        <v>32</v>
      </c>
      <c r="F149" s="9">
        <f>SUMIFS(Opportunity_SKU_Demand!$I$2:$I$195,Opportunity_SKU_Demand!$D$2:$D$195,$A149,Opportunity_SKU_Demand!$E$2:$E$195,$B149,Opportunity_SKU_Demand!$F$2:$F$195,$C149)</f>
        <v>1280</v>
      </c>
      <c r="G149" s="9">
        <f>COUNTIFS(Opportunity_SKU_Demand!$D$2:$D$195,$A149,Opportunity_SKU_Demand!$E$2:$E$195,$B149,Opportunity_SKU_Demand!$F$2:$F$195,$C149)</f>
        <v>1</v>
      </c>
    </row>
    <row r="150" spans="1:7" x14ac:dyDescent="0.25">
      <c r="A150" s="1" t="s">
        <v>192</v>
      </c>
      <c r="B150" s="1" t="s">
        <v>307</v>
      </c>
      <c r="C150" s="1" t="s">
        <v>313</v>
      </c>
      <c r="D150" s="9">
        <v>96</v>
      </c>
      <c r="E150" s="9">
        <f>SUMIFS(Opportunity_SKU_Demand!$H$2:$H$195,Opportunity_SKU_Demand!$D$2:$D$195,$A150,Opportunity_SKU_Demand!$E$2:$E$195,$B150,Opportunity_SKU_Demand!$F$2:$F$195,$C150)</f>
        <v>78</v>
      </c>
      <c r="F150" s="9">
        <f>SUMIFS(Opportunity_SKU_Demand!$I$2:$I$195,Opportunity_SKU_Demand!$D$2:$D$195,$A150,Opportunity_SKU_Demand!$E$2:$E$195,$B150,Opportunity_SKU_Demand!$F$2:$F$195,$C150)</f>
        <v>7488</v>
      </c>
      <c r="G150" s="9">
        <f>COUNTIFS(Opportunity_SKU_Demand!$D$2:$D$195,$A150,Opportunity_SKU_Demand!$E$2:$E$195,$B150,Opportunity_SKU_Demand!$F$2:$F$195,$C150)</f>
        <v>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CA43B-1AAD-45D9-A2B3-8A92AAB0440E}">
  <dimension ref="A1:H8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.7109375" customWidth="1"/>
    <col min="2" max="2" width="28.7109375" customWidth="1"/>
    <col min="3" max="3" width="21.7109375" customWidth="1"/>
    <col min="4" max="4" width="9.7109375" customWidth="1"/>
    <col min="5" max="5" width="11.7109375" customWidth="1"/>
    <col min="6" max="6" width="16.7109375" customWidth="1"/>
    <col min="7" max="7" width="9.7109375" customWidth="1"/>
    <col min="8" max="8" width="46.7109375" customWidth="1"/>
  </cols>
  <sheetData>
    <row r="1" spans="1:8" x14ac:dyDescent="0.25">
      <c r="A1" s="5" t="s">
        <v>129</v>
      </c>
      <c r="B1" s="5" t="s">
        <v>131</v>
      </c>
      <c r="C1" s="5" t="s">
        <v>133</v>
      </c>
      <c r="D1" s="5" t="s">
        <v>135</v>
      </c>
      <c r="E1" s="5" t="s">
        <v>137</v>
      </c>
      <c r="F1" s="5" t="s">
        <v>139</v>
      </c>
      <c r="G1" s="5" t="s">
        <v>141</v>
      </c>
      <c r="H1" s="5" t="s">
        <v>143</v>
      </c>
    </row>
    <row r="2" spans="1:8" x14ac:dyDescent="0.25">
      <c r="A2" s="1" t="s">
        <v>91</v>
      </c>
      <c r="B2" s="1" t="s">
        <v>192</v>
      </c>
      <c r="C2" s="1"/>
      <c r="D2" s="9"/>
      <c r="E2" s="9"/>
      <c r="F2" s="1"/>
      <c r="G2" s="1"/>
      <c r="H2" s="1" t="s">
        <v>519</v>
      </c>
    </row>
    <row r="3" spans="1:8" x14ac:dyDescent="0.25">
      <c r="A3" s="1" t="s">
        <v>91</v>
      </c>
      <c r="B3" s="1" t="s">
        <v>213</v>
      </c>
      <c r="C3" s="1"/>
      <c r="D3" s="9"/>
      <c r="E3" s="9"/>
      <c r="F3" s="1"/>
      <c r="G3" s="1"/>
      <c r="H3" s="1" t="s">
        <v>519</v>
      </c>
    </row>
    <row r="4" spans="1:8" x14ac:dyDescent="0.25">
      <c r="A4" s="1" t="s">
        <v>91</v>
      </c>
      <c r="B4" s="1" t="s">
        <v>198</v>
      </c>
      <c r="C4" s="1"/>
      <c r="D4" s="9"/>
      <c r="E4" s="9"/>
      <c r="F4" s="1"/>
      <c r="G4" s="1"/>
      <c r="H4" s="1" t="s">
        <v>519</v>
      </c>
    </row>
    <row r="5" spans="1:8" x14ac:dyDescent="0.25">
      <c r="A5" s="1" t="s">
        <v>91</v>
      </c>
      <c r="B5" s="1" t="s">
        <v>224</v>
      </c>
      <c r="C5" s="1"/>
      <c r="D5" s="9"/>
      <c r="E5" s="9"/>
      <c r="F5" s="1"/>
      <c r="G5" s="1"/>
      <c r="H5" s="1" t="s">
        <v>519</v>
      </c>
    </row>
    <row r="6" spans="1:8" x14ac:dyDescent="0.25">
      <c r="A6" s="1" t="s">
        <v>91</v>
      </c>
      <c r="B6" s="1" t="s">
        <v>235</v>
      </c>
      <c r="C6" s="1"/>
      <c r="D6" s="9"/>
      <c r="E6" s="9"/>
      <c r="F6" s="1"/>
      <c r="G6" s="1"/>
      <c r="H6" s="1" t="s">
        <v>519</v>
      </c>
    </row>
    <row r="7" spans="1:8" x14ac:dyDescent="0.25">
      <c r="A7" s="1" t="s">
        <v>91</v>
      </c>
      <c r="B7" s="1" t="s">
        <v>191</v>
      </c>
      <c r="C7" s="1"/>
      <c r="D7" s="9"/>
      <c r="E7" s="9"/>
      <c r="F7" s="1"/>
      <c r="G7" s="1"/>
      <c r="H7" s="1" t="s">
        <v>519</v>
      </c>
    </row>
    <row r="8" spans="1:8" x14ac:dyDescent="0.25">
      <c r="A8" s="1" t="s">
        <v>91</v>
      </c>
      <c r="B8" s="1" t="s">
        <v>210</v>
      </c>
      <c r="C8" s="1"/>
      <c r="D8" s="9"/>
      <c r="E8" s="9"/>
      <c r="F8" s="1"/>
      <c r="G8" s="1"/>
      <c r="H8" s="1" t="s">
        <v>519</v>
      </c>
    </row>
    <row r="9" spans="1:8" x14ac:dyDescent="0.25">
      <c r="A9" s="1" t="s">
        <v>91</v>
      </c>
      <c r="B9" s="1" t="s">
        <v>217</v>
      </c>
      <c r="C9" s="1"/>
      <c r="D9" s="9"/>
      <c r="E9" s="9"/>
      <c r="F9" s="1"/>
      <c r="G9" s="1"/>
      <c r="H9" s="1" t="s">
        <v>519</v>
      </c>
    </row>
    <row r="10" spans="1:8" x14ac:dyDescent="0.25">
      <c r="A10" s="1" t="s">
        <v>91</v>
      </c>
      <c r="B10" s="1" t="s">
        <v>202</v>
      </c>
      <c r="C10" s="1"/>
      <c r="D10" s="9"/>
      <c r="E10" s="9"/>
      <c r="F10" s="1"/>
      <c r="G10" s="1"/>
      <c r="H10" s="1" t="s">
        <v>519</v>
      </c>
    </row>
    <row r="11" spans="1:8" x14ac:dyDescent="0.25">
      <c r="A11" s="1" t="s">
        <v>91</v>
      </c>
      <c r="B11" s="1" t="s">
        <v>214</v>
      </c>
      <c r="C11" s="1"/>
      <c r="D11" s="9"/>
      <c r="E11" s="9"/>
      <c r="F11" s="1"/>
      <c r="G11" s="1"/>
      <c r="H11" s="1" t="s">
        <v>519</v>
      </c>
    </row>
    <row r="12" spans="1:8" x14ac:dyDescent="0.25">
      <c r="A12" s="1" t="s">
        <v>93</v>
      </c>
      <c r="B12" s="1" t="s">
        <v>291</v>
      </c>
      <c r="C12" s="1" t="s">
        <v>192</v>
      </c>
      <c r="D12" s="9"/>
      <c r="E12" s="9"/>
      <c r="F12" s="1"/>
      <c r="G12" s="1"/>
      <c r="H12" s="1" t="s">
        <v>520</v>
      </c>
    </row>
    <row r="13" spans="1:8" x14ac:dyDescent="0.25">
      <c r="A13" s="1" t="s">
        <v>93</v>
      </c>
      <c r="B13" s="1" t="s">
        <v>299</v>
      </c>
      <c r="C13" s="1" t="s">
        <v>192</v>
      </c>
      <c r="D13" s="9"/>
      <c r="E13" s="9"/>
      <c r="F13" s="1"/>
      <c r="G13" s="1"/>
      <c r="H13" s="1" t="s">
        <v>520</v>
      </c>
    </row>
    <row r="14" spans="1:8" x14ac:dyDescent="0.25">
      <c r="A14" s="1" t="s">
        <v>93</v>
      </c>
      <c r="B14" s="1" t="s">
        <v>307</v>
      </c>
      <c r="C14" s="1" t="s">
        <v>192</v>
      </c>
      <c r="D14" s="9"/>
      <c r="E14" s="9"/>
      <c r="F14" s="1"/>
      <c r="G14" s="1"/>
      <c r="H14" s="1" t="s">
        <v>520</v>
      </c>
    </row>
    <row r="15" spans="1:8" x14ac:dyDescent="0.25">
      <c r="A15" s="1" t="s">
        <v>93</v>
      </c>
      <c r="B15" s="1" t="s">
        <v>291</v>
      </c>
      <c r="C15" s="1" t="s">
        <v>213</v>
      </c>
      <c r="D15" s="9"/>
      <c r="E15" s="9"/>
      <c r="F15" s="1"/>
      <c r="G15" s="1"/>
      <c r="H15" s="1" t="s">
        <v>520</v>
      </c>
    </row>
    <row r="16" spans="1:8" x14ac:dyDescent="0.25">
      <c r="A16" s="1" t="s">
        <v>93</v>
      </c>
      <c r="B16" s="1" t="s">
        <v>299</v>
      </c>
      <c r="C16" s="1" t="s">
        <v>213</v>
      </c>
      <c r="D16" s="9"/>
      <c r="E16" s="9"/>
      <c r="F16" s="1"/>
      <c r="G16" s="1"/>
      <c r="H16" s="1" t="s">
        <v>520</v>
      </c>
    </row>
    <row r="17" spans="1:8" x14ac:dyDescent="0.25">
      <c r="A17" s="1" t="s">
        <v>93</v>
      </c>
      <c r="B17" s="1" t="s">
        <v>307</v>
      </c>
      <c r="C17" s="1" t="s">
        <v>213</v>
      </c>
      <c r="D17" s="9"/>
      <c r="E17" s="9"/>
      <c r="F17" s="1"/>
      <c r="G17" s="1"/>
      <c r="H17" s="1" t="s">
        <v>520</v>
      </c>
    </row>
    <row r="18" spans="1:8" x14ac:dyDescent="0.25">
      <c r="A18" s="1" t="s">
        <v>93</v>
      </c>
      <c r="B18" s="1" t="s">
        <v>291</v>
      </c>
      <c r="C18" s="1" t="s">
        <v>198</v>
      </c>
      <c r="D18" s="9"/>
      <c r="E18" s="9"/>
      <c r="F18" s="1"/>
      <c r="G18" s="1"/>
      <c r="H18" s="1" t="s">
        <v>520</v>
      </c>
    </row>
    <row r="19" spans="1:8" x14ac:dyDescent="0.25">
      <c r="A19" s="1" t="s">
        <v>93</v>
      </c>
      <c r="B19" s="1" t="s">
        <v>299</v>
      </c>
      <c r="C19" s="1" t="s">
        <v>198</v>
      </c>
      <c r="D19" s="9"/>
      <c r="E19" s="9"/>
      <c r="F19" s="1"/>
      <c r="G19" s="1"/>
      <c r="H19" s="1" t="s">
        <v>520</v>
      </c>
    </row>
    <row r="20" spans="1:8" x14ac:dyDescent="0.25">
      <c r="A20" s="1" t="s">
        <v>93</v>
      </c>
      <c r="B20" s="1" t="s">
        <v>307</v>
      </c>
      <c r="C20" s="1" t="s">
        <v>198</v>
      </c>
      <c r="D20" s="9"/>
      <c r="E20" s="9"/>
      <c r="F20" s="1"/>
      <c r="G20" s="1"/>
      <c r="H20" s="1" t="s">
        <v>520</v>
      </c>
    </row>
    <row r="21" spans="1:8" x14ac:dyDescent="0.25">
      <c r="A21" s="1" t="s">
        <v>93</v>
      </c>
      <c r="B21" s="1" t="s">
        <v>291</v>
      </c>
      <c r="C21" s="1" t="s">
        <v>224</v>
      </c>
      <c r="D21" s="9"/>
      <c r="E21" s="9"/>
      <c r="F21" s="1"/>
      <c r="G21" s="1"/>
      <c r="H21" s="1" t="s">
        <v>520</v>
      </c>
    </row>
    <row r="22" spans="1:8" x14ac:dyDescent="0.25">
      <c r="A22" s="1" t="s">
        <v>93</v>
      </c>
      <c r="B22" s="1" t="s">
        <v>299</v>
      </c>
      <c r="C22" s="1" t="s">
        <v>224</v>
      </c>
      <c r="D22" s="9"/>
      <c r="E22" s="9"/>
      <c r="F22" s="1"/>
      <c r="G22" s="1"/>
      <c r="H22" s="1" t="s">
        <v>520</v>
      </c>
    </row>
    <row r="23" spans="1:8" x14ac:dyDescent="0.25">
      <c r="A23" s="1" t="s">
        <v>93</v>
      </c>
      <c r="B23" s="1" t="s">
        <v>307</v>
      </c>
      <c r="C23" s="1" t="s">
        <v>224</v>
      </c>
      <c r="D23" s="9"/>
      <c r="E23" s="9"/>
      <c r="F23" s="1"/>
      <c r="G23" s="1"/>
      <c r="H23" s="1" t="s">
        <v>520</v>
      </c>
    </row>
    <row r="24" spans="1:8" x14ac:dyDescent="0.25">
      <c r="A24" s="1" t="s">
        <v>93</v>
      </c>
      <c r="B24" s="1" t="s">
        <v>291</v>
      </c>
      <c r="C24" s="1" t="s">
        <v>235</v>
      </c>
      <c r="D24" s="9"/>
      <c r="E24" s="9"/>
      <c r="F24" s="1"/>
      <c r="G24" s="1"/>
      <c r="H24" s="1" t="s">
        <v>520</v>
      </c>
    </row>
    <row r="25" spans="1:8" x14ac:dyDescent="0.25">
      <c r="A25" s="1" t="s">
        <v>93</v>
      </c>
      <c r="B25" s="1" t="s">
        <v>299</v>
      </c>
      <c r="C25" s="1" t="s">
        <v>235</v>
      </c>
      <c r="D25" s="9"/>
      <c r="E25" s="9"/>
      <c r="F25" s="1"/>
      <c r="G25" s="1"/>
      <c r="H25" s="1" t="s">
        <v>520</v>
      </c>
    </row>
    <row r="26" spans="1:8" x14ac:dyDescent="0.25">
      <c r="A26" s="1" t="s">
        <v>93</v>
      </c>
      <c r="B26" s="1" t="s">
        <v>307</v>
      </c>
      <c r="C26" s="1" t="s">
        <v>235</v>
      </c>
      <c r="D26" s="9"/>
      <c r="E26" s="9"/>
      <c r="F26" s="1"/>
      <c r="G26" s="1"/>
      <c r="H26" s="1" t="s">
        <v>520</v>
      </c>
    </row>
    <row r="27" spans="1:8" x14ac:dyDescent="0.25">
      <c r="A27" s="1" t="s">
        <v>93</v>
      </c>
      <c r="B27" s="1" t="s">
        <v>291</v>
      </c>
      <c r="C27" s="1" t="s">
        <v>191</v>
      </c>
      <c r="D27" s="9"/>
      <c r="E27" s="9"/>
      <c r="F27" s="1"/>
      <c r="G27" s="1"/>
      <c r="H27" s="1" t="s">
        <v>520</v>
      </c>
    </row>
    <row r="28" spans="1:8" x14ac:dyDescent="0.25">
      <c r="A28" s="1" t="s">
        <v>93</v>
      </c>
      <c r="B28" s="1" t="s">
        <v>299</v>
      </c>
      <c r="C28" s="1" t="s">
        <v>191</v>
      </c>
      <c r="D28" s="9"/>
      <c r="E28" s="9"/>
      <c r="F28" s="1"/>
      <c r="G28" s="1"/>
      <c r="H28" s="1" t="s">
        <v>520</v>
      </c>
    </row>
    <row r="29" spans="1:8" x14ac:dyDescent="0.25">
      <c r="A29" s="1" t="s">
        <v>93</v>
      </c>
      <c r="B29" s="1" t="s">
        <v>307</v>
      </c>
      <c r="C29" s="1" t="s">
        <v>191</v>
      </c>
      <c r="D29" s="9"/>
      <c r="E29" s="9"/>
      <c r="F29" s="1"/>
      <c r="G29" s="1"/>
      <c r="H29" s="1" t="s">
        <v>520</v>
      </c>
    </row>
    <row r="30" spans="1:8" x14ac:dyDescent="0.25">
      <c r="A30" s="1" t="s">
        <v>93</v>
      </c>
      <c r="B30" s="1" t="s">
        <v>291</v>
      </c>
      <c r="C30" s="1" t="s">
        <v>210</v>
      </c>
      <c r="D30" s="9"/>
      <c r="E30" s="9"/>
      <c r="F30" s="1"/>
      <c r="G30" s="1"/>
      <c r="H30" s="1" t="s">
        <v>520</v>
      </c>
    </row>
    <row r="31" spans="1:8" x14ac:dyDescent="0.25">
      <c r="A31" s="1" t="s">
        <v>93</v>
      </c>
      <c r="B31" s="1" t="s">
        <v>299</v>
      </c>
      <c r="C31" s="1" t="s">
        <v>210</v>
      </c>
      <c r="D31" s="9"/>
      <c r="E31" s="9"/>
      <c r="F31" s="1"/>
      <c r="G31" s="1"/>
      <c r="H31" s="1" t="s">
        <v>520</v>
      </c>
    </row>
    <row r="32" spans="1:8" x14ac:dyDescent="0.25">
      <c r="A32" s="1" t="s">
        <v>93</v>
      </c>
      <c r="B32" s="1" t="s">
        <v>307</v>
      </c>
      <c r="C32" s="1" t="s">
        <v>210</v>
      </c>
      <c r="D32" s="9"/>
      <c r="E32" s="9"/>
      <c r="F32" s="1"/>
      <c r="G32" s="1"/>
      <c r="H32" s="1" t="s">
        <v>520</v>
      </c>
    </row>
    <row r="33" spans="1:8" x14ac:dyDescent="0.25">
      <c r="A33" s="1" t="s">
        <v>93</v>
      </c>
      <c r="B33" s="1" t="s">
        <v>291</v>
      </c>
      <c r="C33" s="1" t="s">
        <v>217</v>
      </c>
      <c r="D33" s="9"/>
      <c r="E33" s="9"/>
      <c r="F33" s="1"/>
      <c r="G33" s="1"/>
      <c r="H33" s="1" t="s">
        <v>520</v>
      </c>
    </row>
    <row r="34" spans="1:8" x14ac:dyDescent="0.25">
      <c r="A34" s="1" t="s">
        <v>93</v>
      </c>
      <c r="B34" s="1" t="s">
        <v>299</v>
      </c>
      <c r="C34" s="1" t="s">
        <v>217</v>
      </c>
      <c r="D34" s="9"/>
      <c r="E34" s="9"/>
      <c r="F34" s="1"/>
      <c r="G34" s="1"/>
      <c r="H34" s="1" t="s">
        <v>520</v>
      </c>
    </row>
    <row r="35" spans="1:8" x14ac:dyDescent="0.25">
      <c r="A35" s="1" t="s">
        <v>93</v>
      </c>
      <c r="B35" s="1" t="s">
        <v>307</v>
      </c>
      <c r="C35" s="1" t="s">
        <v>217</v>
      </c>
      <c r="D35" s="9"/>
      <c r="E35" s="9"/>
      <c r="F35" s="1"/>
      <c r="G35" s="1"/>
      <c r="H35" s="1" t="s">
        <v>520</v>
      </c>
    </row>
    <row r="36" spans="1:8" x14ac:dyDescent="0.25">
      <c r="A36" s="1" t="s">
        <v>93</v>
      </c>
      <c r="B36" s="1" t="s">
        <v>291</v>
      </c>
      <c r="C36" s="1" t="s">
        <v>202</v>
      </c>
      <c r="D36" s="9"/>
      <c r="E36" s="9"/>
      <c r="F36" s="1"/>
      <c r="G36" s="1"/>
      <c r="H36" s="1" t="s">
        <v>520</v>
      </c>
    </row>
    <row r="37" spans="1:8" x14ac:dyDescent="0.25">
      <c r="A37" s="1" t="s">
        <v>93</v>
      </c>
      <c r="B37" s="1" t="s">
        <v>299</v>
      </c>
      <c r="C37" s="1" t="s">
        <v>202</v>
      </c>
      <c r="D37" s="9"/>
      <c r="E37" s="9"/>
      <c r="F37" s="1"/>
      <c r="G37" s="1"/>
      <c r="H37" s="1" t="s">
        <v>520</v>
      </c>
    </row>
    <row r="38" spans="1:8" x14ac:dyDescent="0.25">
      <c r="A38" s="1" t="s">
        <v>93</v>
      </c>
      <c r="B38" s="1" t="s">
        <v>307</v>
      </c>
      <c r="C38" s="1" t="s">
        <v>202</v>
      </c>
      <c r="D38" s="9"/>
      <c r="E38" s="9"/>
      <c r="F38" s="1"/>
      <c r="G38" s="1"/>
      <c r="H38" s="1" t="s">
        <v>520</v>
      </c>
    </row>
    <row r="39" spans="1:8" x14ac:dyDescent="0.25">
      <c r="A39" s="1" t="s">
        <v>93</v>
      </c>
      <c r="B39" s="1" t="s">
        <v>291</v>
      </c>
      <c r="C39" s="1" t="s">
        <v>214</v>
      </c>
      <c r="D39" s="9"/>
      <c r="E39" s="9"/>
      <c r="F39" s="1"/>
      <c r="G39" s="1"/>
      <c r="H39" s="1" t="s">
        <v>520</v>
      </c>
    </row>
    <row r="40" spans="1:8" x14ac:dyDescent="0.25">
      <c r="A40" s="1" t="s">
        <v>93</v>
      </c>
      <c r="B40" s="1" t="s">
        <v>299</v>
      </c>
      <c r="C40" s="1" t="s">
        <v>214</v>
      </c>
      <c r="D40" s="9"/>
      <c r="E40" s="9"/>
      <c r="F40" s="1"/>
      <c r="G40" s="1"/>
      <c r="H40" s="1" t="s">
        <v>520</v>
      </c>
    </row>
    <row r="41" spans="1:8" x14ac:dyDescent="0.25">
      <c r="A41" s="1" t="s">
        <v>95</v>
      </c>
      <c r="B41" s="1" t="s">
        <v>305</v>
      </c>
      <c r="C41" s="1"/>
      <c r="D41" s="9">
        <v>8</v>
      </c>
      <c r="E41" s="9">
        <v>32</v>
      </c>
      <c r="F41" s="1" t="s">
        <v>521</v>
      </c>
      <c r="G41" s="1" t="s">
        <v>297</v>
      </c>
      <c r="H41" s="1" t="s">
        <v>522</v>
      </c>
    </row>
    <row r="42" spans="1:8" x14ac:dyDescent="0.25">
      <c r="A42" s="1" t="s">
        <v>95</v>
      </c>
      <c r="B42" s="1" t="s">
        <v>292</v>
      </c>
      <c r="C42" s="1"/>
      <c r="D42" s="9">
        <v>16</v>
      </c>
      <c r="E42" s="9">
        <v>64</v>
      </c>
      <c r="F42" s="1" t="s">
        <v>521</v>
      </c>
      <c r="G42" s="1" t="s">
        <v>297</v>
      </c>
      <c r="H42" s="1" t="s">
        <v>522</v>
      </c>
    </row>
    <row r="43" spans="1:8" x14ac:dyDescent="0.25">
      <c r="A43" s="1" t="s">
        <v>95</v>
      </c>
      <c r="B43" s="1" t="s">
        <v>317</v>
      </c>
      <c r="C43" s="1"/>
      <c r="D43" s="9">
        <v>32</v>
      </c>
      <c r="E43" s="9">
        <v>128</v>
      </c>
      <c r="F43" s="1" t="s">
        <v>521</v>
      </c>
      <c r="G43" s="1" t="s">
        <v>297</v>
      </c>
      <c r="H43" s="1" t="s">
        <v>522</v>
      </c>
    </row>
    <row r="44" spans="1:8" x14ac:dyDescent="0.25">
      <c r="A44" s="1" t="s">
        <v>95</v>
      </c>
      <c r="B44" s="1" t="s">
        <v>308</v>
      </c>
      <c r="C44" s="1"/>
      <c r="D44" s="9">
        <v>64</v>
      </c>
      <c r="E44" s="9">
        <v>256</v>
      </c>
      <c r="F44" s="1" t="s">
        <v>521</v>
      </c>
      <c r="G44" s="1" t="s">
        <v>297</v>
      </c>
      <c r="H44" s="1" t="s">
        <v>522</v>
      </c>
    </row>
    <row r="45" spans="1:8" x14ac:dyDescent="0.25">
      <c r="A45" s="1" t="s">
        <v>95</v>
      </c>
      <c r="B45" s="1" t="s">
        <v>326</v>
      </c>
      <c r="C45" s="1"/>
      <c r="D45" s="9">
        <v>16</v>
      </c>
      <c r="E45" s="9">
        <v>128</v>
      </c>
      <c r="F45" s="1" t="s">
        <v>523</v>
      </c>
      <c r="G45" s="1" t="s">
        <v>297</v>
      </c>
      <c r="H45" s="1" t="s">
        <v>524</v>
      </c>
    </row>
    <row r="46" spans="1:8" x14ac:dyDescent="0.25">
      <c r="A46" s="1" t="s">
        <v>95</v>
      </c>
      <c r="B46" s="1" t="s">
        <v>337</v>
      </c>
      <c r="C46" s="1"/>
      <c r="D46" s="9">
        <v>32</v>
      </c>
      <c r="E46" s="9">
        <v>256</v>
      </c>
      <c r="F46" s="1" t="s">
        <v>523</v>
      </c>
      <c r="G46" s="1" t="s">
        <v>297</v>
      </c>
      <c r="H46" s="1" t="s">
        <v>524</v>
      </c>
    </row>
    <row r="47" spans="1:8" x14ac:dyDescent="0.25">
      <c r="A47" s="1" t="s">
        <v>95</v>
      </c>
      <c r="B47" s="1" t="s">
        <v>300</v>
      </c>
      <c r="C47" s="1"/>
      <c r="D47" s="9">
        <v>64</v>
      </c>
      <c r="E47" s="9">
        <v>512</v>
      </c>
      <c r="F47" s="1" t="s">
        <v>523</v>
      </c>
      <c r="G47" s="1" t="s">
        <v>297</v>
      </c>
      <c r="H47" s="1" t="s">
        <v>524</v>
      </c>
    </row>
    <row r="48" spans="1:8" x14ac:dyDescent="0.25">
      <c r="A48" s="1" t="s">
        <v>95</v>
      </c>
      <c r="B48" s="1" t="s">
        <v>340</v>
      </c>
      <c r="C48" s="1"/>
      <c r="D48" s="9">
        <v>32</v>
      </c>
      <c r="E48" s="9">
        <v>64</v>
      </c>
      <c r="F48" s="1" t="s">
        <v>525</v>
      </c>
      <c r="G48" s="1" t="s">
        <v>297</v>
      </c>
      <c r="H48" s="1" t="s">
        <v>526</v>
      </c>
    </row>
    <row r="49" spans="1:8" x14ac:dyDescent="0.25">
      <c r="A49" s="1" t="s">
        <v>95</v>
      </c>
      <c r="B49" s="1" t="s">
        <v>333</v>
      </c>
      <c r="C49" s="1"/>
      <c r="D49" s="9">
        <v>16</v>
      </c>
      <c r="E49" s="9">
        <v>128</v>
      </c>
      <c r="F49" s="1" t="s">
        <v>527</v>
      </c>
      <c r="G49" s="1" t="s">
        <v>297</v>
      </c>
      <c r="H49" s="1" t="s">
        <v>528</v>
      </c>
    </row>
    <row r="50" spans="1:8" x14ac:dyDescent="0.25">
      <c r="A50" s="1" t="s">
        <v>95</v>
      </c>
      <c r="B50" s="1" t="s">
        <v>321</v>
      </c>
      <c r="C50" s="1"/>
      <c r="D50" s="9">
        <v>128</v>
      </c>
      <c r="E50" s="9">
        <v>3892</v>
      </c>
      <c r="F50" s="1" t="s">
        <v>529</v>
      </c>
      <c r="G50" s="1" t="s">
        <v>297</v>
      </c>
      <c r="H50" s="1" t="s">
        <v>530</v>
      </c>
    </row>
    <row r="51" spans="1:8" x14ac:dyDescent="0.25">
      <c r="A51" s="1" t="s">
        <v>95</v>
      </c>
      <c r="B51" s="1" t="s">
        <v>402</v>
      </c>
      <c r="C51" s="1"/>
      <c r="D51" s="9">
        <v>16</v>
      </c>
      <c r="E51" s="9">
        <v>64</v>
      </c>
      <c r="F51" s="1" t="s">
        <v>531</v>
      </c>
      <c r="G51" s="1" t="s">
        <v>297</v>
      </c>
      <c r="H51" s="1" t="s">
        <v>522</v>
      </c>
    </row>
    <row r="52" spans="1:8" x14ac:dyDescent="0.25">
      <c r="A52" s="1" t="s">
        <v>95</v>
      </c>
      <c r="B52" s="1" t="s">
        <v>366</v>
      </c>
      <c r="C52" s="1"/>
      <c r="D52" s="9">
        <v>32</v>
      </c>
      <c r="E52" s="9">
        <v>256</v>
      </c>
      <c r="F52" s="1" t="s">
        <v>532</v>
      </c>
      <c r="G52" s="1" t="s">
        <v>297</v>
      </c>
      <c r="H52" s="1" t="s">
        <v>524</v>
      </c>
    </row>
    <row r="53" spans="1:8" x14ac:dyDescent="0.25">
      <c r="A53" s="1" t="s">
        <v>95</v>
      </c>
      <c r="B53" s="1" t="s">
        <v>351</v>
      </c>
      <c r="C53" s="1"/>
      <c r="D53" s="9">
        <v>176</v>
      </c>
      <c r="E53" s="9">
        <v>768</v>
      </c>
      <c r="F53" s="1" t="s">
        <v>533</v>
      </c>
      <c r="G53" s="1" t="s">
        <v>297</v>
      </c>
      <c r="H53" s="1" t="s">
        <v>534</v>
      </c>
    </row>
    <row r="54" spans="1:8" x14ac:dyDescent="0.25">
      <c r="A54" s="1" t="s">
        <v>95</v>
      </c>
      <c r="B54" s="1" t="s">
        <v>382</v>
      </c>
      <c r="C54" s="1"/>
      <c r="D54" s="9">
        <v>24</v>
      </c>
      <c r="E54" s="9">
        <v>220</v>
      </c>
      <c r="F54" s="1" t="s">
        <v>535</v>
      </c>
      <c r="G54" s="1" t="s">
        <v>295</v>
      </c>
      <c r="H54" s="1" t="s">
        <v>536</v>
      </c>
    </row>
    <row r="55" spans="1:8" x14ac:dyDescent="0.25">
      <c r="A55" s="1" t="s">
        <v>95</v>
      </c>
      <c r="B55" s="1" t="s">
        <v>313</v>
      </c>
      <c r="C55" s="1"/>
      <c r="D55" s="9">
        <v>96</v>
      </c>
      <c r="E55" s="9">
        <v>1900</v>
      </c>
      <c r="F55" s="1" t="s">
        <v>537</v>
      </c>
      <c r="G55" s="1" t="s">
        <v>295</v>
      </c>
      <c r="H55" s="1" t="s">
        <v>538</v>
      </c>
    </row>
    <row r="56" spans="1:8" x14ac:dyDescent="0.25">
      <c r="A56" s="1" t="s">
        <v>95</v>
      </c>
      <c r="B56" s="1" t="s">
        <v>330</v>
      </c>
      <c r="C56" s="1"/>
      <c r="D56" s="9">
        <v>40</v>
      </c>
      <c r="E56" s="9">
        <v>320</v>
      </c>
      <c r="F56" s="1" t="s">
        <v>539</v>
      </c>
      <c r="G56" s="1" t="s">
        <v>295</v>
      </c>
      <c r="H56" s="1" t="s">
        <v>536</v>
      </c>
    </row>
    <row r="57" spans="1:8" x14ac:dyDescent="0.25">
      <c r="A57" s="1" t="s">
        <v>65</v>
      </c>
      <c r="B57" s="1" t="s">
        <v>234</v>
      </c>
      <c r="C57" s="1"/>
      <c r="D57" s="9"/>
      <c r="E57" s="9"/>
      <c r="F57" s="1"/>
      <c r="G57" s="1"/>
      <c r="H57" s="1" t="s">
        <v>540</v>
      </c>
    </row>
    <row r="58" spans="1:8" x14ac:dyDescent="0.25">
      <c r="A58" s="1" t="s">
        <v>65</v>
      </c>
      <c r="B58" s="1" t="s">
        <v>197</v>
      </c>
      <c r="C58" s="1"/>
      <c r="D58" s="9"/>
      <c r="E58" s="9"/>
      <c r="F58" s="1"/>
      <c r="G58" s="1"/>
      <c r="H58" s="1" t="s">
        <v>541</v>
      </c>
    </row>
    <row r="59" spans="1:8" x14ac:dyDescent="0.25">
      <c r="A59" s="1" t="s">
        <v>65</v>
      </c>
      <c r="B59" s="1" t="s">
        <v>206</v>
      </c>
      <c r="C59" s="1"/>
      <c r="D59" s="9"/>
      <c r="E59" s="9"/>
      <c r="F59" s="1"/>
      <c r="G59" s="1"/>
      <c r="H59" s="1" t="s">
        <v>542</v>
      </c>
    </row>
    <row r="60" spans="1:8" x14ac:dyDescent="0.25">
      <c r="A60" s="1" t="s">
        <v>65</v>
      </c>
      <c r="B60" s="1" t="s">
        <v>209</v>
      </c>
      <c r="C60" s="1"/>
      <c r="D60" s="9"/>
      <c r="E60" s="9"/>
      <c r="F60" s="1"/>
      <c r="G60" s="1"/>
      <c r="H60" s="1" t="s">
        <v>543</v>
      </c>
    </row>
    <row r="61" spans="1:8" x14ac:dyDescent="0.25">
      <c r="A61" s="1" t="s">
        <v>65</v>
      </c>
      <c r="B61" s="1" t="s">
        <v>229</v>
      </c>
      <c r="C61" s="1"/>
      <c r="D61" s="9"/>
      <c r="E61" s="9"/>
      <c r="F61" s="1"/>
      <c r="G61" s="1"/>
      <c r="H61" s="1" t="s">
        <v>544</v>
      </c>
    </row>
    <row r="62" spans="1:8" x14ac:dyDescent="0.25">
      <c r="A62" s="1" t="s">
        <v>65</v>
      </c>
      <c r="B62" s="1" t="s">
        <v>190</v>
      </c>
      <c r="C62" s="1"/>
      <c r="D62" s="9"/>
      <c r="E62" s="9"/>
      <c r="F62" s="1"/>
      <c r="G62" s="1"/>
      <c r="H62" s="1" t="s">
        <v>545</v>
      </c>
    </row>
    <row r="63" spans="1:8" x14ac:dyDescent="0.25">
      <c r="A63" s="1" t="s">
        <v>109</v>
      </c>
      <c r="B63" s="1" t="s">
        <v>294</v>
      </c>
      <c r="C63" s="1"/>
      <c r="D63" s="9"/>
      <c r="E63" s="9"/>
      <c r="F63" s="1"/>
      <c r="G63" s="1"/>
      <c r="H63" s="1"/>
    </row>
    <row r="64" spans="1:8" x14ac:dyDescent="0.25">
      <c r="A64" s="1" t="s">
        <v>109</v>
      </c>
      <c r="B64" s="1" t="s">
        <v>302</v>
      </c>
      <c r="C64" s="1"/>
      <c r="D64" s="9"/>
      <c r="E64" s="9"/>
      <c r="F64" s="1"/>
      <c r="G64" s="1"/>
      <c r="H64" s="1"/>
    </row>
    <row r="65" spans="1:8" x14ac:dyDescent="0.25">
      <c r="A65" s="1" t="s">
        <v>109</v>
      </c>
      <c r="B65" s="1" t="s">
        <v>341</v>
      </c>
      <c r="C65" s="1"/>
      <c r="D65" s="9"/>
      <c r="E65" s="9"/>
      <c r="F65" s="1"/>
      <c r="G65" s="1"/>
      <c r="H65" s="1"/>
    </row>
    <row r="66" spans="1:8" x14ac:dyDescent="0.25">
      <c r="A66" s="1" t="s">
        <v>109</v>
      </c>
      <c r="B66" s="1" t="s">
        <v>314</v>
      </c>
      <c r="C66" s="1"/>
      <c r="D66" s="9"/>
      <c r="E66" s="9"/>
      <c r="F66" s="1"/>
      <c r="G66" s="1"/>
      <c r="H66" s="1"/>
    </row>
    <row r="67" spans="1:8" x14ac:dyDescent="0.25">
      <c r="A67" s="1" t="s">
        <v>109</v>
      </c>
      <c r="B67" s="1" t="s">
        <v>331</v>
      </c>
      <c r="C67" s="1"/>
      <c r="D67" s="9"/>
      <c r="E67" s="9"/>
      <c r="F67" s="1"/>
      <c r="G67" s="1"/>
      <c r="H67" s="1"/>
    </row>
    <row r="68" spans="1:8" x14ac:dyDescent="0.25">
      <c r="A68" s="1" t="s">
        <v>109</v>
      </c>
      <c r="B68" s="1" t="s">
        <v>352</v>
      </c>
      <c r="C68" s="1"/>
      <c r="D68" s="9"/>
      <c r="E68" s="9"/>
      <c r="F68" s="1"/>
      <c r="G68" s="1"/>
      <c r="H68" s="1"/>
    </row>
    <row r="69" spans="1:8" x14ac:dyDescent="0.25">
      <c r="A69" s="1" t="s">
        <v>109</v>
      </c>
      <c r="B69" s="1" t="s">
        <v>334</v>
      </c>
      <c r="C69" s="1"/>
      <c r="D69" s="9"/>
      <c r="E69" s="9"/>
      <c r="F69" s="1"/>
      <c r="G69" s="1"/>
      <c r="H69" s="1"/>
    </row>
    <row r="70" spans="1:8" x14ac:dyDescent="0.25">
      <c r="A70" s="1" t="s">
        <v>109</v>
      </c>
      <c r="B70" s="1" t="s">
        <v>322</v>
      </c>
      <c r="C70" s="1"/>
      <c r="D70" s="9"/>
      <c r="E70" s="9"/>
      <c r="F70" s="1"/>
      <c r="G70" s="1"/>
      <c r="H70" s="1"/>
    </row>
    <row r="71" spans="1:8" x14ac:dyDescent="0.25">
      <c r="A71" s="1" t="s">
        <v>63</v>
      </c>
      <c r="B71" s="1" t="s">
        <v>189</v>
      </c>
      <c r="C71" s="1"/>
      <c r="D71" s="9"/>
      <c r="E71" s="9"/>
      <c r="F71" s="1"/>
      <c r="G71" s="1"/>
      <c r="H71" s="1"/>
    </row>
    <row r="72" spans="1:8" x14ac:dyDescent="0.25">
      <c r="A72" s="1" t="s">
        <v>63</v>
      </c>
      <c r="B72" s="1" t="s">
        <v>223</v>
      </c>
      <c r="C72" s="1"/>
      <c r="D72" s="9"/>
      <c r="E72" s="9"/>
      <c r="F72" s="1"/>
      <c r="G72" s="1"/>
      <c r="H72" s="1"/>
    </row>
    <row r="73" spans="1:8" x14ac:dyDescent="0.25">
      <c r="A73" s="1" t="s">
        <v>63</v>
      </c>
      <c r="B73" s="1" t="s">
        <v>196</v>
      </c>
      <c r="C73" s="1"/>
      <c r="D73" s="9"/>
      <c r="E73" s="9"/>
      <c r="F73" s="1"/>
      <c r="G73" s="1"/>
      <c r="H73" s="1"/>
    </row>
    <row r="74" spans="1:8" x14ac:dyDescent="0.25">
      <c r="A74" s="1" t="s">
        <v>83</v>
      </c>
      <c r="B74" s="1" t="s">
        <v>203</v>
      </c>
      <c r="C74" s="1"/>
      <c r="D74" s="9"/>
      <c r="E74" s="9"/>
      <c r="F74" s="1"/>
      <c r="G74" s="1"/>
      <c r="H74" s="1"/>
    </row>
    <row r="75" spans="1:8" x14ac:dyDescent="0.25">
      <c r="A75" s="1" t="s">
        <v>83</v>
      </c>
      <c r="B75" s="1" t="s">
        <v>199</v>
      </c>
      <c r="C75" s="1"/>
      <c r="D75" s="9"/>
      <c r="E75" s="9"/>
      <c r="F75" s="1"/>
      <c r="G75" s="1"/>
      <c r="H75" s="1"/>
    </row>
    <row r="76" spans="1:8" x14ac:dyDescent="0.25">
      <c r="A76" s="1" t="s">
        <v>83</v>
      </c>
      <c r="B76" s="1" t="s">
        <v>218</v>
      </c>
      <c r="C76" s="1"/>
      <c r="D76" s="9"/>
      <c r="E76" s="9"/>
      <c r="F76" s="1"/>
      <c r="G76" s="1"/>
      <c r="H76" s="1"/>
    </row>
    <row r="77" spans="1:8" x14ac:dyDescent="0.25">
      <c r="A77" s="1" t="s">
        <v>83</v>
      </c>
      <c r="B77" s="1" t="s">
        <v>193</v>
      </c>
      <c r="C77" s="1"/>
      <c r="D77" s="9"/>
      <c r="E77" s="9"/>
      <c r="F77" s="1"/>
      <c r="G77" s="1"/>
      <c r="H77" s="1"/>
    </row>
    <row r="78" spans="1:8" x14ac:dyDescent="0.25">
      <c r="A78" s="1" t="s">
        <v>105</v>
      </c>
      <c r="B78" s="1" t="s">
        <v>293</v>
      </c>
      <c r="C78" s="1"/>
      <c r="D78" s="9"/>
      <c r="E78" s="9"/>
      <c r="F78" s="1"/>
      <c r="G78" s="1"/>
      <c r="H78" s="1"/>
    </row>
    <row r="79" spans="1:8" x14ac:dyDescent="0.25">
      <c r="A79" s="1" t="s">
        <v>105</v>
      </c>
      <c r="B79" s="1" t="s">
        <v>301</v>
      </c>
      <c r="C79" s="1"/>
      <c r="D79" s="9"/>
      <c r="E79" s="9"/>
      <c r="F79" s="1"/>
      <c r="G79" s="1"/>
      <c r="H79" s="1"/>
    </row>
    <row r="80" spans="1:8" x14ac:dyDescent="0.25">
      <c r="A80" s="1" t="s">
        <v>105</v>
      </c>
      <c r="B80" s="1" t="s">
        <v>311</v>
      </c>
      <c r="C80" s="1"/>
      <c r="D80" s="9"/>
      <c r="E80" s="9"/>
      <c r="F80" s="1"/>
      <c r="G80" s="1"/>
      <c r="H80" s="1"/>
    </row>
    <row r="81" spans="1:8" x14ac:dyDescent="0.25">
      <c r="A81" s="1" t="s">
        <v>113</v>
      </c>
      <c r="B81" s="1" t="s">
        <v>309</v>
      </c>
      <c r="C81" s="1"/>
      <c r="D81" s="9"/>
      <c r="E81" s="9"/>
      <c r="F81" s="1"/>
      <c r="G81" s="1"/>
      <c r="H81" s="1"/>
    </row>
    <row r="82" spans="1:8" x14ac:dyDescent="0.25">
      <c r="A82" s="1" t="s">
        <v>113</v>
      </c>
      <c r="B82" s="1" t="s">
        <v>296</v>
      </c>
      <c r="C82" s="1"/>
      <c r="D82" s="9"/>
      <c r="E82" s="9"/>
      <c r="F82" s="1"/>
      <c r="G82" s="1"/>
      <c r="H82" s="1"/>
    </row>
    <row r="83" spans="1:8" x14ac:dyDescent="0.25">
      <c r="A83" s="1" t="s">
        <v>113</v>
      </c>
      <c r="B83" s="1" t="s">
        <v>303</v>
      </c>
      <c r="C83" s="1"/>
      <c r="D83" s="9"/>
      <c r="E83" s="9"/>
      <c r="F83" s="1"/>
      <c r="G83" s="1"/>
      <c r="H83" s="1"/>
    </row>
    <row r="84" spans="1:8" x14ac:dyDescent="0.25">
      <c r="A84" s="1" t="s">
        <v>46</v>
      </c>
      <c r="B84" s="1" t="s">
        <v>148</v>
      </c>
      <c r="C84" s="1"/>
      <c r="D84" s="9"/>
      <c r="E84" s="9"/>
      <c r="F84" s="1"/>
      <c r="G84" s="1"/>
      <c r="H84" s="1"/>
    </row>
    <row r="85" spans="1:8" x14ac:dyDescent="0.25">
      <c r="A85" s="1" t="s">
        <v>46</v>
      </c>
      <c r="B85" s="1" t="s">
        <v>164</v>
      </c>
      <c r="C85" s="1"/>
      <c r="D85" s="9"/>
      <c r="E85" s="9"/>
      <c r="F85" s="1"/>
      <c r="G85" s="1"/>
      <c r="H85" s="1"/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Customers</vt:lpstr>
      <vt:lpstr>Opportunities</vt:lpstr>
      <vt:lpstr>Opportunity_SKU_Demand</vt:lpstr>
      <vt:lpstr>Demand_Summary_by_Region_SKU</vt:lpstr>
      <vt:lpstr>Reference_Data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Theodoros Tsironis</cp:lastModifiedBy>
  <cp:revision/>
  <dcterms:created xsi:type="dcterms:W3CDTF">2026-09-15T07:34:52Z</dcterms:created>
  <dcterms:modified xsi:type="dcterms:W3CDTF">2026-09-15T07:57:57Z</dcterms:modified>
  <cp:category/>
  <cp:contentStatus/>
</cp:coreProperties>
</file>