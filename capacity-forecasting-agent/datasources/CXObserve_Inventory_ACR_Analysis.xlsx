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tsironis\Projects\proactive-capacity-management\capacity-forecasting-agent\datasources\"/>
    </mc:Choice>
  </mc:AlternateContent>
  <xr:revisionPtr revIDLastSave="0" documentId="13_ncr:101_{8BBD1742-F5B1-44CE-B918-ECD96CF89CD9}" xr6:coauthVersionLast="47" xr6:coauthVersionMax="47" xr10:uidLastSave="{00000000-0000-0000-0000-000000000000}"/>
  <bookViews>
    <workbookView xWindow="-38510" yWindow="-9640" windowWidth="38620" windowHeight="21100" activeTab="2" xr2:uid="{00000000-000D-0000-FFFF-FFFF00000000}"/>
  </bookViews>
  <sheets>
    <sheet name="Readme" sheetId="1" r:id="rId1"/>
    <sheet name="Customer_Summary" sheetId="2" r:id="rId2"/>
    <sheet name="Deployed_Inventory" sheetId="3" r:id="rId3"/>
    <sheet name="ACR_By_Service_Yearly" sheetId="4" r:id="rId4"/>
    <sheet name="ACR_Monthly_Trend" sheetId="5" r:id="rId5"/>
    <sheet name="Service_Growth_Ratio" sheetId="6" r:id="rId6"/>
    <sheet name="Reference_Data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9" i="6" l="1"/>
  <c r="I99" i="6"/>
  <c r="H99" i="6"/>
  <c r="G99" i="6"/>
  <c r="F99" i="6"/>
  <c r="E99" i="6"/>
  <c r="J98" i="6"/>
  <c r="I98" i="6"/>
  <c r="H98" i="6"/>
  <c r="G98" i="6"/>
  <c r="F98" i="6"/>
  <c r="E98" i="6"/>
  <c r="J97" i="6"/>
  <c r="I97" i="6"/>
  <c r="H97" i="6"/>
  <c r="G97" i="6"/>
  <c r="F97" i="6"/>
  <c r="E97" i="6"/>
  <c r="J96" i="6"/>
  <c r="I96" i="6"/>
  <c r="H96" i="6"/>
  <c r="G96" i="6"/>
  <c r="F96" i="6"/>
  <c r="E96" i="6"/>
  <c r="J95" i="6"/>
  <c r="I95" i="6"/>
  <c r="H95" i="6"/>
  <c r="G95" i="6"/>
  <c r="F95" i="6"/>
  <c r="E95" i="6"/>
  <c r="J94" i="6"/>
  <c r="I94" i="6"/>
  <c r="H94" i="6"/>
  <c r="G94" i="6"/>
  <c r="F94" i="6"/>
  <c r="E94" i="6"/>
  <c r="J93" i="6"/>
  <c r="I93" i="6"/>
  <c r="H93" i="6"/>
  <c r="G93" i="6"/>
  <c r="F93" i="6"/>
  <c r="E93" i="6"/>
  <c r="J92" i="6"/>
  <c r="I92" i="6"/>
  <c r="H92" i="6"/>
  <c r="G92" i="6"/>
  <c r="F92" i="6"/>
  <c r="E92" i="6"/>
  <c r="J91" i="6"/>
  <c r="I91" i="6"/>
  <c r="H91" i="6"/>
  <c r="G91" i="6"/>
  <c r="F91" i="6"/>
  <c r="E91" i="6"/>
  <c r="J90" i="6"/>
  <c r="I90" i="6"/>
  <c r="H90" i="6"/>
  <c r="G90" i="6"/>
  <c r="F90" i="6"/>
  <c r="E90" i="6"/>
  <c r="J89" i="6"/>
  <c r="I89" i="6"/>
  <c r="H89" i="6"/>
  <c r="G89" i="6"/>
  <c r="F89" i="6"/>
  <c r="E89" i="6"/>
  <c r="J88" i="6"/>
  <c r="I88" i="6"/>
  <c r="H88" i="6"/>
  <c r="G88" i="6"/>
  <c r="F88" i="6"/>
  <c r="E88" i="6"/>
  <c r="J87" i="6"/>
  <c r="I87" i="6"/>
  <c r="H87" i="6"/>
  <c r="G87" i="6"/>
  <c r="F87" i="6"/>
  <c r="E87" i="6"/>
  <c r="J86" i="6"/>
  <c r="I86" i="6"/>
  <c r="H86" i="6"/>
  <c r="G86" i="6"/>
  <c r="F86" i="6"/>
  <c r="E86" i="6"/>
  <c r="J85" i="6"/>
  <c r="I85" i="6"/>
  <c r="H85" i="6"/>
  <c r="G85" i="6"/>
  <c r="F85" i="6"/>
  <c r="E85" i="6"/>
  <c r="J84" i="6"/>
  <c r="I84" i="6"/>
  <c r="H84" i="6"/>
  <c r="G84" i="6"/>
  <c r="F84" i="6"/>
  <c r="E84" i="6"/>
  <c r="J83" i="6"/>
  <c r="I83" i="6"/>
  <c r="H83" i="6"/>
  <c r="G83" i="6"/>
  <c r="F83" i="6"/>
  <c r="E83" i="6"/>
  <c r="J82" i="6"/>
  <c r="I82" i="6"/>
  <c r="H82" i="6"/>
  <c r="G82" i="6"/>
  <c r="F82" i="6"/>
  <c r="E82" i="6"/>
  <c r="J81" i="6"/>
  <c r="I81" i="6"/>
  <c r="H81" i="6"/>
  <c r="G81" i="6"/>
  <c r="F81" i="6"/>
  <c r="E81" i="6"/>
  <c r="J80" i="6"/>
  <c r="I80" i="6"/>
  <c r="H80" i="6"/>
  <c r="G80" i="6"/>
  <c r="F80" i="6"/>
  <c r="E80" i="6"/>
  <c r="J79" i="6"/>
  <c r="I79" i="6"/>
  <c r="H79" i="6"/>
  <c r="G79" i="6"/>
  <c r="F79" i="6"/>
  <c r="E79" i="6"/>
  <c r="J78" i="6"/>
  <c r="I78" i="6"/>
  <c r="H78" i="6"/>
  <c r="G78" i="6"/>
  <c r="F78" i="6"/>
  <c r="E78" i="6"/>
  <c r="J77" i="6"/>
  <c r="I77" i="6"/>
  <c r="H77" i="6"/>
  <c r="G77" i="6"/>
  <c r="F77" i="6"/>
  <c r="E77" i="6"/>
  <c r="J76" i="6"/>
  <c r="I76" i="6"/>
  <c r="H76" i="6"/>
  <c r="G76" i="6"/>
  <c r="F76" i="6"/>
  <c r="E76" i="6"/>
  <c r="J75" i="6"/>
  <c r="I75" i="6"/>
  <c r="H75" i="6"/>
  <c r="G75" i="6"/>
  <c r="F75" i="6"/>
  <c r="E75" i="6"/>
  <c r="J74" i="6"/>
  <c r="I74" i="6"/>
  <c r="H74" i="6"/>
  <c r="G74" i="6"/>
  <c r="F74" i="6"/>
  <c r="E74" i="6"/>
  <c r="J73" i="6"/>
  <c r="I73" i="6"/>
  <c r="H73" i="6"/>
  <c r="G73" i="6"/>
  <c r="F73" i="6"/>
  <c r="E73" i="6"/>
  <c r="J72" i="6"/>
  <c r="I72" i="6"/>
  <c r="H72" i="6"/>
  <c r="G72" i="6"/>
  <c r="F72" i="6"/>
  <c r="E72" i="6"/>
  <c r="J71" i="6"/>
  <c r="I71" i="6"/>
  <c r="H71" i="6"/>
  <c r="G71" i="6"/>
  <c r="F71" i="6"/>
  <c r="E71" i="6"/>
  <c r="J70" i="6"/>
  <c r="I70" i="6"/>
  <c r="H70" i="6"/>
  <c r="G70" i="6"/>
  <c r="F70" i="6"/>
  <c r="E70" i="6"/>
  <c r="J69" i="6"/>
  <c r="I69" i="6"/>
  <c r="H69" i="6"/>
  <c r="G69" i="6"/>
  <c r="F69" i="6"/>
  <c r="E69" i="6"/>
  <c r="J68" i="6"/>
  <c r="I68" i="6"/>
  <c r="H68" i="6"/>
  <c r="G68" i="6"/>
  <c r="F68" i="6"/>
  <c r="E68" i="6"/>
  <c r="J67" i="6"/>
  <c r="I67" i="6"/>
  <c r="H67" i="6"/>
  <c r="G67" i="6"/>
  <c r="F67" i="6"/>
  <c r="E67" i="6"/>
  <c r="J66" i="6"/>
  <c r="I66" i="6"/>
  <c r="H66" i="6"/>
  <c r="G66" i="6"/>
  <c r="F66" i="6"/>
  <c r="E66" i="6"/>
  <c r="J65" i="6"/>
  <c r="I65" i="6"/>
  <c r="H65" i="6"/>
  <c r="G65" i="6"/>
  <c r="F65" i="6"/>
  <c r="E65" i="6"/>
  <c r="J64" i="6"/>
  <c r="I64" i="6"/>
  <c r="H64" i="6"/>
  <c r="G64" i="6"/>
  <c r="F64" i="6"/>
  <c r="E64" i="6"/>
  <c r="J63" i="6"/>
  <c r="I63" i="6"/>
  <c r="H63" i="6"/>
  <c r="G63" i="6"/>
  <c r="F63" i="6"/>
  <c r="E63" i="6"/>
  <c r="J62" i="6"/>
  <c r="I62" i="6"/>
  <c r="H62" i="6"/>
  <c r="G62" i="6"/>
  <c r="F62" i="6"/>
  <c r="E62" i="6"/>
  <c r="J61" i="6"/>
  <c r="I61" i="6"/>
  <c r="H61" i="6"/>
  <c r="G61" i="6"/>
  <c r="F61" i="6"/>
  <c r="E61" i="6"/>
  <c r="J60" i="6"/>
  <c r="I60" i="6"/>
  <c r="H60" i="6"/>
  <c r="G60" i="6"/>
  <c r="F60" i="6"/>
  <c r="E60" i="6"/>
  <c r="J59" i="6"/>
  <c r="I59" i="6"/>
  <c r="H59" i="6"/>
  <c r="G59" i="6"/>
  <c r="F59" i="6"/>
  <c r="E59" i="6"/>
  <c r="J58" i="6"/>
  <c r="I58" i="6"/>
  <c r="H58" i="6"/>
  <c r="G58" i="6"/>
  <c r="F58" i="6"/>
  <c r="E58" i="6"/>
  <c r="J57" i="6"/>
  <c r="I57" i="6"/>
  <c r="H57" i="6"/>
  <c r="G57" i="6"/>
  <c r="F57" i="6"/>
  <c r="E57" i="6"/>
  <c r="J56" i="6"/>
  <c r="I56" i="6"/>
  <c r="H56" i="6"/>
  <c r="G56" i="6"/>
  <c r="F56" i="6"/>
  <c r="E56" i="6"/>
  <c r="J55" i="6"/>
  <c r="I55" i="6"/>
  <c r="H55" i="6"/>
  <c r="G55" i="6"/>
  <c r="F55" i="6"/>
  <c r="E55" i="6"/>
  <c r="J54" i="6"/>
  <c r="I54" i="6"/>
  <c r="H54" i="6"/>
  <c r="G54" i="6"/>
  <c r="F54" i="6"/>
  <c r="E54" i="6"/>
  <c r="J53" i="6"/>
  <c r="I53" i="6"/>
  <c r="H53" i="6"/>
  <c r="G53" i="6"/>
  <c r="F53" i="6"/>
  <c r="E53" i="6"/>
  <c r="J52" i="6"/>
  <c r="I52" i="6"/>
  <c r="H52" i="6"/>
  <c r="G52" i="6"/>
  <c r="F52" i="6"/>
  <c r="E52" i="6"/>
  <c r="J51" i="6"/>
  <c r="I51" i="6"/>
  <c r="H51" i="6"/>
  <c r="G51" i="6"/>
  <c r="F51" i="6"/>
  <c r="E51" i="6"/>
  <c r="J50" i="6"/>
  <c r="I50" i="6"/>
  <c r="H50" i="6"/>
  <c r="G50" i="6"/>
  <c r="F50" i="6"/>
  <c r="E50" i="6"/>
  <c r="J49" i="6"/>
  <c r="I49" i="6"/>
  <c r="H49" i="6"/>
  <c r="G49" i="6"/>
  <c r="F49" i="6"/>
  <c r="E49" i="6"/>
  <c r="J48" i="6"/>
  <c r="I48" i="6"/>
  <c r="H48" i="6"/>
  <c r="G48" i="6"/>
  <c r="F48" i="6"/>
  <c r="E48" i="6"/>
  <c r="J47" i="6"/>
  <c r="I47" i="6"/>
  <c r="H47" i="6"/>
  <c r="G47" i="6"/>
  <c r="F47" i="6"/>
  <c r="E47" i="6"/>
  <c r="J46" i="6"/>
  <c r="I46" i="6"/>
  <c r="H46" i="6"/>
  <c r="G46" i="6"/>
  <c r="F46" i="6"/>
  <c r="E46" i="6"/>
  <c r="J45" i="6"/>
  <c r="I45" i="6"/>
  <c r="H45" i="6"/>
  <c r="G45" i="6"/>
  <c r="F45" i="6"/>
  <c r="E45" i="6"/>
  <c r="J44" i="6"/>
  <c r="I44" i="6"/>
  <c r="H44" i="6"/>
  <c r="G44" i="6"/>
  <c r="F44" i="6"/>
  <c r="E44" i="6"/>
  <c r="J43" i="6"/>
  <c r="I43" i="6"/>
  <c r="H43" i="6"/>
  <c r="G43" i="6"/>
  <c r="F43" i="6"/>
  <c r="E43" i="6"/>
  <c r="J42" i="6"/>
  <c r="I42" i="6"/>
  <c r="H42" i="6"/>
  <c r="G42" i="6"/>
  <c r="F42" i="6"/>
  <c r="E42" i="6"/>
  <c r="J41" i="6"/>
  <c r="I41" i="6"/>
  <c r="H41" i="6"/>
  <c r="G41" i="6"/>
  <c r="F41" i="6"/>
  <c r="E41" i="6"/>
  <c r="J40" i="6"/>
  <c r="I40" i="6"/>
  <c r="H40" i="6"/>
  <c r="G40" i="6"/>
  <c r="F40" i="6"/>
  <c r="E40" i="6"/>
  <c r="J39" i="6"/>
  <c r="I39" i="6"/>
  <c r="H39" i="6"/>
  <c r="G39" i="6"/>
  <c r="F39" i="6"/>
  <c r="E39" i="6"/>
  <c r="J38" i="6"/>
  <c r="I38" i="6"/>
  <c r="H38" i="6"/>
  <c r="G38" i="6"/>
  <c r="F38" i="6"/>
  <c r="E38" i="6"/>
  <c r="J37" i="6"/>
  <c r="I37" i="6"/>
  <c r="H37" i="6"/>
  <c r="G37" i="6"/>
  <c r="F37" i="6"/>
  <c r="E37" i="6"/>
  <c r="J36" i="6"/>
  <c r="I36" i="6"/>
  <c r="H36" i="6"/>
  <c r="G36" i="6"/>
  <c r="F36" i="6"/>
  <c r="E36" i="6"/>
  <c r="J35" i="6"/>
  <c r="I35" i="6"/>
  <c r="H35" i="6"/>
  <c r="G35" i="6"/>
  <c r="F35" i="6"/>
  <c r="E35" i="6"/>
  <c r="J34" i="6"/>
  <c r="I34" i="6"/>
  <c r="H34" i="6"/>
  <c r="G34" i="6"/>
  <c r="F34" i="6"/>
  <c r="E34" i="6"/>
  <c r="J33" i="6"/>
  <c r="I33" i="6"/>
  <c r="H33" i="6"/>
  <c r="G33" i="6"/>
  <c r="F33" i="6"/>
  <c r="E33" i="6"/>
  <c r="J32" i="6"/>
  <c r="I32" i="6"/>
  <c r="H32" i="6"/>
  <c r="G32" i="6"/>
  <c r="F32" i="6"/>
  <c r="E32" i="6"/>
  <c r="J31" i="6"/>
  <c r="I31" i="6"/>
  <c r="H31" i="6"/>
  <c r="G31" i="6"/>
  <c r="F31" i="6"/>
  <c r="E31" i="6"/>
  <c r="J30" i="6"/>
  <c r="I30" i="6"/>
  <c r="H30" i="6"/>
  <c r="G30" i="6"/>
  <c r="F30" i="6"/>
  <c r="E30" i="6"/>
  <c r="J29" i="6"/>
  <c r="I29" i="6"/>
  <c r="H29" i="6"/>
  <c r="G29" i="6"/>
  <c r="F29" i="6"/>
  <c r="E29" i="6"/>
  <c r="J28" i="6"/>
  <c r="I28" i="6"/>
  <c r="H28" i="6"/>
  <c r="G28" i="6"/>
  <c r="F28" i="6"/>
  <c r="E28" i="6"/>
  <c r="J27" i="6"/>
  <c r="I27" i="6"/>
  <c r="H27" i="6"/>
  <c r="G27" i="6"/>
  <c r="F27" i="6"/>
  <c r="E27" i="6"/>
  <c r="J26" i="6"/>
  <c r="I26" i="6"/>
  <c r="H26" i="6"/>
  <c r="G26" i="6"/>
  <c r="F26" i="6"/>
  <c r="E26" i="6"/>
  <c r="J25" i="6"/>
  <c r="I25" i="6"/>
  <c r="H25" i="6"/>
  <c r="G25" i="6"/>
  <c r="F25" i="6"/>
  <c r="E25" i="6"/>
  <c r="J24" i="6"/>
  <c r="I24" i="6"/>
  <c r="H24" i="6"/>
  <c r="G24" i="6"/>
  <c r="F24" i="6"/>
  <c r="E24" i="6"/>
  <c r="J23" i="6"/>
  <c r="I23" i="6"/>
  <c r="H23" i="6"/>
  <c r="G23" i="6"/>
  <c r="F23" i="6"/>
  <c r="E23" i="6"/>
  <c r="J22" i="6"/>
  <c r="I22" i="6"/>
  <c r="H22" i="6"/>
  <c r="G22" i="6"/>
  <c r="F22" i="6"/>
  <c r="E22" i="6"/>
  <c r="J21" i="6"/>
  <c r="I21" i="6"/>
  <c r="H21" i="6"/>
  <c r="G21" i="6"/>
  <c r="F21" i="6"/>
  <c r="E21" i="6"/>
  <c r="J20" i="6"/>
  <c r="I20" i="6"/>
  <c r="H20" i="6"/>
  <c r="G20" i="6"/>
  <c r="F20" i="6"/>
  <c r="E20" i="6"/>
  <c r="J19" i="6"/>
  <c r="I19" i="6"/>
  <c r="H19" i="6"/>
  <c r="G19" i="6"/>
  <c r="F19" i="6"/>
  <c r="E19" i="6"/>
  <c r="J18" i="6"/>
  <c r="I18" i="6"/>
  <c r="H18" i="6"/>
  <c r="G18" i="6"/>
  <c r="F18" i="6"/>
  <c r="E18" i="6"/>
  <c r="J17" i="6"/>
  <c r="I17" i="6"/>
  <c r="H17" i="6"/>
  <c r="G17" i="6"/>
  <c r="F17" i="6"/>
  <c r="E17" i="6"/>
  <c r="J16" i="6"/>
  <c r="I16" i="6"/>
  <c r="H16" i="6"/>
  <c r="G16" i="6"/>
  <c r="F16" i="6"/>
  <c r="E16" i="6"/>
  <c r="J15" i="6"/>
  <c r="I15" i="6"/>
  <c r="H15" i="6"/>
  <c r="G15" i="6"/>
  <c r="F15" i="6"/>
  <c r="E15" i="6"/>
  <c r="J14" i="6"/>
  <c r="I14" i="6"/>
  <c r="H14" i="6"/>
  <c r="G14" i="6"/>
  <c r="F14" i="6"/>
  <c r="E14" i="6"/>
  <c r="J13" i="6"/>
  <c r="I13" i="6"/>
  <c r="H13" i="6"/>
  <c r="G13" i="6"/>
  <c r="F13" i="6"/>
  <c r="E13" i="6"/>
  <c r="J12" i="6"/>
  <c r="I12" i="6"/>
  <c r="H12" i="6"/>
  <c r="G12" i="6"/>
  <c r="F12" i="6"/>
  <c r="E12" i="6"/>
  <c r="J11" i="6"/>
  <c r="I11" i="6"/>
  <c r="H11" i="6"/>
  <c r="G11" i="6"/>
  <c r="F11" i="6"/>
  <c r="E11" i="6"/>
  <c r="J10" i="6"/>
  <c r="I10" i="6"/>
  <c r="H10" i="6"/>
  <c r="G10" i="6"/>
  <c r="F10" i="6"/>
  <c r="E10" i="6"/>
  <c r="J9" i="6"/>
  <c r="I9" i="6"/>
  <c r="H9" i="6"/>
  <c r="G9" i="6"/>
  <c r="F9" i="6"/>
  <c r="E9" i="6"/>
  <c r="J8" i="6"/>
  <c r="I8" i="6"/>
  <c r="H8" i="6"/>
  <c r="G8" i="6"/>
  <c r="F8" i="6"/>
  <c r="E8" i="6"/>
  <c r="J7" i="6"/>
  <c r="I7" i="6"/>
  <c r="H7" i="6"/>
  <c r="G7" i="6"/>
  <c r="F7" i="6"/>
  <c r="E7" i="6"/>
  <c r="J6" i="6"/>
  <c r="I6" i="6"/>
  <c r="H6" i="6"/>
  <c r="G6" i="6"/>
  <c r="F6" i="6"/>
  <c r="E6" i="6"/>
  <c r="J5" i="6"/>
  <c r="I5" i="6"/>
  <c r="H5" i="6"/>
  <c r="G5" i="6"/>
  <c r="F5" i="6"/>
  <c r="E5" i="6"/>
  <c r="J4" i="6"/>
  <c r="I4" i="6"/>
  <c r="H4" i="6"/>
  <c r="G4" i="6"/>
  <c r="F4" i="6"/>
  <c r="E4" i="6"/>
  <c r="J3" i="6"/>
  <c r="I3" i="6"/>
  <c r="H3" i="6"/>
  <c r="G3" i="6"/>
  <c r="F3" i="6"/>
  <c r="E3" i="6"/>
  <c r="J2" i="6"/>
  <c r="I2" i="6"/>
  <c r="H2" i="6"/>
  <c r="G2" i="6"/>
  <c r="F2" i="6"/>
  <c r="E2" i="6"/>
  <c r="K9" i="2"/>
  <c r="J9" i="2"/>
  <c r="I9" i="2"/>
  <c r="H9" i="2"/>
  <c r="G9" i="2"/>
  <c r="F9" i="2"/>
  <c r="E9" i="2"/>
  <c r="D9" i="2"/>
  <c r="K8" i="2"/>
  <c r="J8" i="2"/>
  <c r="I8" i="2"/>
  <c r="H8" i="2"/>
  <c r="G8" i="2"/>
  <c r="F8" i="2"/>
  <c r="E8" i="2"/>
  <c r="D8" i="2"/>
  <c r="K7" i="2"/>
  <c r="J7" i="2"/>
  <c r="I7" i="2"/>
  <c r="H7" i="2"/>
  <c r="G7" i="2"/>
  <c r="F7" i="2"/>
  <c r="E7" i="2"/>
  <c r="D7" i="2"/>
  <c r="K6" i="2"/>
  <c r="J6" i="2"/>
  <c r="I6" i="2"/>
  <c r="H6" i="2"/>
  <c r="G6" i="2"/>
  <c r="F6" i="2"/>
  <c r="E6" i="2"/>
  <c r="D6" i="2"/>
  <c r="K5" i="2"/>
  <c r="J5" i="2"/>
  <c r="I5" i="2"/>
  <c r="H5" i="2"/>
  <c r="G5" i="2"/>
  <c r="F5" i="2"/>
  <c r="E5" i="2"/>
  <c r="D5" i="2"/>
  <c r="K4" i="2"/>
  <c r="J4" i="2"/>
  <c r="I4" i="2"/>
  <c r="H4" i="2"/>
  <c r="G4" i="2"/>
  <c r="F4" i="2"/>
  <c r="E4" i="2"/>
  <c r="D4" i="2"/>
  <c r="K3" i="2"/>
  <c r="J3" i="2"/>
  <c r="I3" i="2"/>
  <c r="H3" i="2"/>
  <c r="G3" i="2"/>
  <c r="F3" i="2"/>
  <c r="E3" i="2"/>
  <c r="D3" i="2"/>
  <c r="K2" i="2"/>
  <c r="J2" i="2"/>
  <c r="I2" i="2"/>
  <c r="H2" i="2"/>
  <c r="G2" i="2"/>
  <c r="F2" i="2"/>
  <c r="E2" i="2"/>
  <c r="D2" i="2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J295" i="4"/>
  <c r="I295" i="4"/>
  <c r="H295" i="4"/>
  <c r="J294" i="4"/>
  <c r="I294" i="4"/>
  <c r="H294" i="4"/>
  <c r="J293" i="4"/>
  <c r="I293" i="4"/>
  <c r="H293" i="4"/>
  <c r="J292" i="4"/>
  <c r="I292" i="4"/>
  <c r="H292" i="4"/>
  <c r="J291" i="4"/>
  <c r="I291" i="4"/>
  <c r="H291" i="4"/>
  <c r="J290" i="4"/>
  <c r="I290" i="4"/>
  <c r="H290" i="4"/>
  <c r="J289" i="4"/>
  <c r="I289" i="4"/>
  <c r="H289" i="4"/>
  <c r="J288" i="4"/>
  <c r="I288" i="4"/>
  <c r="H288" i="4"/>
  <c r="J287" i="4"/>
  <c r="I287" i="4"/>
  <c r="H287" i="4"/>
  <c r="J286" i="4"/>
  <c r="I286" i="4"/>
  <c r="H286" i="4"/>
  <c r="J285" i="4"/>
  <c r="I285" i="4"/>
  <c r="H285" i="4"/>
  <c r="J284" i="4"/>
  <c r="I284" i="4"/>
  <c r="H284" i="4"/>
  <c r="J283" i="4"/>
  <c r="I283" i="4"/>
  <c r="H283" i="4"/>
  <c r="J282" i="4"/>
  <c r="I282" i="4"/>
  <c r="H282" i="4"/>
  <c r="J281" i="4"/>
  <c r="I281" i="4"/>
  <c r="H281" i="4"/>
  <c r="J280" i="4"/>
  <c r="I280" i="4"/>
  <c r="H280" i="4"/>
  <c r="J279" i="4"/>
  <c r="I279" i="4"/>
  <c r="H279" i="4"/>
  <c r="J278" i="4"/>
  <c r="I278" i="4"/>
  <c r="H278" i="4"/>
  <c r="J277" i="4"/>
  <c r="I277" i="4"/>
  <c r="H277" i="4"/>
  <c r="J276" i="4"/>
  <c r="I276" i="4"/>
  <c r="H276" i="4"/>
  <c r="J275" i="4"/>
  <c r="I275" i="4"/>
  <c r="H275" i="4"/>
  <c r="J274" i="4"/>
  <c r="I274" i="4"/>
  <c r="H274" i="4"/>
  <c r="J273" i="4"/>
  <c r="I273" i="4"/>
  <c r="H273" i="4"/>
  <c r="J272" i="4"/>
  <c r="I272" i="4"/>
  <c r="H272" i="4"/>
  <c r="J271" i="4"/>
  <c r="I271" i="4"/>
  <c r="H271" i="4"/>
  <c r="J270" i="4"/>
  <c r="I270" i="4"/>
  <c r="H270" i="4"/>
  <c r="J269" i="4"/>
  <c r="I269" i="4"/>
  <c r="H269" i="4"/>
  <c r="J268" i="4"/>
  <c r="I268" i="4"/>
  <c r="H268" i="4"/>
  <c r="J267" i="4"/>
  <c r="I267" i="4"/>
  <c r="H267" i="4"/>
  <c r="J266" i="4"/>
  <c r="I266" i="4"/>
  <c r="H266" i="4"/>
  <c r="J265" i="4"/>
  <c r="I265" i="4"/>
  <c r="H265" i="4"/>
  <c r="J264" i="4"/>
  <c r="I264" i="4"/>
  <c r="H264" i="4"/>
  <c r="J263" i="4"/>
  <c r="I263" i="4"/>
  <c r="H263" i="4"/>
  <c r="J262" i="4"/>
  <c r="I262" i="4"/>
  <c r="H262" i="4"/>
  <c r="J261" i="4"/>
  <c r="I261" i="4"/>
  <c r="H261" i="4"/>
  <c r="J260" i="4"/>
  <c r="I260" i="4"/>
  <c r="H260" i="4"/>
  <c r="J259" i="4"/>
  <c r="I259" i="4"/>
  <c r="H259" i="4"/>
  <c r="J258" i="4"/>
  <c r="I258" i="4"/>
  <c r="H258" i="4"/>
  <c r="J257" i="4"/>
  <c r="I257" i="4"/>
  <c r="H257" i="4"/>
  <c r="J256" i="4"/>
  <c r="I256" i="4"/>
  <c r="H256" i="4"/>
  <c r="J255" i="4"/>
  <c r="I255" i="4"/>
  <c r="H255" i="4"/>
  <c r="J254" i="4"/>
  <c r="I254" i="4"/>
  <c r="H254" i="4"/>
  <c r="J253" i="4"/>
  <c r="I253" i="4"/>
  <c r="H253" i="4"/>
  <c r="J252" i="4"/>
  <c r="I252" i="4"/>
  <c r="H252" i="4"/>
  <c r="J251" i="4"/>
  <c r="I251" i="4"/>
  <c r="H251" i="4"/>
  <c r="J250" i="4"/>
  <c r="I250" i="4"/>
  <c r="H250" i="4"/>
  <c r="J249" i="4"/>
  <c r="I249" i="4"/>
  <c r="H249" i="4"/>
  <c r="J248" i="4"/>
  <c r="I248" i="4"/>
  <c r="H248" i="4"/>
  <c r="J247" i="4"/>
  <c r="I247" i="4"/>
  <c r="H247" i="4"/>
  <c r="J246" i="4"/>
  <c r="I246" i="4"/>
  <c r="H246" i="4"/>
  <c r="J245" i="4"/>
  <c r="I245" i="4"/>
  <c r="H245" i="4"/>
  <c r="J244" i="4"/>
  <c r="I244" i="4"/>
  <c r="H244" i="4"/>
  <c r="J243" i="4"/>
  <c r="I243" i="4"/>
  <c r="H243" i="4"/>
  <c r="J242" i="4"/>
  <c r="I242" i="4"/>
  <c r="H242" i="4"/>
  <c r="J241" i="4"/>
  <c r="I241" i="4"/>
  <c r="H241" i="4"/>
  <c r="J240" i="4"/>
  <c r="I240" i="4"/>
  <c r="H240" i="4"/>
  <c r="J239" i="4"/>
  <c r="I239" i="4"/>
  <c r="H239" i="4"/>
  <c r="J238" i="4"/>
  <c r="I238" i="4"/>
  <c r="H238" i="4"/>
  <c r="J237" i="4"/>
  <c r="I237" i="4"/>
  <c r="H237" i="4"/>
  <c r="J236" i="4"/>
  <c r="I236" i="4"/>
  <c r="H236" i="4"/>
  <c r="J235" i="4"/>
  <c r="I235" i="4"/>
  <c r="H235" i="4"/>
  <c r="J234" i="4"/>
  <c r="I234" i="4"/>
  <c r="H234" i="4"/>
  <c r="J233" i="4"/>
  <c r="I233" i="4"/>
  <c r="H233" i="4"/>
  <c r="J232" i="4"/>
  <c r="I232" i="4"/>
  <c r="H232" i="4"/>
  <c r="J231" i="4"/>
  <c r="I231" i="4"/>
  <c r="H231" i="4"/>
  <c r="J230" i="4"/>
  <c r="I230" i="4"/>
  <c r="H230" i="4"/>
  <c r="J229" i="4"/>
  <c r="I229" i="4"/>
  <c r="H229" i="4"/>
  <c r="J228" i="4"/>
  <c r="I228" i="4"/>
  <c r="H228" i="4"/>
  <c r="J227" i="4"/>
  <c r="I227" i="4"/>
  <c r="H227" i="4"/>
  <c r="J226" i="4"/>
  <c r="I226" i="4"/>
  <c r="H226" i="4"/>
  <c r="J225" i="4"/>
  <c r="I225" i="4"/>
  <c r="H225" i="4"/>
  <c r="J224" i="4"/>
  <c r="I224" i="4"/>
  <c r="H224" i="4"/>
  <c r="J223" i="4"/>
  <c r="I223" i="4"/>
  <c r="H223" i="4"/>
  <c r="J222" i="4"/>
  <c r="I222" i="4"/>
  <c r="H222" i="4"/>
  <c r="J221" i="4"/>
  <c r="I221" i="4"/>
  <c r="H221" i="4"/>
  <c r="J220" i="4"/>
  <c r="I220" i="4"/>
  <c r="H220" i="4"/>
  <c r="J219" i="4"/>
  <c r="I219" i="4"/>
  <c r="H219" i="4"/>
  <c r="J218" i="4"/>
  <c r="I218" i="4"/>
  <c r="H218" i="4"/>
  <c r="J217" i="4"/>
  <c r="I217" i="4"/>
  <c r="H217" i="4"/>
  <c r="J216" i="4"/>
  <c r="I216" i="4"/>
  <c r="H216" i="4"/>
  <c r="J215" i="4"/>
  <c r="I215" i="4"/>
  <c r="H215" i="4"/>
  <c r="J214" i="4"/>
  <c r="I214" i="4"/>
  <c r="H214" i="4"/>
  <c r="J213" i="4"/>
  <c r="I213" i="4"/>
  <c r="H213" i="4"/>
  <c r="J212" i="4"/>
  <c r="I212" i="4"/>
  <c r="H212" i="4"/>
  <c r="J211" i="4"/>
  <c r="I211" i="4"/>
  <c r="H211" i="4"/>
  <c r="J210" i="4"/>
  <c r="I210" i="4"/>
  <c r="H210" i="4"/>
  <c r="J209" i="4"/>
  <c r="I209" i="4"/>
  <c r="H209" i="4"/>
  <c r="J208" i="4"/>
  <c r="I208" i="4"/>
  <c r="H208" i="4"/>
  <c r="J207" i="4"/>
  <c r="I207" i="4"/>
  <c r="H207" i="4"/>
  <c r="J206" i="4"/>
  <c r="I206" i="4"/>
  <c r="H206" i="4"/>
  <c r="J205" i="4"/>
  <c r="I205" i="4"/>
  <c r="H205" i="4"/>
  <c r="J204" i="4"/>
  <c r="I204" i="4"/>
  <c r="H204" i="4"/>
  <c r="J203" i="4"/>
  <c r="I203" i="4"/>
  <c r="H203" i="4"/>
  <c r="J202" i="4"/>
  <c r="I202" i="4"/>
  <c r="H202" i="4"/>
  <c r="J201" i="4"/>
  <c r="I201" i="4"/>
  <c r="H201" i="4"/>
  <c r="J200" i="4"/>
  <c r="I200" i="4"/>
  <c r="H200" i="4"/>
  <c r="J199" i="4"/>
  <c r="I199" i="4"/>
  <c r="H199" i="4"/>
  <c r="J198" i="4"/>
  <c r="I198" i="4"/>
  <c r="H198" i="4"/>
  <c r="J197" i="4"/>
  <c r="I197" i="4"/>
  <c r="H197" i="4"/>
  <c r="J196" i="4"/>
  <c r="I196" i="4"/>
  <c r="H196" i="4"/>
  <c r="J195" i="4"/>
  <c r="I195" i="4"/>
  <c r="H195" i="4"/>
  <c r="J194" i="4"/>
  <c r="I194" i="4"/>
  <c r="H194" i="4"/>
  <c r="J193" i="4"/>
  <c r="I193" i="4"/>
  <c r="H193" i="4"/>
  <c r="J192" i="4"/>
  <c r="I192" i="4"/>
  <c r="H192" i="4"/>
  <c r="J191" i="4"/>
  <c r="I191" i="4"/>
  <c r="H191" i="4"/>
  <c r="J190" i="4"/>
  <c r="I190" i="4"/>
  <c r="H190" i="4"/>
  <c r="J189" i="4"/>
  <c r="I189" i="4"/>
  <c r="H189" i="4"/>
  <c r="J188" i="4"/>
  <c r="I188" i="4"/>
  <c r="H188" i="4"/>
  <c r="J187" i="4"/>
  <c r="I187" i="4"/>
  <c r="H187" i="4"/>
  <c r="J186" i="4"/>
  <c r="I186" i="4"/>
  <c r="H186" i="4"/>
  <c r="J185" i="4"/>
  <c r="I185" i="4"/>
  <c r="H185" i="4"/>
  <c r="J184" i="4"/>
  <c r="I184" i="4"/>
  <c r="H184" i="4"/>
  <c r="J183" i="4"/>
  <c r="I183" i="4"/>
  <c r="H183" i="4"/>
  <c r="J182" i="4"/>
  <c r="I182" i="4"/>
  <c r="H182" i="4"/>
  <c r="J181" i="4"/>
  <c r="I181" i="4"/>
  <c r="H181" i="4"/>
  <c r="J180" i="4"/>
  <c r="I180" i="4"/>
  <c r="H180" i="4"/>
  <c r="J179" i="4"/>
  <c r="I179" i="4"/>
  <c r="H179" i="4"/>
  <c r="J178" i="4"/>
  <c r="I178" i="4"/>
  <c r="H178" i="4"/>
  <c r="J177" i="4"/>
  <c r="I177" i="4"/>
  <c r="H177" i="4"/>
  <c r="J176" i="4"/>
  <c r="I176" i="4"/>
  <c r="H176" i="4"/>
  <c r="J175" i="4"/>
  <c r="I175" i="4"/>
  <c r="H175" i="4"/>
  <c r="J174" i="4"/>
  <c r="I174" i="4"/>
  <c r="H174" i="4"/>
  <c r="J173" i="4"/>
  <c r="I173" i="4"/>
  <c r="H173" i="4"/>
  <c r="J172" i="4"/>
  <c r="I172" i="4"/>
  <c r="H172" i="4"/>
  <c r="J171" i="4"/>
  <c r="I171" i="4"/>
  <c r="H171" i="4"/>
  <c r="J170" i="4"/>
  <c r="I170" i="4"/>
  <c r="H170" i="4"/>
  <c r="J169" i="4"/>
  <c r="I169" i="4"/>
  <c r="H169" i="4"/>
  <c r="J168" i="4"/>
  <c r="I168" i="4"/>
  <c r="H168" i="4"/>
  <c r="J167" i="4"/>
  <c r="I167" i="4"/>
  <c r="H167" i="4"/>
  <c r="J166" i="4"/>
  <c r="I166" i="4"/>
  <c r="H166" i="4"/>
  <c r="J165" i="4"/>
  <c r="I165" i="4"/>
  <c r="H165" i="4"/>
  <c r="J164" i="4"/>
  <c r="I164" i="4"/>
  <c r="H164" i="4"/>
  <c r="J163" i="4"/>
  <c r="I163" i="4"/>
  <c r="H163" i="4"/>
  <c r="J162" i="4"/>
  <c r="I162" i="4"/>
  <c r="H162" i="4"/>
  <c r="J161" i="4"/>
  <c r="I161" i="4"/>
  <c r="H161" i="4"/>
  <c r="J160" i="4"/>
  <c r="I160" i="4"/>
  <c r="H160" i="4"/>
  <c r="J159" i="4"/>
  <c r="I159" i="4"/>
  <c r="H159" i="4"/>
  <c r="J158" i="4"/>
  <c r="I158" i="4"/>
  <c r="H158" i="4"/>
  <c r="J157" i="4"/>
  <c r="I157" i="4"/>
  <c r="H157" i="4"/>
  <c r="J156" i="4"/>
  <c r="I156" i="4"/>
  <c r="H156" i="4"/>
  <c r="J155" i="4"/>
  <c r="I155" i="4"/>
  <c r="H155" i="4"/>
  <c r="J154" i="4"/>
  <c r="I154" i="4"/>
  <c r="H154" i="4"/>
  <c r="J153" i="4"/>
  <c r="I153" i="4"/>
  <c r="H153" i="4"/>
  <c r="J152" i="4"/>
  <c r="I152" i="4"/>
  <c r="H152" i="4"/>
  <c r="J151" i="4"/>
  <c r="I151" i="4"/>
  <c r="H151" i="4"/>
  <c r="J150" i="4"/>
  <c r="I150" i="4"/>
  <c r="H150" i="4"/>
  <c r="J149" i="4"/>
  <c r="I149" i="4"/>
  <c r="H149" i="4"/>
  <c r="J148" i="4"/>
  <c r="I148" i="4"/>
  <c r="H148" i="4"/>
  <c r="J147" i="4"/>
  <c r="I147" i="4"/>
  <c r="H147" i="4"/>
  <c r="J146" i="4"/>
  <c r="I146" i="4"/>
  <c r="H146" i="4"/>
  <c r="J145" i="4"/>
  <c r="I145" i="4"/>
  <c r="H145" i="4"/>
  <c r="J144" i="4"/>
  <c r="I144" i="4"/>
  <c r="H144" i="4"/>
  <c r="J143" i="4"/>
  <c r="I143" i="4"/>
  <c r="H143" i="4"/>
  <c r="J142" i="4"/>
  <c r="I142" i="4"/>
  <c r="H142" i="4"/>
  <c r="J141" i="4"/>
  <c r="I141" i="4"/>
  <c r="H141" i="4"/>
  <c r="J140" i="4"/>
  <c r="I140" i="4"/>
  <c r="H140" i="4"/>
  <c r="J139" i="4"/>
  <c r="I139" i="4"/>
  <c r="H139" i="4"/>
  <c r="J138" i="4"/>
  <c r="I138" i="4"/>
  <c r="H138" i="4"/>
  <c r="J137" i="4"/>
  <c r="I137" i="4"/>
  <c r="H137" i="4"/>
  <c r="J136" i="4"/>
  <c r="I136" i="4"/>
  <c r="H136" i="4"/>
  <c r="J135" i="4"/>
  <c r="I135" i="4"/>
  <c r="H135" i="4"/>
  <c r="J134" i="4"/>
  <c r="I134" i="4"/>
  <c r="H134" i="4"/>
  <c r="J133" i="4"/>
  <c r="I133" i="4"/>
  <c r="H133" i="4"/>
  <c r="J132" i="4"/>
  <c r="I132" i="4"/>
  <c r="H132" i="4"/>
  <c r="J131" i="4"/>
  <c r="I131" i="4"/>
  <c r="H131" i="4"/>
  <c r="J130" i="4"/>
  <c r="I130" i="4"/>
  <c r="H130" i="4"/>
  <c r="J129" i="4"/>
  <c r="I129" i="4"/>
  <c r="H129" i="4"/>
  <c r="J128" i="4"/>
  <c r="I128" i="4"/>
  <c r="H128" i="4"/>
  <c r="J127" i="4"/>
  <c r="I127" i="4"/>
  <c r="H127" i="4"/>
  <c r="J126" i="4"/>
  <c r="I126" i="4"/>
  <c r="H126" i="4"/>
  <c r="J125" i="4"/>
  <c r="I125" i="4"/>
  <c r="H125" i="4"/>
  <c r="J124" i="4"/>
  <c r="I124" i="4"/>
  <c r="H124" i="4"/>
  <c r="J123" i="4"/>
  <c r="I123" i="4"/>
  <c r="H123" i="4"/>
  <c r="J122" i="4"/>
  <c r="I122" i="4"/>
  <c r="H122" i="4"/>
  <c r="J121" i="4"/>
  <c r="I121" i="4"/>
  <c r="H121" i="4"/>
  <c r="J120" i="4"/>
  <c r="I120" i="4"/>
  <c r="H120" i="4"/>
  <c r="J119" i="4"/>
  <c r="I119" i="4"/>
  <c r="H119" i="4"/>
  <c r="J118" i="4"/>
  <c r="I118" i="4"/>
  <c r="H118" i="4"/>
  <c r="J117" i="4"/>
  <c r="I117" i="4"/>
  <c r="H117" i="4"/>
  <c r="J116" i="4"/>
  <c r="I116" i="4"/>
  <c r="H116" i="4"/>
  <c r="J115" i="4"/>
  <c r="I115" i="4"/>
  <c r="H115" i="4"/>
  <c r="J114" i="4"/>
  <c r="I114" i="4"/>
  <c r="H114" i="4"/>
  <c r="J113" i="4"/>
  <c r="I113" i="4"/>
  <c r="H113" i="4"/>
  <c r="J112" i="4"/>
  <c r="I112" i="4"/>
  <c r="H112" i="4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I106" i="4"/>
  <c r="H106" i="4"/>
  <c r="J105" i="4"/>
  <c r="I105" i="4"/>
  <c r="H105" i="4"/>
  <c r="J104" i="4"/>
  <c r="I104" i="4"/>
  <c r="H104" i="4"/>
  <c r="J103" i="4"/>
  <c r="I103" i="4"/>
  <c r="H103" i="4"/>
  <c r="J102" i="4"/>
  <c r="I102" i="4"/>
  <c r="H102" i="4"/>
  <c r="J101" i="4"/>
  <c r="I101" i="4"/>
  <c r="H101" i="4"/>
  <c r="J100" i="4"/>
  <c r="I100" i="4"/>
  <c r="H100" i="4"/>
  <c r="J99" i="4"/>
  <c r="I99" i="4"/>
  <c r="H99" i="4"/>
  <c r="J98" i="4"/>
  <c r="I98" i="4"/>
  <c r="H98" i="4"/>
  <c r="J97" i="4"/>
  <c r="I97" i="4"/>
  <c r="H97" i="4"/>
  <c r="J96" i="4"/>
  <c r="I96" i="4"/>
  <c r="H96" i="4"/>
  <c r="J95" i="4"/>
  <c r="I95" i="4"/>
  <c r="H95" i="4"/>
  <c r="J94" i="4"/>
  <c r="I94" i="4"/>
  <c r="H94" i="4"/>
  <c r="J93" i="4"/>
  <c r="I93" i="4"/>
  <c r="H93" i="4"/>
  <c r="J92" i="4"/>
  <c r="I92" i="4"/>
  <c r="H92" i="4"/>
  <c r="J91" i="4"/>
  <c r="I91" i="4"/>
  <c r="H91" i="4"/>
  <c r="J90" i="4"/>
  <c r="I90" i="4"/>
  <c r="H90" i="4"/>
  <c r="J89" i="4"/>
  <c r="I89" i="4"/>
  <c r="H89" i="4"/>
  <c r="J88" i="4"/>
  <c r="I88" i="4"/>
  <c r="H88" i="4"/>
  <c r="J87" i="4"/>
  <c r="I87" i="4"/>
  <c r="H87" i="4"/>
  <c r="J86" i="4"/>
  <c r="I86" i="4"/>
  <c r="H86" i="4"/>
  <c r="J85" i="4"/>
  <c r="I85" i="4"/>
  <c r="H85" i="4"/>
  <c r="J84" i="4"/>
  <c r="I84" i="4"/>
  <c r="H84" i="4"/>
  <c r="J83" i="4"/>
  <c r="I83" i="4"/>
  <c r="H83" i="4"/>
  <c r="J82" i="4"/>
  <c r="I82" i="4"/>
  <c r="H82" i="4"/>
  <c r="J81" i="4"/>
  <c r="I81" i="4"/>
  <c r="H81" i="4"/>
  <c r="J80" i="4"/>
  <c r="I80" i="4"/>
  <c r="H80" i="4"/>
  <c r="J79" i="4"/>
  <c r="I79" i="4"/>
  <c r="H79" i="4"/>
  <c r="J78" i="4"/>
  <c r="I78" i="4"/>
  <c r="H78" i="4"/>
  <c r="J77" i="4"/>
  <c r="I77" i="4"/>
  <c r="H77" i="4"/>
  <c r="J76" i="4"/>
  <c r="I76" i="4"/>
  <c r="H76" i="4"/>
  <c r="J75" i="4"/>
  <c r="I75" i="4"/>
  <c r="H75" i="4"/>
  <c r="J74" i="4"/>
  <c r="I74" i="4"/>
  <c r="H74" i="4"/>
  <c r="J73" i="4"/>
  <c r="I73" i="4"/>
  <c r="H73" i="4"/>
  <c r="J72" i="4"/>
  <c r="I72" i="4"/>
  <c r="H72" i="4"/>
  <c r="J71" i="4"/>
  <c r="I71" i="4"/>
  <c r="H71" i="4"/>
  <c r="J70" i="4"/>
  <c r="I70" i="4"/>
  <c r="H70" i="4"/>
  <c r="J69" i="4"/>
  <c r="I69" i="4"/>
  <c r="H69" i="4"/>
  <c r="J68" i="4"/>
  <c r="I68" i="4"/>
  <c r="H68" i="4"/>
  <c r="J67" i="4"/>
  <c r="I67" i="4"/>
  <c r="H67" i="4"/>
  <c r="J66" i="4"/>
  <c r="I66" i="4"/>
  <c r="H66" i="4"/>
  <c r="J65" i="4"/>
  <c r="I65" i="4"/>
  <c r="H65" i="4"/>
  <c r="J64" i="4"/>
  <c r="I64" i="4"/>
  <c r="H64" i="4"/>
  <c r="J63" i="4"/>
  <c r="I63" i="4"/>
  <c r="H63" i="4"/>
  <c r="J62" i="4"/>
  <c r="I62" i="4"/>
  <c r="H62" i="4"/>
  <c r="J61" i="4"/>
  <c r="I61" i="4"/>
  <c r="H61" i="4"/>
  <c r="J60" i="4"/>
  <c r="I60" i="4"/>
  <c r="H60" i="4"/>
  <c r="J59" i="4"/>
  <c r="I59" i="4"/>
  <c r="H59" i="4"/>
  <c r="J58" i="4"/>
  <c r="I58" i="4"/>
  <c r="H58" i="4"/>
  <c r="J57" i="4"/>
  <c r="I57" i="4"/>
  <c r="H57" i="4"/>
  <c r="J56" i="4"/>
  <c r="I56" i="4"/>
  <c r="H56" i="4"/>
  <c r="J55" i="4"/>
  <c r="I55" i="4"/>
  <c r="H55" i="4"/>
  <c r="J54" i="4"/>
  <c r="I54" i="4"/>
  <c r="H54" i="4"/>
  <c r="J53" i="4"/>
  <c r="I53" i="4"/>
  <c r="H53" i="4"/>
  <c r="J52" i="4"/>
  <c r="I52" i="4"/>
  <c r="H52" i="4"/>
  <c r="J51" i="4"/>
  <c r="I51" i="4"/>
  <c r="H51" i="4"/>
  <c r="J50" i="4"/>
  <c r="I50" i="4"/>
  <c r="H50" i="4"/>
  <c r="J49" i="4"/>
  <c r="I49" i="4"/>
  <c r="H49" i="4"/>
  <c r="J48" i="4"/>
  <c r="I48" i="4"/>
  <c r="H48" i="4"/>
  <c r="J47" i="4"/>
  <c r="I47" i="4"/>
  <c r="H47" i="4"/>
  <c r="J46" i="4"/>
  <c r="I46" i="4"/>
  <c r="H46" i="4"/>
  <c r="J45" i="4"/>
  <c r="I45" i="4"/>
  <c r="H45" i="4"/>
  <c r="J44" i="4"/>
  <c r="I44" i="4"/>
  <c r="H44" i="4"/>
  <c r="J43" i="4"/>
  <c r="I43" i="4"/>
  <c r="H43" i="4"/>
  <c r="J42" i="4"/>
  <c r="I42" i="4"/>
  <c r="H42" i="4"/>
  <c r="J41" i="4"/>
  <c r="I41" i="4"/>
  <c r="H41" i="4"/>
  <c r="J40" i="4"/>
  <c r="I40" i="4"/>
  <c r="H40" i="4"/>
  <c r="J39" i="4"/>
  <c r="I39" i="4"/>
  <c r="H39" i="4"/>
  <c r="J38" i="4"/>
  <c r="I38" i="4"/>
  <c r="H38" i="4"/>
  <c r="J37" i="4"/>
  <c r="I37" i="4"/>
  <c r="H37" i="4"/>
  <c r="J36" i="4"/>
  <c r="I36" i="4"/>
  <c r="H36" i="4"/>
  <c r="J35" i="4"/>
  <c r="I35" i="4"/>
  <c r="H35" i="4"/>
  <c r="J34" i="4"/>
  <c r="I34" i="4"/>
  <c r="H34" i="4"/>
  <c r="J33" i="4"/>
  <c r="I33" i="4"/>
  <c r="H33" i="4"/>
  <c r="J32" i="4"/>
  <c r="I32" i="4"/>
  <c r="H32" i="4"/>
  <c r="J31" i="4"/>
  <c r="I31" i="4"/>
  <c r="H31" i="4"/>
  <c r="J30" i="4"/>
  <c r="I30" i="4"/>
  <c r="H30" i="4"/>
  <c r="J29" i="4"/>
  <c r="I29" i="4"/>
  <c r="H29" i="4"/>
  <c r="J28" i="4"/>
  <c r="I28" i="4"/>
  <c r="H28" i="4"/>
  <c r="J27" i="4"/>
  <c r="I27" i="4"/>
  <c r="H27" i="4"/>
  <c r="J26" i="4"/>
  <c r="I26" i="4"/>
  <c r="H26" i="4"/>
  <c r="J25" i="4"/>
  <c r="I25" i="4"/>
  <c r="H25" i="4"/>
  <c r="J24" i="4"/>
  <c r="I24" i="4"/>
  <c r="H24" i="4"/>
  <c r="J23" i="4"/>
  <c r="I23" i="4"/>
  <c r="H23" i="4"/>
  <c r="J22" i="4"/>
  <c r="I22" i="4"/>
  <c r="H22" i="4"/>
  <c r="J21" i="4"/>
  <c r="I21" i="4"/>
  <c r="H21" i="4"/>
  <c r="J20" i="4"/>
  <c r="I20" i="4"/>
  <c r="H20" i="4"/>
  <c r="J19" i="4"/>
  <c r="I19" i="4"/>
  <c r="H19" i="4"/>
  <c r="J18" i="4"/>
  <c r="I18" i="4"/>
  <c r="H18" i="4"/>
  <c r="J17" i="4"/>
  <c r="I17" i="4"/>
  <c r="H17" i="4"/>
  <c r="J16" i="4"/>
  <c r="I16" i="4"/>
  <c r="H16" i="4"/>
  <c r="J15" i="4"/>
  <c r="I15" i="4"/>
  <c r="H15" i="4"/>
  <c r="J14" i="4"/>
  <c r="I14" i="4"/>
  <c r="H14" i="4"/>
  <c r="J13" i="4"/>
  <c r="I13" i="4"/>
  <c r="H13" i="4"/>
  <c r="J12" i="4"/>
  <c r="I12" i="4"/>
  <c r="H12" i="4"/>
  <c r="J11" i="4"/>
  <c r="I11" i="4"/>
  <c r="H11" i="4"/>
  <c r="J10" i="4"/>
  <c r="I10" i="4"/>
  <c r="H10" i="4"/>
  <c r="J9" i="4"/>
  <c r="I9" i="4"/>
  <c r="H9" i="4"/>
  <c r="J8" i="4"/>
  <c r="I8" i="4"/>
  <c r="H8" i="4"/>
  <c r="J7" i="4"/>
  <c r="I7" i="4"/>
  <c r="H7" i="4"/>
  <c r="J6" i="4"/>
  <c r="I6" i="4"/>
  <c r="H6" i="4"/>
  <c r="J5" i="4"/>
  <c r="I5" i="4"/>
  <c r="H5" i="4"/>
  <c r="J4" i="4"/>
  <c r="I4" i="4"/>
  <c r="H4" i="4"/>
  <c r="J3" i="4"/>
  <c r="I3" i="4"/>
  <c r="H3" i="4"/>
  <c r="J2" i="4"/>
  <c r="I2" i="4"/>
  <c r="H2" i="4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</calcChain>
</file>

<file path=xl/sharedStrings.xml><?xml version="1.0" encoding="utf-8"?>
<sst xmlns="http://schemas.openxmlformats.org/spreadsheetml/2006/main" count="7001" uniqueCount="1138">
  <si>
    <t>Section</t>
  </si>
  <si>
    <t>Item</t>
  </si>
  <si>
    <t>Detail</t>
  </si>
  <si>
    <t>Overview</t>
  </si>
  <si>
    <t>File name</t>
  </si>
  <si>
    <t>CXObserve_Inventory_ACR_Analysis.xlsx</t>
  </si>
  <si>
    <t>Purpose</t>
  </si>
  <si>
    <t>Synthetic Azure deployed-inventory and Azure Consumed Revenue (ACR) dataset for a multi-customer portfolio. Parsed by an AI agent to answer questions about each customer's future Azure capacity needs, to flag capacity restrictions against forecast growth, and to recommend proactive actions.</t>
  </si>
  <si>
    <t>Dataset family</t>
  </si>
  <si>
    <t>One of three synthetic datasets. The other two simulate (1) the MSX opportunity pipeline and (2) Stratus regional capacity. This file joins to both.</t>
  </si>
  <si>
    <t>Source system</t>
  </si>
  <si>
    <t>CX Observe - simulated</t>
  </si>
  <si>
    <t>Extract date</t>
  </si>
  <si>
    <t>ACR window</t>
  </si>
  <si>
    <t>FY2024-FY2026 (3 Microsoft fiscal years, July-June)</t>
  </si>
  <si>
    <t>Data notice</t>
  </si>
  <si>
    <t>SYNTHETIC DATA - demo/testing only. No real customer, revenue, or capacity information is represented.</t>
  </si>
  <si>
    <t>Machine parseability</t>
  </si>
  <si>
    <t>Layout</t>
  </si>
  <si>
    <t>Every data sheet is a flat table with a single header row at row 1, no merged cells, no blank spacer rows or columns.</t>
  </si>
  <si>
    <t>Types</t>
  </si>
  <si>
    <t>Dates are real Excel dates (yyyy-mm-dd); currency, counts and percentages are real numbers, not text.</t>
  </si>
  <si>
    <t>Navigation</t>
  </si>
  <si>
    <t>Header row frozen and autofilter enabled on every data sheet.</t>
  </si>
  <si>
    <t>Derived values</t>
  </si>
  <si>
    <t>All totals, growth, ratio and CAGR columns are live Excel formulas over the source sheets, so they recalculate if inputs change.</t>
  </si>
  <si>
    <t>Join keys</t>
  </si>
  <si>
    <t>CustomerID</t>
  </si>
  <si>
    <t>CUST-001 .. CUST-008. Joins to the MSX pipeline dataset and to customer-level capacity demand.</t>
  </si>
  <si>
    <t>Region + AvailabilityZone + VMSKU</t>
  </si>
  <si>
    <t>Composite key joining Deployed_Inventory to the Stratus regional capacity dataset.</t>
  </si>
  <si>
    <t>ServiceName</t>
  </si>
  <si>
    <t>Azure service name, consistent across ACR_By_Service_Yearly and Service_Growth_Ratio; validated by Reference_Data (ReferenceType='Service').</t>
  </si>
  <si>
    <t>FiscalYear</t>
  </si>
  <si>
    <t>FY2024 / FY2025 / FY2026; boundaries in Reference_Data (ReferenceType='FiscalYear').</t>
  </si>
  <si>
    <t>Sheet inventory</t>
  </si>
  <si>
    <t>Readme</t>
  </si>
  <si>
    <t>This sheet. Purpose, source, column dictionary and join keys.</t>
  </si>
  <si>
    <t>Customer_Summary</t>
  </si>
  <si>
    <t>One row per customer: 3-year ACR totals, YoY growth, CAGR, deployed cores, VM count, primary region, growth trajectory.</t>
  </si>
  <si>
    <t>Deployed_Inventory</t>
  </si>
  <si>
    <t>Currently deployed Azure estate, one row per resource group of identical resources.</t>
  </si>
  <si>
    <t>ACR_By_Service_Yearly</t>
  </si>
  <si>
    <t>One row per CustomerID x ServiceName x FiscalYear, FY2024-FY2026, with YoY change and trend.</t>
  </si>
  <si>
    <t>ACR_Monthly_Trend</t>
  </si>
  <si>
    <t>Monthly ACR per customer for the 36 months 2023-10 to 2026-09, split Compute / Data / AI / Other.</t>
  </si>
  <si>
    <t>Service_Growth_Ratio</t>
  </si>
  <si>
    <t>Pivot-style rollup per CustomerID x ServiceName with FY24/FY25/FY26 side by side, 3-year growth ratio, CAGR and classification.</t>
  </si>
  <si>
    <t>Reference_Data</t>
  </si>
  <si>
    <t>Controlled vocabularies: customers, region/AZ pairs, VM SKUs with vCPU and RAM, services with category, fiscal-year boundaries, enumerations.</t>
  </si>
  <si>
    <t>Column dictionary</t>
  </si>
  <si>
    <t>Customer_Summary.TotalACR_FY2024/25/26</t>
  </si>
  <si>
    <t>SUMIFS over ACR_By_Service_Yearly for that customer and fiscal year, USD.</t>
  </si>
  <si>
    <t>Customer_Summary.YoY_Growth_FY25_Pct</t>
  </si>
  <si>
    <t>(FY2025 total / FY2024 total) - 1.</t>
  </si>
  <si>
    <t>Customer_Summary.CAGR_3yr_Pct</t>
  </si>
  <si>
    <t>(FY2026 total / FY2024 total)^(1/2) - 1, i.e. compound annual growth across the two year-on-year steps.</t>
  </si>
  <si>
    <t>Customer_Summary.TotalDeployedCores</t>
  </si>
  <si>
    <t>SUMIF over Deployed_Inventory.DeployedCores for that customer.</t>
  </si>
  <si>
    <t>Customer_Summary.TotalVMs</t>
  </si>
  <si>
    <t>SUMIFS of Deployed_Inventory.InstanceCount where ResourceType='Virtual Machine'.</t>
  </si>
  <si>
    <t>Customer_Summary.GrowthTrajectory</t>
  </si>
  <si>
    <t>Accelerating / Steady / Flat / Declining - qualitative label for the customer's consumption direction.</t>
  </si>
  <si>
    <t>Deployed_Inventory.InventoryID</t>
  </si>
  <si>
    <t>Surrogate key INV-nnnn.</t>
  </si>
  <si>
    <t>Deployed_Inventory.VMSKU</t>
  </si>
  <si>
    <t>Azure VM SKU, or 'N/A' for resource types with no VM SKU (Storage Account, Cosmos DB Account, App Service Plan).</t>
  </si>
  <si>
    <t>Deployed_Inventory.vCPUsPerVM</t>
  </si>
  <si>
    <t>vCPUs per instance for the SKU (0 where VMSKU='N/A'). Validate against Reference_Data ReferenceType='VMSKU', Attribute1.</t>
  </si>
  <si>
    <t>Deployed_Inventory.DeployedCores</t>
  </si>
  <si>
    <t>Formula: vCPUsPerVM x InstanceCount.</t>
  </si>
  <si>
    <t>Deployed_Inventory.MemoryGB</t>
  </si>
  <si>
    <t>Total memory across the instances in the row.</t>
  </si>
  <si>
    <t>Deployed_Inventory.AvgCPUUtilisationPct</t>
  </si>
  <si>
    <t>Trailing 30-day average CPU utilisation, percent (0-100). Low values on DR rows are expected.</t>
  </si>
  <si>
    <t>Deployed_Inventory.ReservedInstanceCoverage</t>
  </si>
  <si>
    <t>Yes / Partial / No - reserved instance or savings-plan coverage of the row.</t>
  </si>
  <si>
    <t>Deployed_Inventory.Tags</t>
  </si>
  <si>
    <t>Semicolon-separated key=value resource tags.</t>
  </si>
  <si>
    <t>ACR_By_Service_Yearly.ACR_USD</t>
  </si>
  <si>
    <t>Azure Consumed Revenue for that customer, service and fiscal year, USD.</t>
  </si>
  <si>
    <t>ACR_By_Service_Yearly.PriorYearACR_USD</t>
  </si>
  <si>
    <t>ACR for the preceding fiscal year (FY2023 for the FY2024 rows).</t>
  </si>
  <si>
    <t>ACR_By_Service_Yearly.YoY_Change_USD / _Pct</t>
  </si>
  <si>
    <t>Formulas: ACR_USD - PriorYearACR_USD, and that difference over PriorYearACR_USD.</t>
  </si>
  <si>
    <t>ACR_By_Service_Yearly.Trend</t>
  </si>
  <si>
    <t>Formula: Increase above +2%, Decrease below -2%, otherwise Flat.</t>
  </si>
  <si>
    <t>ACR_Monthly_Trend.MonthStart</t>
  </si>
  <si>
    <t>First day of the month, real Excel date.</t>
  </si>
  <si>
    <t>ACR_Monthly_Trend.TotalACR_USD</t>
  </si>
  <si>
    <t>Compute + Data + AI + Other for that customer-month.</t>
  </si>
  <si>
    <t>ACR_Monthly_Trend.MoM_Change_Pct</t>
  </si>
  <si>
    <t>Formula: month-on-month change in TotalACR_USD; blank for each customer's first month.</t>
  </si>
  <si>
    <t>Service_Growth_Ratio.Growth_Ratio_FY26_vs_FY24</t>
  </si>
  <si>
    <t>Formula: FY2026 ACR / FY2024 ACR (a multiple, e.g. 2.4 = 2.4x).</t>
  </si>
  <si>
    <t>Service_Growth_Ratio.GrowthClassification</t>
  </si>
  <si>
    <t>Formula: High Growth (CAGR &gt;= 40%), Moderate Growth (&gt;= 10%), Flat (&gt;= -2%), otherwise Contracting.</t>
  </si>
  <si>
    <t>ReferenceType names the vocabulary; Code is the value to match; Attribute1-3 carry type-specific detail (e.g. VMSKU: vCPUs, RAM GB, family).</t>
  </si>
  <si>
    <t>Analysis hints</t>
  </si>
  <si>
    <t>AI growth</t>
  </si>
  <si>
    <t>Azure OpenAI Service, Azure Machine Learning, Azure Databricks and Microsoft Fabric grow steeply across FY2024-FY2026 for most customers - the main driver of future GPU and capacity demand.</t>
  </si>
  <si>
    <t>Declines</t>
  </si>
  <si>
    <t>Azure Site Recovery and Azure App Service decline, and some VM spend migrates to Azure Kubernetes Service, so both increase and decrease ratios are present.</t>
  </si>
  <si>
    <t>Capacity risk</t>
  </si>
  <si>
    <t>Join Deployed_Inventory Region + AvailabilityZone + VMSKU to the Stratus capacity dataset to test whether forecast growth fits available capacity, especially for GPU SKUs (ND/NC H100 and A100) and Greece Central, which has only AZ-1 and AZ-2.</t>
  </si>
  <si>
    <t>CustomerName</t>
  </si>
  <si>
    <t>Industry</t>
  </si>
  <si>
    <t>TotalACR_FY2024</t>
  </si>
  <si>
    <t>TotalACR_FY2025</t>
  </si>
  <si>
    <t>TotalACR_FY2026</t>
  </si>
  <si>
    <t>YoY_Growth_FY25_Pct</t>
  </si>
  <si>
    <t>YoY_Growth_FY26_Pct</t>
  </si>
  <si>
    <t>CAGR_3yr_Pct</t>
  </si>
  <si>
    <t>TotalDeployedCores</t>
  </si>
  <si>
    <t>TotalVMs</t>
  </si>
  <si>
    <t>PrimaryRegion</t>
  </si>
  <si>
    <t>GrowthTrajectory</t>
  </si>
  <si>
    <t>CUST-001</t>
  </si>
  <si>
    <t>Hellenic Bank of Attica</t>
  </si>
  <si>
    <t>Financial Services</t>
  </si>
  <si>
    <t>West Europe</t>
  </si>
  <si>
    <t>Steady</t>
  </si>
  <si>
    <t>CUST-002</t>
  </si>
  <si>
    <t>Aegean Retail Group</t>
  </si>
  <si>
    <t>Retail</t>
  </si>
  <si>
    <t>North Europe</t>
  </si>
  <si>
    <t>Accelerating</t>
  </si>
  <si>
    <t>CUST-003</t>
  </si>
  <si>
    <t>Olympus Energy SA</t>
  </si>
  <si>
    <t>Energy</t>
  </si>
  <si>
    <t>Sweden Central</t>
  </si>
  <si>
    <t>CUST-004</t>
  </si>
  <si>
    <t>Delphi Logistics</t>
  </si>
  <si>
    <t>Transportation</t>
  </si>
  <si>
    <t>Italy North</t>
  </si>
  <si>
    <t>CUST-005</t>
  </si>
  <si>
    <t>Ionian Telecom</t>
  </si>
  <si>
    <t>Telco</t>
  </si>
  <si>
    <t>Greece Central</t>
  </si>
  <si>
    <t>CUST-006</t>
  </si>
  <si>
    <t>Thessaly AgriTech</t>
  </si>
  <si>
    <t>Manufacturing</t>
  </si>
  <si>
    <t>Poland Central</t>
  </si>
  <si>
    <t>Flat</t>
  </si>
  <si>
    <t>CUST-007</t>
  </si>
  <si>
    <t>Kyklades Media Group</t>
  </si>
  <si>
    <t>Media</t>
  </si>
  <si>
    <t>France Central</t>
  </si>
  <si>
    <t>CUST-008</t>
  </si>
  <si>
    <t>Piraeus Maritime Services</t>
  </si>
  <si>
    <t>Maritime</t>
  </si>
  <si>
    <t>Switzerland North</t>
  </si>
  <si>
    <t>Declining</t>
  </si>
  <si>
    <t>InventoryID</t>
  </si>
  <si>
    <t>SubscriptionName</t>
  </si>
  <si>
    <t>ResourceGroup</t>
  </si>
  <si>
    <t>Region</t>
  </si>
  <si>
    <t>AvailabilityZone</t>
  </si>
  <si>
    <t>ResourceType</t>
  </si>
  <si>
    <t>VMSKU</t>
  </si>
  <si>
    <t>vCPUsPerVM</t>
  </si>
  <si>
    <t>InstanceCount</t>
  </si>
  <si>
    <t>DeployedCores</t>
  </si>
  <si>
    <t>MemoryGB</t>
  </si>
  <si>
    <t>Environment</t>
  </si>
  <si>
    <t>OS</t>
  </si>
  <si>
    <t>AvgCPUUtilisationPct</t>
  </si>
  <si>
    <t>DeploymentDate</t>
  </si>
  <si>
    <t>MonthlyCost_USD</t>
  </si>
  <si>
    <t>ReservedInstanceCoverage</t>
  </si>
  <si>
    <t>Tags</t>
  </si>
  <si>
    <t>INV-0001</t>
  </si>
  <si>
    <t>HBA-Core-Banking-Prod</t>
  </si>
  <si>
    <t>rg-cust-001-storage-greece-02</t>
  </si>
  <si>
    <t>AZ-1</t>
  </si>
  <si>
    <t>Storage Account</t>
  </si>
  <si>
    <t>N/A</t>
  </si>
  <si>
    <t>DR</t>
  </si>
  <si>
    <t>Partial</t>
  </si>
  <si>
    <t>env=dr;owner=hellenic-it;costcentre=CC-1655;criticality=medium</t>
  </si>
  <si>
    <t>INV-0002</t>
  </si>
  <si>
    <t>HBA-DR-Platform</t>
  </si>
  <si>
    <t>rg-cust-001-virtual-west-02</t>
  </si>
  <si>
    <t>Virtual Machine</t>
  </si>
  <si>
    <t>Standard_D8s_v5</t>
  </si>
  <si>
    <t>Production</t>
  </si>
  <si>
    <t>Linux</t>
  </si>
  <si>
    <t>Yes</t>
  </si>
  <si>
    <t>env=production;owner=hellenic-it;costcentre=CC-6143;criticality=high</t>
  </si>
  <si>
    <t>INV-0003</t>
  </si>
  <si>
    <t>rg-cust-001-virtual-west-03</t>
  </si>
  <si>
    <t>AZ-2</t>
  </si>
  <si>
    <t>Standard_E16s_v5</t>
  </si>
  <si>
    <t>Windows</t>
  </si>
  <si>
    <t>No</t>
  </si>
  <si>
    <t>env=production;owner=hellenic-it;costcentre=CC-4424;criticality=high</t>
  </si>
  <si>
    <t>INV-0004</t>
  </si>
  <si>
    <t>rg-cust-001-cosmos-greece-03</t>
  </si>
  <si>
    <t>Cosmos DB Account</t>
  </si>
  <si>
    <t>env=production;owner=hellenic-it;costcentre=CC-1462;criticality=high</t>
  </si>
  <si>
    <t>INV-0005</t>
  </si>
  <si>
    <t>rg-cust-001-databricks-greece-03</t>
  </si>
  <si>
    <t>Databricks Cluster</t>
  </si>
  <si>
    <t>Standard_D16as_v6</t>
  </si>
  <si>
    <t>env=production;owner=hellenic-it;costcentre=CC-1874;criticality=high</t>
  </si>
  <si>
    <t>INV-0006</t>
  </si>
  <si>
    <t>rg-cust-001-virtual-north-03</t>
  </si>
  <si>
    <t>AZ-3</t>
  </si>
  <si>
    <t>Standard_M128ms</t>
  </si>
  <si>
    <t>env=dr;owner=hellenic-it;costcentre=CC-1892;criticality=medium</t>
  </si>
  <si>
    <t>INV-0007</t>
  </si>
  <si>
    <t>rg-cust-001-storage-greece-03</t>
  </si>
  <si>
    <t>env=production;owner=hellenic-it;costcentre=CC-9182;criticality=high</t>
  </si>
  <si>
    <t>INV-0008</t>
  </si>
  <si>
    <t>HBA-Digital-Channels</t>
  </si>
  <si>
    <t>rg-cust-001-virtual-west-04</t>
  </si>
  <si>
    <t>Standard_L16s_v3</t>
  </si>
  <si>
    <t>Non-Production</t>
  </si>
  <si>
    <t>env=non-production;owner=hellenic-it;costcentre=CC-1453;criticality=medium</t>
  </si>
  <si>
    <t>INV-0009</t>
  </si>
  <si>
    <t>rg-cust-001-sql-west-04</t>
  </si>
  <si>
    <t>SQL Managed Instance</t>
  </si>
  <si>
    <t>env=non-production;owner=hellenic-it;costcentre=CC-2957;criticality=medium</t>
  </si>
  <si>
    <t>INV-0010</t>
  </si>
  <si>
    <t>env=production;owner=hellenic-it;costcentre=CC-3909;criticality=high</t>
  </si>
  <si>
    <t>INV-0011</t>
  </si>
  <si>
    <t>Standard_D16s_v5</t>
  </si>
  <si>
    <t>env=dr;owner=hellenic-it;costcentre=CC-9789;criticality=medium</t>
  </si>
  <si>
    <t>INV-0012</t>
  </si>
  <si>
    <t>rg-cust-001-aks-west-03</t>
  </si>
  <si>
    <t>AKS Node Pool</t>
  </si>
  <si>
    <t>Standard_F32s_v2</t>
  </si>
  <si>
    <t>env=non-production;owner=hellenic-it;costcentre=CC-1209;criticality=medium</t>
  </si>
  <si>
    <t>INV-0013</t>
  </si>
  <si>
    <t>rg-cust-001-app-west-02</t>
  </si>
  <si>
    <t>App Service Plan</t>
  </si>
  <si>
    <t>env=production;owner=hellenic-it;costcentre=CC-9520;criticality=high</t>
  </si>
  <si>
    <t>INV-0014</t>
  </si>
  <si>
    <t>rg-cust-001-storage-north-01</t>
  </si>
  <si>
    <t>env=dr;owner=hellenic-it;costcentre=CC-4763;criticality=medium</t>
  </si>
  <si>
    <t>INV-0015</t>
  </si>
  <si>
    <t>rg-cust-001-avd-west-04</t>
  </si>
  <si>
    <t>AVD Host Pool</t>
  </si>
  <si>
    <t>env=production;owner=hellenic-it;costcentre=CC-9588;criticality=high</t>
  </si>
  <si>
    <t>INV-0016</t>
  </si>
  <si>
    <t>rg-cust-001-avd-west-02</t>
  </si>
  <si>
    <t>env=non-production;owner=hellenic-it;costcentre=CC-9653;criticality=medium</t>
  </si>
  <si>
    <t>INV-0017</t>
  </si>
  <si>
    <t>rg-cust-001-sql-west-02</t>
  </si>
  <si>
    <t>env=production;owner=hellenic-it;costcentre=CC-8585;criticality=high</t>
  </si>
  <si>
    <t>INV-0018</t>
  </si>
  <si>
    <t>rg-cust-001-storage-west-02</t>
  </si>
  <si>
    <t>env=non-production;owner=hellenic-it;costcentre=CC-4862;criticality=medium</t>
  </si>
  <si>
    <t>INV-0019</t>
  </si>
  <si>
    <t>env=production;owner=hellenic-it;costcentre=CC-8679;criticality=high</t>
  </si>
  <si>
    <t>INV-0020</t>
  </si>
  <si>
    <t>rg-cust-001-sql-north-03</t>
  </si>
  <si>
    <t>env=non-production;owner=hellenic-it;costcentre=CC-3166;criticality=medium</t>
  </si>
  <si>
    <t>INV-0021</t>
  </si>
  <si>
    <t>Standard_E64ds_v5</t>
  </si>
  <si>
    <t>env=non-production;owner=hellenic-it;costcentre=CC-9405;criticality=medium</t>
  </si>
  <si>
    <t>INV-0022</t>
  </si>
  <si>
    <t>env=non-production;owner=hellenic-it;costcentre=CC-4089;criticality=medium</t>
  </si>
  <si>
    <t>INV-0023</t>
  </si>
  <si>
    <t>rg-cust-001-virtual-west-01</t>
  </si>
  <si>
    <t>env=production;owner=hellenic-it;costcentre=CC-7718;criticality=high</t>
  </si>
  <si>
    <t>INV-0024</t>
  </si>
  <si>
    <t>rg-cust-001-virtual-greece-01</t>
  </si>
  <si>
    <t>env=dr;owner=hellenic-it;costcentre=CC-8012;criticality=medium</t>
  </si>
  <si>
    <t>INV-0025</t>
  </si>
  <si>
    <t>rg-cust-001-virtual-greece-02</t>
  </si>
  <si>
    <t>env=non-production;owner=hellenic-it;costcentre=CC-1979;criticality=medium</t>
  </si>
  <si>
    <t>INV-0026</t>
  </si>
  <si>
    <t>rg-cust-001-storage-west-01</t>
  </si>
  <si>
    <t>env=non-production;owner=hellenic-it;costcentre=CC-5793;criticality=medium</t>
  </si>
  <si>
    <t>INV-0027</t>
  </si>
  <si>
    <t>Standard_D64s_v5</t>
  </si>
  <si>
    <t>env=production;owner=hellenic-it;costcentre=CC-1822;criticality=high</t>
  </si>
  <si>
    <t>INV-0028</t>
  </si>
  <si>
    <t>rg-cust-001-app-north-02</t>
  </si>
  <si>
    <t>env=dr;owner=hellenic-it;costcentre=CC-2671;criticality=medium</t>
  </si>
  <si>
    <t>INV-0029</t>
  </si>
  <si>
    <t>Standard_E32as_v6</t>
  </si>
  <si>
    <t>env=production;owner=hellenic-it;costcentre=CC-9501;criticality=high</t>
  </si>
  <si>
    <t>INV-0030</t>
  </si>
  <si>
    <t>rg-cust-001-aks-north-02</t>
  </si>
  <si>
    <t>env=dr;owner=hellenic-it;costcentre=CC-4242;criticality=medium</t>
  </si>
  <si>
    <t>INV-0031</t>
  </si>
  <si>
    <t>rg-cust-001-virtual-greece-03</t>
  </si>
  <si>
    <t>Standard_D32s_v5</t>
  </si>
  <si>
    <t>env=production;owner=hellenic-it;costcentre=CC-9512;criticality=high</t>
  </si>
  <si>
    <t>INV-0032</t>
  </si>
  <si>
    <t>rg-cust-001-aks-west-04</t>
  </si>
  <si>
    <t>env=non-production;owner=hellenic-it;costcentre=CC-9718;criticality=medium</t>
  </si>
  <si>
    <t>INV-0033</t>
  </si>
  <si>
    <t>rg-cust-001-databricks-north-01</t>
  </si>
  <si>
    <t>env=dr;owner=hellenic-it;costcentre=CC-4487;criticality=medium</t>
  </si>
  <si>
    <t>INV-0034</t>
  </si>
  <si>
    <t>rg-cust-001-aks-north-01</t>
  </si>
  <si>
    <t>env=production;owner=hellenic-it;costcentre=CC-8616;criticality=high</t>
  </si>
  <si>
    <t>INV-0035</t>
  </si>
  <si>
    <t>env=production;owner=hellenic-it;costcentre=CC-6773;criticality=high</t>
  </si>
  <si>
    <t>INV-0036</t>
  </si>
  <si>
    <t>env=non-production;owner=hellenic-it;costcentre=CC-8523;criticality=medium</t>
  </si>
  <si>
    <t>INV-0037</t>
  </si>
  <si>
    <t>env=non-production;owner=hellenic-it;costcentre=CC-1368;criticality=medium</t>
  </si>
  <si>
    <t>INV-0038</t>
  </si>
  <si>
    <t>rg-cust-001-virtual-north-04</t>
  </si>
  <si>
    <t>env=production;owner=hellenic-it;costcentre=CC-1702;criticality=high</t>
  </si>
  <si>
    <t>INV-0039</t>
  </si>
  <si>
    <t>rg-cust-001-aks-greece-02</t>
  </si>
  <si>
    <t>env=production;owner=hellenic-it;costcentre=CC-2030;criticality=high</t>
  </si>
  <si>
    <t>INV-0040</t>
  </si>
  <si>
    <t>env=production;owner=hellenic-it;costcentre=CC-2415;criticality=high</t>
  </si>
  <si>
    <t>INV-0041</t>
  </si>
  <si>
    <t>env=non-production;owner=hellenic-it;costcentre=CC-9563;criticality=medium</t>
  </si>
  <si>
    <t>INV-0042</t>
  </si>
  <si>
    <t>rg-cust-001-cosmos-greece-02</t>
  </si>
  <si>
    <t>env=production;owner=hellenic-it;costcentre=CC-6980;criticality=high</t>
  </si>
  <si>
    <t>INV-0043</t>
  </si>
  <si>
    <t>rg-cust-001-aks-greece-01</t>
  </si>
  <si>
    <t>env=production;owner=hellenic-it;costcentre=CC-3008;criticality=high</t>
  </si>
  <si>
    <t>INV-0044</t>
  </si>
  <si>
    <t>env=production;owner=hellenic-it;costcentre=CC-4680;criticality=high</t>
  </si>
  <si>
    <t>INV-0045</t>
  </si>
  <si>
    <t>rg-cust-001-aks-west-01</t>
  </si>
  <si>
    <t>env=production;owner=hellenic-it;costcentre=CC-3517;criticality=high</t>
  </si>
  <si>
    <t>INV-0046</t>
  </si>
  <si>
    <t>ARG-Ecommerce-Prod</t>
  </si>
  <si>
    <t>rg-cust-002-sql-north-01</t>
  </si>
  <si>
    <t>Standard_E32ds_v5</t>
  </si>
  <si>
    <t>env=production;owner=aegean-it;costcentre=CC-9696;criticality=high</t>
  </si>
  <si>
    <t>INV-0047</t>
  </si>
  <si>
    <t>ARG-Supply-Chain</t>
  </si>
  <si>
    <t>rg-cust-002-aks-west-02</t>
  </si>
  <si>
    <t>env=production;owner=aegean-it;costcentre=CC-8712;criticality=high</t>
  </si>
  <si>
    <t>INV-0048</t>
  </si>
  <si>
    <t>ARG-Analytics</t>
  </si>
  <si>
    <t>env=non-production;owner=aegean-it;costcentre=CC-2446;criticality=medium</t>
  </si>
  <si>
    <t>INV-0049</t>
  </si>
  <si>
    <t>rg-cust-002-sql-north-04</t>
  </si>
  <si>
    <t>env=non-production;owner=aegean-it;costcentre=CC-8063;criticality=medium</t>
  </si>
  <si>
    <t>INV-0050</t>
  </si>
  <si>
    <t>rg-cust-002-storage-north-01</t>
  </si>
  <si>
    <t>env=production;owner=aegean-it;costcentre=CC-8872;criticality=high</t>
  </si>
  <si>
    <t>INV-0051</t>
  </si>
  <si>
    <t>rg-cust-002-virtual-north-02</t>
  </si>
  <si>
    <t>env=non-production;owner=aegean-it;costcentre=CC-2092;criticality=medium</t>
  </si>
  <si>
    <t>INV-0052</t>
  </si>
  <si>
    <t>rg-cust-002-virtual-north-01</t>
  </si>
  <si>
    <t>env=production;owner=aegean-it;costcentre=CC-8549;criticality=high</t>
  </si>
  <si>
    <t>INV-0053</t>
  </si>
  <si>
    <t>rg-cust-002-avd-west-03</t>
  </si>
  <si>
    <t>env=production;owner=aegean-it;costcentre=CC-4580;criticality=high</t>
  </si>
  <si>
    <t>INV-0054</t>
  </si>
  <si>
    <t>rg-cust-002-virtual-west-02</t>
  </si>
  <si>
    <t>env=production;owner=aegean-it;costcentre=CC-2770;criticality=high</t>
  </si>
  <si>
    <t>INV-0055</t>
  </si>
  <si>
    <t>rg-cust-002-sql-north-02</t>
  </si>
  <si>
    <t>Standard_ND96isr_H100_v5</t>
  </si>
  <si>
    <t>env=production;owner=aegean-it;costcentre=CC-6520;criticality=high</t>
  </si>
  <si>
    <t>INV-0056</t>
  </si>
  <si>
    <t>Standard_NC24ads_A100_v4</t>
  </si>
  <si>
    <t>env=non-production;owner=aegean-it;costcentre=CC-2761;criticality=medium</t>
  </si>
  <si>
    <t>INV-0057</t>
  </si>
  <si>
    <t>env=production;owner=aegean-it;costcentre=CC-2549;criticality=high</t>
  </si>
  <si>
    <t>INV-0058</t>
  </si>
  <si>
    <t>rg-cust-002-virtual-north-04</t>
  </si>
  <si>
    <t>env=non-production;owner=aegean-it;costcentre=CC-9662;criticality=medium</t>
  </si>
  <si>
    <t>INV-0059</t>
  </si>
  <si>
    <t>env=production;owner=aegean-it;costcentre=CC-6288;criticality=high</t>
  </si>
  <si>
    <t>INV-0060</t>
  </si>
  <si>
    <t>rg-cust-002-aks-north-01</t>
  </si>
  <si>
    <t>env=production;owner=aegean-it;costcentre=CC-7699;criticality=high</t>
  </si>
  <si>
    <t>INV-0061</t>
  </si>
  <si>
    <t>rg-cust-002-app-north-04</t>
  </si>
  <si>
    <t>env=non-production;owner=aegean-it;costcentre=CC-3974;criticality=medium</t>
  </si>
  <si>
    <t>INV-0062</t>
  </si>
  <si>
    <t>rg-cust-002-virtual-north-03</t>
  </si>
  <si>
    <t>env=production;owner=aegean-it;costcentre=CC-6163;criticality=high</t>
  </si>
  <si>
    <t>INV-0063</t>
  </si>
  <si>
    <t>rg-cust-002-aks-north-02</t>
  </si>
  <si>
    <t>env=production;owner=aegean-it;costcentre=CC-2156;criticality=high</t>
  </si>
  <si>
    <t>INV-0064</t>
  </si>
  <si>
    <t>env=production;owner=aegean-it;costcentre=CC-4700;criticality=high</t>
  </si>
  <si>
    <t>INV-0065</t>
  </si>
  <si>
    <t>rg-cust-002-aks-north-04</t>
  </si>
  <si>
    <t>env=production;owner=aegean-it;costcentre=CC-3336;criticality=high</t>
  </si>
  <si>
    <t>INV-0066</t>
  </si>
  <si>
    <t>env=dr;owner=aegean-it;costcentre=CC-4445;criticality=medium</t>
  </si>
  <si>
    <t>INV-0067</t>
  </si>
  <si>
    <t>rg-cust-002-storage-west-04</t>
  </si>
  <si>
    <t>env=non-production;owner=aegean-it;costcentre=CC-4715;criticality=medium</t>
  </si>
  <si>
    <t>INV-0068</t>
  </si>
  <si>
    <t>rg-cust-002-cosmos-west-02</t>
  </si>
  <si>
    <t>env=non-production;owner=aegean-it;costcentre=CC-2503;criticality=medium</t>
  </si>
  <si>
    <t>INV-0069</t>
  </si>
  <si>
    <t>env=non-production;owner=aegean-it;costcentre=CC-6702;criticality=medium</t>
  </si>
  <si>
    <t>INV-0070</t>
  </si>
  <si>
    <t>env=production;owner=aegean-it;costcentre=CC-2818;criticality=high</t>
  </si>
  <si>
    <t>INV-0071</t>
  </si>
  <si>
    <t>env=production;owner=aegean-it;costcentre=CC-1816;criticality=high</t>
  </si>
  <si>
    <t>INV-0072</t>
  </si>
  <si>
    <t>rg-cust-002-app-north-03</t>
  </si>
  <si>
    <t>env=dr;owner=aegean-it;costcentre=CC-1385;criticality=medium</t>
  </si>
  <si>
    <t>INV-0073</t>
  </si>
  <si>
    <t>rg-cust-002-databricks-west-01</t>
  </si>
  <si>
    <t>env=non-production;owner=aegean-it;costcentre=CC-6921;criticality=medium</t>
  </si>
  <si>
    <t>INV-0074</t>
  </si>
  <si>
    <t>rg-cust-002-app-north-01</t>
  </si>
  <si>
    <t>env=non-production;owner=aegean-it;costcentre=CC-8346;criticality=medium</t>
  </si>
  <si>
    <t>INV-0075</t>
  </si>
  <si>
    <t>env=non-production;owner=aegean-it;costcentre=CC-3270;criticality=medium</t>
  </si>
  <si>
    <t>INV-0076</t>
  </si>
  <si>
    <t>env=production;owner=aegean-it;costcentre=CC-7763;criticality=high</t>
  </si>
  <si>
    <t>INV-0077</t>
  </si>
  <si>
    <t>env=dr;owner=aegean-it;costcentre=CC-8979;criticality=medium</t>
  </si>
  <si>
    <t>INV-0078</t>
  </si>
  <si>
    <t>env=production;owner=aegean-it;costcentre=CC-7444;criticality=high</t>
  </si>
  <si>
    <t>INV-0079</t>
  </si>
  <si>
    <t>rg-cust-002-aks-north-03</t>
  </si>
  <si>
    <t>env=production;owner=aegean-it;costcentre=CC-5973;criticality=high</t>
  </si>
  <si>
    <t>INV-0080</t>
  </si>
  <si>
    <t>env=non-production;owner=aegean-it;costcentre=CC-5705;criticality=medium</t>
  </si>
  <si>
    <t>INV-0081</t>
  </si>
  <si>
    <t>rg-cust-002-aks-west-04</t>
  </si>
  <si>
    <t>env=non-production;owner=aegean-it;costcentre=CC-2217;criticality=medium</t>
  </si>
  <si>
    <t>INV-0082</t>
  </si>
  <si>
    <t>env=production;owner=aegean-it;costcentre=CC-7579;criticality=high</t>
  </si>
  <si>
    <t>INV-0083</t>
  </si>
  <si>
    <t>rg-cust-002-storage-north-02</t>
  </si>
  <si>
    <t>env=non-production;owner=aegean-it;costcentre=CC-2261;criticality=medium</t>
  </si>
  <si>
    <t>INV-0084</t>
  </si>
  <si>
    <t>env=dr;owner=aegean-it;costcentre=CC-6805;criticality=medium</t>
  </si>
  <si>
    <t>INV-0085</t>
  </si>
  <si>
    <t>OES-SCADA-Integration</t>
  </si>
  <si>
    <t>rg-cust-003-storage-sweden-02</t>
  </si>
  <si>
    <t>env=production;owner=olympus-it;costcentre=CC-6853;criticality=high</t>
  </si>
  <si>
    <t>INV-0086</t>
  </si>
  <si>
    <t>rg-cust-003-avd-sweden-02</t>
  </si>
  <si>
    <t>env=dr;owner=olympus-it;costcentre=CC-2272;criticality=medium</t>
  </si>
  <si>
    <t>INV-0087</t>
  </si>
  <si>
    <t>rg-cust-003-virtual-sweden-02</t>
  </si>
  <si>
    <t>env=production;owner=olympus-it;costcentre=CC-5360;criticality=high</t>
  </si>
  <si>
    <t>INV-0088</t>
  </si>
  <si>
    <t>OES-HPC-Reservoir</t>
  </si>
  <si>
    <t>rg-cust-003-avd-sweden-03</t>
  </si>
  <si>
    <t>env=production;owner=olympus-it;costcentre=CC-2709;criticality=high</t>
  </si>
  <si>
    <t>INV-0089</t>
  </si>
  <si>
    <t>OES-Grid-Analytics</t>
  </si>
  <si>
    <t>rg-cust-003-virtual-germany-02</t>
  </si>
  <si>
    <t>Germany West Central</t>
  </si>
  <si>
    <t>Standard_HB176rs_v4</t>
  </si>
  <si>
    <t>env=dr;owner=olympus-it;costcentre=CC-5815;criticality=medium</t>
  </si>
  <si>
    <t>INV-0090</t>
  </si>
  <si>
    <t>rg-cust-003-cosmos-sweden-04</t>
  </si>
  <si>
    <t>env=production;owner=olympus-it;costcentre=CC-5859;criticality=high</t>
  </si>
  <si>
    <t>INV-0091</t>
  </si>
  <si>
    <t>rg-cust-003-virtual-north-03</t>
  </si>
  <si>
    <t>env=non-production;owner=olympus-it;costcentre=CC-1234;criticality=medium</t>
  </si>
  <si>
    <t>INV-0092</t>
  </si>
  <si>
    <t>rg-cust-003-sql-germany-04</t>
  </si>
  <si>
    <t>env=non-production;owner=olympus-it;costcentre=CC-3048;criticality=medium</t>
  </si>
  <si>
    <t>INV-0093</t>
  </si>
  <si>
    <t>rg-cust-003-aks-germany-02</t>
  </si>
  <si>
    <t>env=non-production;owner=olympus-it;costcentre=CC-8743;criticality=medium</t>
  </si>
  <si>
    <t>INV-0094</t>
  </si>
  <si>
    <t>rg-cust-003-virtual-germany-04</t>
  </si>
  <si>
    <t>env=non-production;owner=olympus-it;costcentre=CC-1050;criticality=medium</t>
  </si>
  <si>
    <t>INV-0095</t>
  </si>
  <si>
    <t>rg-cust-003-aks-sweden-02</t>
  </si>
  <si>
    <t>env=dr;owner=olympus-it;costcentre=CC-7695;criticality=medium</t>
  </si>
  <si>
    <t>INV-0096</t>
  </si>
  <si>
    <t>rg-cust-003-storage-germany-03</t>
  </si>
  <si>
    <t>env=production;owner=olympus-it;costcentre=CC-5846;criticality=high</t>
  </si>
  <si>
    <t>INV-0097</t>
  </si>
  <si>
    <t>rg-cust-003-aks-sweden-03</t>
  </si>
  <si>
    <t>env=production;owner=olympus-it;costcentre=CC-8895;criticality=high</t>
  </si>
  <si>
    <t>INV-0098</t>
  </si>
  <si>
    <t>rg-cust-003-virtual-sweden-04</t>
  </si>
  <si>
    <t>env=production;owner=olympus-it;costcentre=CC-8006;criticality=high</t>
  </si>
  <si>
    <t>INV-0099</t>
  </si>
  <si>
    <t>env=dr;owner=olympus-it;costcentre=CC-7332;criticality=medium</t>
  </si>
  <si>
    <t>INV-0100</t>
  </si>
  <si>
    <t>rg-cust-003-storage-north-03</t>
  </si>
  <si>
    <t>env=dr;owner=olympus-it;costcentre=CC-5459;criticality=medium</t>
  </si>
  <si>
    <t>INV-0101</t>
  </si>
  <si>
    <t>rg-cust-003-aks-sweden-04</t>
  </si>
  <si>
    <t>env=dr;owner=olympus-it;costcentre=CC-5290;criticality=medium</t>
  </si>
  <si>
    <t>INV-0102</t>
  </si>
  <si>
    <t>rg-cust-003-virtual-sweden-01</t>
  </si>
  <si>
    <t>env=production;owner=olympus-it;costcentre=CC-2267;criticality=high</t>
  </si>
  <si>
    <t>INV-0103</t>
  </si>
  <si>
    <t>rg-cust-003-storage-sweden-01</t>
  </si>
  <si>
    <t>env=production;owner=olympus-it;costcentre=CC-4263;criticality=high</t>
  </si>
  <si>
    <t>INV-0104</t>
  </si>
  <si>
    <t>env=production;owner=olympus-it;costcentre=CC-6060;criticality=high</t>
  </si>
  <si>
    <t>INV-0105</t>
  </si>
  <si>
    <t>rg-cust-003-virtual-north-02</t>
  </si>
  <si>
    <t>env=dr;owner=olympus-it;costcentre=CC-3025;criticality=medium</t>
  </si>
  <si>
    <t>INV-0106</t>
  </si>
  <si>
    <t>env=non-production;owner=olympus-it;costcentre=CC-5641;criticality=medium</t>
  </si>
  <si>
    <t>INV-0107</t>
  </si>
  <si>
    <t>rg-cust-003-virtual-sweden-03</t>
  </si>
  <si>
    <t>env=dr;owner=olympus-it;costcentre=CC-3266;criticality=medium</t>
  </si>
  <si>
    <t>INV-0108</t>
  </si>
  <si>
    <t>env=production;owner=olympus-it;costcentre=CC-2298;criticality=high</t>
  </si>
  <si>
    <t>INV-0109</t>
  </si>
  <si>
    <t>rg-cust-003-databricks-sweden-01</t>
  </si>
  <si>
    <t>env=non-production;owner=olympus-it;costcentre=CC-2855;criticality=medium</t>
  </si>
  <si>
    <t>INV-0110</t>
  </si>
  <si>
    <t>env=production;owner=olympus-it;costcentre=CC-5337;criticality=high</t>
  </si>
  <si>
    <t>INV-0111</t>
  </si>
  <si>
    <t>rg-cust-003-storage-north-02</t>
  </si>
  <si>
    <t>env=non-production;owner=olympus-it;costcentre=CC-2611;criticality=medium</t>
  </si>
  <si>
    <t>INV-0112</t>
  </si>
  <si>
    <t>env=non-production;owner=olympus-it;costcentre=CC-5719;criticality=medium</t>
  </si>
  <si>
    <t>INV-0113</t>
  </si>
  <si>
    <t>env=non-production;owner=olympus-it;costcentre=CC-2546;criticality=medium</t>
  </si>
  <si>
    <t>INV-0114</t>
  </si>
  <si>
    <t>env=production;owner=olympus-it;costcentre=CC-4661;criticality=high</t>
  </si>
  <si>
    <t>INV-0115</t>
  </si>
  <si>
    <t>rg-cust-003-cosmos-germany-01</t>
  </si>
  <si>
    <t>env=production;owner=olympus-it;costcentre=CC-5144;criticality=high</t>
  </si>
  <si>
    <t>INV-0116</t>
  </si>
  <si>
    <t>env=production;owner=olympus-it;costcentre=CC-1699;criticality=high</t>
  </si>
  <si>
    <t>INV-0117</t>
  </si>
  <si>
    <t>rg-cust-003-virtual-germany-01</t>
  </si>
  <si>
    <t>env=production;owner=olympus-it;costcentre=CC-3817;criticality=high</t>
  </si>
  <si>
    <t>INV-0118</t>
  </si>
  <si>
    <t>rg-cust-003-storage-sweden-04</t>
  </si>
  <si>
    <t>env=non-production;owner=olympus-it;costcentre=CC-1852;criticality=medium</t>
  </si>
  <si>
    <t>INV-0119</t>
  </si>
  <si>
    <t>rg-cust-003-storage-sweden-03</t>
  </si>
  <si>
    <t>env=non-production;owner=olympus-it;costcentre=CC-8072;criticality=medium</t>
  </si>
  <si>
    <t>INV-0120</t>
  </si>
  <si>
    <t>env=production;owner=olympus-it;costcentre=CC-8248;criticality=high</t>
  </si>
  <si>
    <t>INV-0121</t>
  </si>
  <si>
    <t>rg-cust-003-databricks-germany-03</t>
  </si>
  <si>
    <t>env=dr;owner=olympus-it;costcentre=CC-9556;criticality=medium</t>
  </si>
  <si>
    <t>INV-0122</t>
  </si>
  <si>
    <t>rg-cust-003-cosmos-sweden-02</t>
  </si>
  <si>
    <t>env=dr;owner=olympus-it;costcentre=CC-9659;criticality=medium</t>
  </si>
  <si>
    <t>INV-0123</t>
  </si>
  <si>
    <t>env=production;owner=olympus-it;costcentre=CC-7936;criticality=high</t>
  </si>
  <si>
    <t>INV-0124</t>
  </si>
  <si>
    <t>env=production;owner=olympus-it;costcentre=CC-5104;criticality=high</t>
  </si>
  <si>
    <t>INV-0125</t>
  </si>
  <si>
    <t>Standard_NC40ads_H100_v5</t>
  </si>
  <si>
    <t>env=dr;owner=olympus-it;costcentre=CC-5610;criticality=medium</t>
  </si>
  <si>
    <t>INV-0126</t>
  </si>
  <si>
    <t>env=production;owner=olympus-it;costcentre=CC-8511;criticality=high</t>
  </si>
  <si>
    <t>INV-0127</t>
  </si>
  <si>
    <t>rg-cust-003-app-germany-03</t>
  </si>
  <si>
    <t>env=non-production;owner=olympus-it;costcentre=CC-4156;criticality=medium</t>
  </si>
  <si>
    <t>INV-0128</t>
  </si>
  <si>
    <t>rg-cust-003-virtual-germany-03</t>
  </si>
  <si>
    <t>env=non-production;owner=olympus-it;costcentre=CC-7836;criticality=medium</t>
  </si>
  <si>
    <t>INV-0129</t>
  </si>
  <si>
    <t>DL-Warehouse-Edge</t>
  </si>
  <si>
    <t>rg-cust-004-aks-italy-01</t>
  </si>
  <si>
    <t>env=dr;owner=delphi-it;costcentre=CC-9689;criticality=medium</t>
  </si>
  <si>
    <t>INV-0130</t>
  </si>
  <si>
    <t>rg-cust-004-virtual-italy-04</t>
  </si>
  <si>
    <t>env=non-production;owner=delphi-it;costcentre=CC-3230;criticality=medium</t>
  </si>
  <si>
    <t>INV-0131</t>
  </si>
  <si>
    <t>rg-cust-004-avd-italy-01</t>
  </si>
  <si>
    <t>env=production;owner=delphi-it;costcentre=CC-3284;criticality=high</t>
  </si>
  <si>
    <t>INV-0132</t>
  </si>
  <si>
    <t>rg-cust-004-storage-italy-01</t>
  </si>
  <si>
    <t>env=production;owner=delphi-it;costcentre=CC-4871;criticality=high</t>
  </si>
  <si>
    <t>INV-0133</t>
  </si>
  <si>
    <t>DL-Fleet-Platform</t>
  </si>
  <si>
    <t>rg-cust-004-aks-west-01</t>
  </si>
  <si>
    <t>env=non-production;owner=delphi-it;costcentre=CC-6240;criticality=medium</t>
  </si>
  <si>
    <t>INV-0134</t>
  </si>
  <si>
    <t>rg-cust-004-virtual-italy-02</t>
  </si>
  <si>
    <t>env=production;owner=delphi-it;costcentre=CC-4795;criticality=high</t>
  </si>
  <si>
    <t>INV-0135</t>
  </si>
  <si>
    <t>rg-cust-004-aks-italy-02</t>
  </si>
  <si>
    <t>env=production;owner=delphi-it;costcentre=CC-9270;criticality=high</t>
  </si>
  <si>
    <t>INV-0136</t>
  </si>
  <si>
    <t>rg-cust-004-app-west-02</t>
  </si>
  <si>
    <t>env=non-production;owner=delphi-it;costcentre=CC-9855;criticality=medium</t>
  </si>
  <si>
    <t>INV-0137</t>
  </si>
  <si>
    <t>rg-cust-004-aks-west-04</t>
  </si>
  <si>
    <t>env=non-production;owner=delphi-it;costcentre=CC-7152;criticality=medium</t>
  </si>
  <si>
    <t>INV-0138</t>
  </si>
  <si>
    <t>rg-cust-004-databricks-west-01</t>
  </si>
  <si>
    <t>env=production;owner=delphi-it;costcentre=CC-9560;criticality=high</t>
  </si>
  <si>
    <t>INV-0139</t>
  </si>
  <si>
    <t>rg-cust-004-cosmos-italy-02</t>
  </si>
  <si>
    <t>env=non-production;owner=delphi-it;costcentre=CC-7183;criticality=medium</t>
  </si>
  <si>
    <t>INV-0140</t>
  </si>
  <si>
    <t>rg-cust-004-app-italy-01</t>
  </si>
  <si>
    <t>env=production;owner=delphi-it;costcentre=CC-2903;criticality=high</t>
  </si>
  <si>
    <t>INV-0141</t>
  </si>
  <si>
    <t>rg-cust-004-virtual-italy-03</t>
  </si>
  <si>
    <t>env=non-production;owner=delphi-it;costcentre=CC-9978;criticality=medium</t>
  </si>
  <si>
    <t>INV-0142</t>
  </si>
  <si>
    <t>rg-cust-004-storage-west-02</t>
  </si>
  <si>
    <t>env=production;owner=delphi-it;costcentre=CC-6728;criticality=high</t>
  </si>
  <si>
    <t>INV-0143</t>
  </si>
  <si>
    <t>rg-cust-004-storage-west-03</t>
  </si>
  <si>
    <t>env=production;owner=delphi-it;costcentre=CC-1509;criticality=high</t>
  </si>
  <si>
    <t>INV-0144</t>
  </si>
  <si>
    <t>rg-cust-004-aks-west-03</t>
  </si>
  <si>
    <t>env=dr;owner=delphi-it;costcentre=CC-1970;criticality=medium</t>
  </si>
  <si>
    <t>INV-0145</t>
  </si>
  <si>
    <t>env=production;owner=delphi-it;costcentre=CC-4554;criticality=high</t>
  </si>
  <si>
    <t>INV-0146</t>
  </si>
  <si>
    <t>rg-cust-004-virtual-west-02</t>
  </si>
  <si>
    <t>env=production;owner=delphi-it;costcentre=CC-7076;criticality=high</t>
  </si>
  <si>
    <t>INV-0147</t>
  </si>
  <si>
    <t>rg-cust-004-databricks-italy-03</t>
  </si>
  <si>
    <t>env=production;owner=delphi-it;costcentre=CC-2666;criticality=high</t>
  </si>
  <si>
    <t>INV-0148</t>
  </si>
  <si>
    <t>rg-cust-004-avd-west-02</t>
  </si>
  <si>
    <t>env=production;owner=delphi-it;costcentre=CC-2888;criticality=high</t>
  </si>
  <si>
    <t>INV-0149</t>
  </si>
  <si>
    <t>rg-cust-004-sql-italy-01</t>
  </si>
  <si>
    <t>env=production;owner=delphi-it;costcentre=CC-3268;criticality=high</t>
  </si>
  <si>
    <t>INV-0150</t>
  </si>
  <si>
    <t>rg-cust-004-databricks-west-03</t>
  </si>
  <si>
    <t>env=production;owner=delphi-it;costcentre=CC-2737;criticality=high</t>
  </si>
  <si>
    <t>INV-0151</t>
  </si>
  <si>
    <t>rg-cust-004-virtual-italy-01</t>
  </si>
  <si>
    <t>env=dr;owner=delphi-it;costcentre=CC-1889;criticality=medium</t>
  </si>
  <si>
    <t>INV-0152</t>
  </si>
  <si>
    <t>rg-cust-004-sql-west-04</t>
  </si>
  <si>
    <t>env=non-production;owner=delphi-it;costcentre=CC-7269;criticality=medium</t>
  </si>
  <si>
    <t>INV-0153</t>
  </si>
  <si>
    <t>env=production;owner=delphi-it;costcentre=CC-8565;criticality=high</t>
  </si>
  <si>
    <t>INV-0154</t>
  </si>
  <si>
    <t>rg-cust-004-avd-west-01</t>
  </si>
  <si>
    <t>env=production;owner=delphi-it;costcentre=CC-8834;criticality=high</t>
  </si>
  <si>
    <t>INV-0155</t>
  </si>
  <si>
    <t>env=non-production;owner=delphi-it;costcentre=CC-3367;criticality=medium</t>
  </si>
  <si>
    <t>INV-0156</t>
  </si>
  <si>
    <t>env=dr;owner=delphi-it;costcentre=CC-2370;criticality=medium</t>
  </si>
  <si>
    <t>INV-0157</t>
  </si>
  <si>
    <t>rg-cust-004-storage-italy-04</t>
  </si>
  <si>
    <t>env=production;owner=delphi-it;costcentre=CC-3567;criticality=high</t>
  </si>
  <si>
    <t>INV-0158</t>
  </si>
  <si>
    <t>rg-cust-004-aks-italy-03</t>
  </si>
  <si>
    <t>env=production;owner=delphi-it;costcentre=CC-6973;criticality=high</t>
  </si>
  <si>
    <t>INV-0159</t>
  </si>
  <si>
    <t>rg-cust-004-sql-west-01</t>
  </si>
  <si>
    <t>env=non-production;owner=delphi-it;costcentre=CC-3674;criticality=medium</t>
  </si>
  <si>
    <t>INV-0160</t>
  </si>
  <si>
    <t>IT-BSS-OSS</t>
  </si>
  <si>
    <t>rg-cust-005-aks-uk-03</t>
  </si>
  <si>
    <t>UK South</t>
  </si>
  <si>
    <t>env=production;owner=ionian-it;costcentre=CC-1468;criticality=high</t>
  </si>
  <si>
    <t>INV-0161</t>
  </si>
  <si>
    <t>IT-Core-Network-Prod</t>
  </si>
  <si>
    <t>rg-cust-005-aks-greece-03</t>
  </si>
  <si>
    <t>env=production;owner=ionian-it;costcentre=CC-9509;criticality=high</t>
  </si>
  <si>
    <t>INV-0162</t>
  </si>
  <si>
    <t>IT-Edge-Services</t>
  </si>
  <si>
    <t>rg-cust-005-cosmos-west-02</t>
  </si>
  <si>
    <t>env=production;owner=ionian-it;costcentre=CC-4991;criticality=high</t>
  </si>
  <si>
    <t>INV-0163</t>
  </si>
  <si>
    <t>rg-cust-005-aks-west-03</t>
  </si>
  <si>
    <t>env=non-production;owner=ionian-it;costcentre=CC-5533;criticality=medium</t>
  </si>
  <si>
    <t>INV-0164</t>
  </si>
  <si>
    <t>rg-cust-005-virtual-west-02</t>
  </si>
  <si>
    <t>env=production;owner=ionian-it;costcentre=CC-6586;criticality=high</t>
  </si>
  <si>
    <t>INV-0165</t>
  </si>
  <si>
    <t>rg-cust-005-aks-west-02</t>
  </si>
  <si>
    <t>env=non-production;owner=ionian-it;costcentre=CC-9939;criticality=medium</t>
  </si>
  <si>
    <t>INV-0166</t>
  </si>
  <si>
    <t>env=production;owner=ionian-it;costcentre=CC-9430;criticality=high</t>
  </si>
  <si>
    <t>INV-0167</t>
  </si>
  <si>
    <t>env=production;owner=ionian-it;costcentre=CC-3165;criticality=high</t>
  </si>
  <si>
    <t>INV-0168</t>
  </si>
  <si>
    <t>rg-cust-005-avd-west-02</t>
  </si>
  <si>
    <t>env=production;owner=ionian-it;costcentre=CC-2400;criticality=high</t>
  </si>
  <si>
    <t>INV-0169</t>
  </si>
  <si>
    <t>rg-cust-005-storage-greece-01</t>
  </si>
  <si>
    <t>env=production;owner=ionian-it;costcentre=CC-3268;criticality=high</t>
  </si>
  <si>
    <t>INV-0170</t>
  </si>
  <si>
    <t>rg-cust-005-aks-greece-02</t>
  </si>
  <si>
    <t>env=production;owner=ionian-it;costcentre=CC-9469;criticality=high</t>
  </si>
  <si>
    <t>INV-0171</t>
  </si>
  <si>
    <t>env=dr;owner=ionian-it;costcentre=CC-9915;criticality=medium</t>
  </si>
  <si>
    <t>INV-0172</t>
  </si>
  <si>
    <t>rg-cust-005-cosmos-greece-04</t>
  </si>
  <si>
    <t>env=non-production;owner=ionian-it;costcentre=CC-2662;criticality=medium</t>
  </si>
  <si>
    <t>INV-0173</t>
  </si>
  <si>
    <t>rg-cust-005-databricks-greece-02</t>
  </si>
  <si>
    <t>env=production;owner=ionian-it;costcentre=CC-5895;criticality=high</t>
  </si>
  <si>
    <t>INV-0174</t>
  </si>
  <si>
    <t>rg-cust-005-virtual-uk-02</t>
  </si>
  <si>
    <t>env=non-production;owner=ionian-it;costcentre=CC-8112;criticality=medium</t>
  </si>
  <si>
    <t>INV-0175</t>
  </si>
  <si>
    <t>env=production;owner=ionian-it;costcentre=CC-1849;criticality=high</t>
  </si>
  <si>
    <t>INV-0176</t>
  </si>
  <si>
    <t>env=non-production;owner=ionian-it;costcentre=CC-1122;criticality=medium</t>
  </si>
  <si>
    <t>INV-0177</t>
  </si>
  <si>
    <t>rg-cust-005-virtual-uk-04</t>
  </si>
  <si>
    <t>env=non-production;owner=ionian-it;costcentre=CC-1402;criticality=medium</t>
  </si>
  <si>
    <t>INV-0178</t>
  </si>
  <si>
    <t>env=production;owner=ionian-it;costcentre=CC-5248;criticality=high</t>
  </si>
  <si>
    <t>INV-0179</t>
  </si>
  <si>
    <t>rg-cust-005-cosmos-greece-01</t>
  </si>
  <si>
    <t>env=production;owner=ionian-it;costcentre=CC-3377;criticality=high</t>
  </si>
  <si>
    <t>INV-0180</t>
  </si>
  <si>
    <t>rg-cust-005-virtual-greece-02</t>
  </si>
  <si>
    <t>env=dr;owner=ionian-it;costcentre=CC-7769;criticality=medium</t>
  </si>
  <si>
    <t>INV-0181</t>
  </si>
  <si>
    <t>rg-cust-005-aks-uk-02</t>
  </si>
  <si>
    <t>env=dr;owner=ionian-it;costcentre=CC-1092;criticality=medium</t>
  </si>
  <si>
    <t>INV-0182</t>
  </si>
  <si>
    <t>rg-cust-005-storage-greece-02</t>
  </si>
  <si>
    <t>env=production;owner=ionian-it;costcentre=CC-7044;criticality=high</t>
  </si>
  <si>
    <t>INV-0183</t>
  </si>
  <si>
    <t>rg-cust-005-virtual-west-03</t>
  </si>
  <si>
    <t>env=non-production;owner=ionian-it;costcentre=CC-1172;criticality=medium</t>
  </si>
  <si>
    <t>INV-0184</t>
  </si>
  <si>
    <t>rg-cust-005-aks-uk-01</t>
  </si>
  <si>
    <t>env=dr;owner=ionian-it;costcentre=CC-6431;criticality=medium</t>
  </si>
  <si>
    <t>INV-0185</t>
  </si>
  <si>
    <t>rg-cust-005-sql-west-04</t>
  </si>
  <si>
    <t>env=dr;owner=ionian-it;costcentre=CC-2747;criticality=medium</t>
  </si>
  <si>
    <t>INV-0186</t>
  </si>
  <si>
    <t>env=non-production;owner=ionian-it;costcentre=CC-2320;criticality=medium</t>
  </si>
  <si>
    <t>INV-0187</t>
  </si>
  <si>
    <t>env=dr;owner=ionian-it;costcentre=CC-2972;criticality=medium</t>
  </si>
  <si>
    <t>INV-0188</t>
  </si>
  <si>
    <t>rg-cust-005-app-greece-04</t>
  </si>
  <si>
    <t>env=production;owner=ionian-it;costcentre=CC-3777;criticality=high</t>
  </si>
  <si>
    <t>INV-0189</t>
  </si>
  <si>
    <t>env=dr;owner=ionian-it;costcentre=CC-6499;criticality=medium</t>
  </si>
  <si>
    <t>INV-0190</t>
  </si>
  <si>
    <t>rg-cust-005-virtual-greece-03</t>
  </si>
  <si>
    <t>env=production;owner=ionian-it;costcentre=CC-5009;criticality=high</t>
  </si>
  <si>
    <t>INV-0191</t>
  </si>
  <si>
    <t>rg-cust-005-virtual-greece-01</t>
  </si>
  <si>
    <t>env=non-production;owner=ionian-it;costcentre=CC-6328;criticality=medium</t>
  </si>
  <si>
    <t>INV-0192</t>
  </si>
  <si>
    <t>rg-cust-005-storage-uk-03</t>
  </si>
  <si>
    <t>env=production;owner=ionian-it;costcentre=CC-2484;criticality=high</t>
  </si>
  <si>
    <t>INV-0193</t>
  </si>
  <si>
    <t>env=non-production;owner=ionian-it;costcentre=CC-1400;criticality=medium</t>
  </si>
  <si>
    <t>INV-0194</t>
  </si>
  <si>
    <t>rg-cust-005-avd-west-04</t>
  </si>
  <si>
    <t>env=production;owner=ionian-it;costcentre=CC-7300;criticality=high</t>
  </si>
  <si>
    <t>INV-0195</t>
  </si>
  <si>
    <t>rg-cust-005-app-greece-02</t>
  </si>
  <si>
    <t>env=production;owner=ionian-it;costcentre=CC-5840;criticality=high</t>
  </si>
  <si>
    <t>INV-0196</t>
  </si>
  <si>
    <t>rg-cust-005-sql-greece-02</t>
  </si>
  <si>
    <t>env=production;owner=ionian-it;costcentre=CC-3160;criticality=high</t>
  </si>
  <si>
    <t>INV-0197</t>
  </si>
  <si>
    <t>env=non-production;owner=ionian-it;costcentre=CC-6960;criticality=medium</t>
  </si>
  <si>
    <t>INV-0198</t>
  </si>
  <si>
    <t>env=dr;owner=ionian-it;costcentre=CC-9083;criticality=medium</t>
  </si>
  <si>
    <t>INV-0199</t>
  </si>
  <si>
    <t>rg-cust-005-aks-greece-04</t>
  </si>
  <si>
    <t>env=production;owner=ionian-it;costcentre=CC-8105;criticality=high</t>
  </si>
  <si>
    <t>INV-0200</t>
  </si>
  <si>
    <t>rg-cust-005-virtual-west-04</t>
  </si>
  <si>
    <t>env=non-production;owner=ionian-it;costcentre=CC-8811;criticality=medium</t>
  </si>
  <si>
    <t>INV-0201</t>
  </si>
  <si>
    <t>env=dr;owner=ionian-it;costcentre=CC-8742;criticality=medium</t>
  </si>
  <si>
    <t>INV-0202</t>
  </si>
  <si>
    <t>env=dr;owner=ionian-it;costcentre=CC-7451;criticality=medium</t>
  </si>
  <si>
    <t>INV-0203</t>
  </si>
  <si>
    <t>env=non-production;owner=ionian-it;costcentre=CC-5081;criticality=medium</t>
  </si>
  <si>
    <t>INV-0204</t>
  </si>
  <si>
    <t>env=non-production;owner=ionian-it;costcentre=CC-5475;criticality=medium</t>
  </si>
  <si>
    <t>INV-0205</t>
  </si>
  <si>
    <t>env=production;owner=ionian-it;costcentre=CC-1971;criticality=high</t>
  </si>
  <si>
    <t>INV-0206</t>
  </si>
  <si>
    <t>rg-cust-005-virtual-greece-04</t>
  </si>
  <si>
    <t>env=production;owner=ionian-it;costcentre=CC-8610;criticality=high</t>
  </si>
  <si>
    <t>INV-0207</t>
  </si>
  <si>
    <t>env=production;owner=ionian-it;costcentre=CC-7617;criticality=high</t>
  </si>
  <si>
    <t>INV-0208</t>
  </si>
  <si>
    <t>rg-cust-005-aks-west-04</t>
  </si>
  <si>
    <t>env=dr;owner=ionian-it;costcentre=CC-4671;criticality=medium</t>
  </si>
  <si>
    <t>INV-0209</t>
  </si>
  <si>
    <t>TAT-IoT-Ingest</t>
  </si>
  <si>
    <t>rg-cust-006-sql-poland-03</t>
  </si>
  <si>
    <t>env=non-production;owner=thessaly-it;costcentre=CC-5819;criticality=medium</t>
  </si>
  <si>
    <t>INV-0210</t>
  </si>
  <si>
    <t>TAT-Plant-Systems</t>
  </si>
  <si>
    <t>rg-cust-006-databricks-germany-03</t>
  </si>
  <si>
    <t>env=production;owner=thessaly-it;costcentre=CC-1233;criticality=high</t>
  </si>
  <si>
    <t>INV-0211</t>
  </si>
  <si>
    <t>rg-cust-006-app-poland-02</t>
  </si>
  <si>
    <t>env=production;owner=thessaly-it;costcentre=CC-9300;criticality=high</t>
  </si>
  <si>
    <t>INV-0212</t>
  </si>
  <si>
    <t>rg-cust-006-virtual-poland-02</t>
  </si>
  <si>
    <t>env=production;owner=thessaly-it;costcentre=CC-4999;criticality=high</t>
  </si>
  <si>
    <t>INV-0213</t>
  </si>
  <si>
    <t>rg-cust-006-virtual-poland-03</t>
  </si>
  <si>
    <t>env=production;owner=thessaly-it;costcentre=CC-3385;criticality=high</t>
  </si>
  <si>
    <t>INV-0214</t>
  </si>
  <si>
    <t>rg-cust-006-virtual-germany-03</t>
  </si>
  <si>
    <t>env=production;owner=thessaly-it;costcentre=CC-8371;criticality=high</t>
  </si>
  <si>
    <t>INV-0215</t>
  </si>
  <si>
    <t>rg-cust-006-app-poland-03</t>
  </si>
  <si>
    <t>env=production;owner=thessaly-it;costcentre=CC-1616;criticality=high</t>
  </si>
  <si>
    <t>INV-0216</t>
  </si>
  <si>
    <t>rg-cust-006-databricks-germany-02</t>
  </si>
  <si>
    <t>env=production;owner=thessaly-it;costcentre=CC-9993;criticality=high</t>
  </si>
  <si>
    <t>INV-0217</t>
  </si>
  <si>
    <t>env=production;owner=thessaly-it;costcentre=CC-4242;criticality=high</t>
  </si>
  <si>
    <t>INV-0218</t>
  </si>
  <si>
    <t>rg-cust-006-databricks-germany-01</t>
  </si>
  <si>
    <t>env=production;owner=thessaly-it;costcentre=CC-2612;criticality=high</t>
  </si>
  <si>
    <t>INV-0219</t>
  </si>
  <si>
    <t>rg-cust-006-aks-poland-04</t>
  </si>
  <si>
    <t>env=production;owner=thessaly-it;costcentre=CC-3592;criticality=high</t>
  </si>
  <si>
    <t>INV-0220</t>
  </si>
  <si>
    <t>rg-cust-006-cosmos-poland-01</t>
  </si>
  <si>
    <t>env=dr;owner=thessaly-it;costcentre=CC-4742;criticality=medium</t>
  </si>
  <si>
    <t>INV-0221</t>
  </si>
  <si>
    <t>rg-cust-006-storage-germany-01</t>
  </si>
  <si>
    <t>env=non-production;owner=thessaly-it;costcentre=CC-3083;criticality=medium</t>
  </si>
  <si>
    <t>INV-0222</t>
  </si>
  <si>
    <t>env=non-production;owner=thessaly-it;costcentre=CC-7726;criticality=medium</t>
  </si>
  <si>
    <t>INV-0223</t>
  </si>
  <si>
    <t>env=production;owner=thessaly-it;costcentre=CC-5283;criticality=high</t>
  </si>
  <si>
    <t>INV-0224</t>
  </si>
  <si>
    <t>rg-cust-006-sql-poland-01</t>
  </si>
  <si>
    <t>env=dr;owner=thessaly-it;costcentre=CC-3450;criticality=medium</t>
  </si>
  <si>
    <t>INV-0225</t>
  </si>
  <si>
    <t>rg-cust-006-virtual-poland-01</t>
  </si>
  <si>
    <t>env=dr;owner=thessaly-it;costcentre=CC-7866;criticality=medium</t>
  </si>
  <si>
    <t>INV-0226</t>
  </si>
  <si>
    <t>rg-cust-006-storage-poland-01</t>
  </si>
  <si>
    <t>env=non-production;owner=thessaly-it;costcentre=CC-5960;criticality=medium</t>
  </si>
  <si>
    <t>INV-0227</t>
  </si>
  <si>
    <t>rg-cust-006-aks-poland-03</t>
  </si>
  <si>
    <t>env=production;owner=thessaly-it;costcentre=CC-5227;criticality=high</t>
  </si>
  <si>
    <t>INV-0228</t>
  </si>
  <si>
    <t>rg-cust-006-virtual-germany-02</t>
  </si>
  <si>
    <t>env=non-production;owner=thessaly-it;costcentre=CC-2410;criticality=medium</t>
  </si>
  <si>
    <t>INV-0229</t>
  </si>
  <si>
    <t>rg-cust-006-virtual-germany-01</t>
  </si>
  <si>
    <t>env=production;owner=thessaly-it;costcentre=CC-4011;criticality=high</t>
  </si>
  <si>
    <t>INV-0230</t>
  </si>
  <si>
    <t>env=production;owner=thessaly-it;costcentre=CC-8163;criticality=high</t>
  </si>
  <si>
    <t>INV-0231</t>
  </si>
  <si>
    <t>rg-cust-006-cosmos-germany-02</t>
  </si>
  <si>
    <t>env=production;owner=thessaly-it;costcentre=CC-8818;criticality=high</t>
  </si>
  <si>
    <t>INV-0232</t>
  </si>
  <si>
    <t>env=non-production;owner=thessaly-it;costcentre=CC-8614;criticality=medium</t>
  </si>
  <si>
    <t>INV-0233</t>
  </si>
  <si>
    <t>rg-cust-006-virtual-germany-04</t>
  </si>
  <si>
    <t>env=non-production;owner=thessaly-it;costcentre=CC-5020;criticality=medium</t>
  </si>
  <si>
    <t>INV-0234</t>
  </si>
  <si>
    <t>rg-cust-006-app-germany-02</t>
  </si>
  <si>
    <t>env=production;owner=thessaly-it;costcentre=CC-3655;criticality=high</t>
  </si>
  <si>
    <t>INV-0235</t>
  </si>
  <si>
    <t>rg-cust-006-aks-germany-03</t>
  </si>
  <si>
    <t>env=production;owner=thessaly-it;costcentre=CC-4190;criticality=high</t>
  </si>
  <si>
    <t>INV-0236</t>
  </si>
  <si>
    <t>env=production;owner=thessaly-it;costcentre=CC-8315;criticality=high</t>
  </si>
  <si>
    <t>INV-0237</t>
  </si>
  <si>
    <t>KMG-Streaming-Delivery</t>
  </si>
  <si>
    <t>rg-cust-007-virtual-france-04</t>
  </si>
  <si>
    <t>env=production;owner=kyklades-it;costcentre=CC-8416;criticality=high</t>
  </si>
  <si>
    <t>INV-0238</t>
  </si>
  <si>
    <t>KMG-Media-Pipeline</t>
  </si>
  <si>
    <t>rg-cust-007-sql-france-01</t>
  </si>
  <si>
    <t>env=non-production;owner=kyklades-it;costcentre=CC-6853;criticality=medium</t>
  </si>
  <si>
    <t>INV-0239</t>
  </si>
  <si>
    <t>rg-cust-007-virtual-france-01</t>
  </si>
  <si>
    <t>env=non-production;owner=kyklades-it;costcentre=CC-1154;criticality=medium</t>
  </si>
  <si>
    <t>INV-0240</t>
  </si>
  <si>
    <t>rg-cust-007-virtual-west-03</t>
  </si>
  <si>
    <t>env=production;owner=kyklades-it;costcentre=CC-3033;criticality=high</t>
  </si>
  <si>
    <t>INV-0241</t>
  </si>
  <si>
    <t>rg-cust-007-virtual-france-02</t>
  </si>
  <si>
    <t>env=production;owner=kyklades-it;costcentre=CC-1266;criticality=high</t>
  </si>
  <si>
    <t>INV-0242</t>
  </si>
  <si>
    <t>rg-cust-007-aks-france-03</t>
  </si>
  <si>
    <t>env=production;owner=kyklades-it;costcentre=CC-1238;criticality=high</t>
  </si>
  <si>
    <t>INV-0243</t>
  </si>
  <si>
    <t>env=non-production;owner=kyklades-it;costcentre=CC-9624;criticality=medium</t>
  </si>
  <si>
    <t>INV-0244</t>
  </si>
  <si>
    <t>env=production;owner=kyklades-it;costcentre=CC-3963;criticality=high</t>
  </si>
  <si>
    <t>INV-0245</t>
  </si>
  <si>
    <t>rg-cust-007-app-west-02</t>
  </si>
  <si>
    <t>env=production;owner=kyklades-it;costcentre=CC-9829;criticality=high</t>
  </si>
  <si>
    <t>INV-0246</t>
  </si>
  <si>
    <t>rg-cust-007-sql-france-04</t>
  </si>
  <si>
    <t>env=production;owner=kyklades-it;costcentre=CC-8784;criticality=high</t>
  </si>
  <si>
    <t>INV-0247</t>
  </si>
  <si>
    <t>env=production;owner=kyklades-it;costcentre=CC-6495;criticality=high</t>
  </si>
  <si>
    <t>INV-0248</t>
  </si>
  <si>
    <t>rg-cust-007-aks-west-03</t>
  </si>
  <si>
    <t>env=production;owner=kyklades-it;costcentre=CC-6831;criticality=high</t>
  </si>
  <si>
    <t>INV-0249</t>
  </si>
  <si>
    <t>rg-cust-007-virtual-west-02</t>
  </si>
  <si>
    <t>env=production;owner=kyklades-it;costcentre=CC-2058;criticality=high</t>
  </si>
  <si>
    <t>INV-0250</t>
  </si>
  <si>
    <t>rg-cust-007-app-france-02</t>
  </si>
  <si>
    <t>env=non-production;owner=kyklades-it;costcentre=CC-7613;criticality=medium</t>
  </si>
  <si>
    <t>INV-0251</t>
  </si>
  <si>
    <t>rg-cust-007-virtual-france-03</t>
  </si>
  <si>
    <t>env=production;owner=kyklades-it;costcentre=CC-1345;criticality=high</t>
  </si>
  <si>
    <t>INV-0252</t>
  </si>
  <si>
    <t>rg-cust-007-aks-west-01</t>
  </si>
  <si>
    <t>env=production;owner=kyklades-it;costcentre=CC-3680;criticality=high</t>
  </si>
  <si>
    <t>INV-0253</t>
  </si>
  <si>
    <t>rg-cust-007-sql-france-03</t>
  </si>
  <si>
    <t>env=non-production;owner=kyklades-it;costcentre=CC-3012;criticality=medium</t>
  </si>
  <si>
    <t>INV-0254</t>
  </si>
  <si>
    <t>env=non-production;owner=kyklades-it;costcentre=CC-3703;criticality=medium</t>
  </si>
  <si>
    <t>INV-0255</t>
  </si>
  <si>
    <t>env=production;owner=kyklades-it;costcentre=CC-4235;criticality=high</t>
  </si>
  <si>
    <t>INV-0256</t>
  </si>
  <si>
    <t>env=production;owner=kyklades-it;costcentre=CC-5980;criticality=high</t>
  </si>
  <si>
    <t>INV-0257</t>
  </si>
  <si>
    <t>env=non-production;owner=kyklades-it;costcentre=CC-6669;criticality=medium</t>
  </si>
  <si>
    <t>INV-0258</t>
  </si>
  <si>
    <t>rg-cust-007-cosmos-france-01</t>
  </si>
  <si>
    <t>env=production;owner=kyklades-it;costcentre=CC-7846;criticality=high</t>
  </si>
  <si>
    <t>INV-0259</t>
  </si>
  <si>
    <t>env=production;owner=kyklades-it;costcentre=CC-8291;criticality=high</t>
  </si>
  <si>
    <t>INV-0260</t>
  </si>
  <si>
    <t>rg-cust-007-storage-france-02</t>
  </si>
  <si>
    <t>env=non-production;owner=kyklades-it;costcentre=CC-9812;criticality=medium</t>
  </si>
  <si>
    <t>INV-0261</t>
  </si>
  <si>
    <t>env=non-production;owner=kyklades-it;costcentre=CC-7378;criticality=medium</t>
  </si>
  <si>
    <t>INV-0262</t>
  </si>
  <si>
    <t>rg-cust-007-storage-france-04</t>
  </si>
  <si>
    <t>env=production;owner=kyklades-it;costcentre=CC-6764;criticality=high</t>
  </si>
  <si>
    <t>INV-0263</t>
  </si>
  <si>
    <t>env=non-production;owner=kyklades-it;costcentre=CC-6248;criticality=medium</t>
  </si>
  <si>
    <t>INV-0264</t>
  </si>
  <si>
    <t>env=non-production;owner=kyklades-it;costcentre=CC-7263;criticality=medium</t>
  </si>
  <si>
    <t>INV-0265</t>
  </si>
  <si>
    <t>rg-cust-007-aks-france-04</t>
  </si>
  <si>
    <t>env=production;owner=kyklades-it;costcentre=CC-3842;criticality=high</t>
  </si>
  <si>
    <t>INV-0266</t>
  </si>
  <si>
    <t>rg-cust-007-cosmos-france-03</t>
  </si>
  <si>
    <t>env=non-production;owner=kyklades-it;costcentre=CC-5861;criticality=medium</t>
  </si>
  <si>
    <t>INV-0267</t>
  </si>
  <si>
    <t>rg-cust-007-cosmos-france-02</t>
  </si>
  <si>
    <t>env=production;owner=kyklades-it;costcentre=CC-4239;criticality=high</t>
  </si>
  <si>
    <t>INV-0268</t>
  </si>
  <si>
    <t>env=non-production;owner=kyklades-it;costcentre=CC-4780;criticality=medium</t>
  </si>
  <si>
    <t>INV-0269</t>
  </si>
  <si>
    <t>env=production;owner=kyklades-it;costcentre=CC-1501;criticality=high</t>
  </si>
  <si>
    <t>INV-0270</t>
  </si>
  <si>
    <t>PMS-Legacy-Estate</t>
  </si>
  <si>
    <t>rg-cust-008-virtual-italy-02</t>
  </si>
  <si>
    <t>env=production;owner=piraeus-it;costcentre=CC-6357;criticality=high</t>
  </si>
  <si>
    <t>INV-0271</t>
  </si>
  <si>
    <t>rg-cust-008-avd-switzerland-02</t>
  </si>
  <si>
    <t>env=production;owner=piraeus-it;costcentre=CC-9929;criticality=high</t>
  </si>
  <si>
    <t>INV-0272</t>
  </si>
  <si>
    <t>PMS-Port-Operations</t>
  </si>
  <si>
    <t>rg-cust-008-aks-switzerland-03</t>
  </si>
  <si>
    <t>env=production;owner=piraeus-it;costcentre=CC-7041;criticality=high</t>
  </si>
  <si>
    <t>INV-0273</t>
  </si>
  <si>
    <t>rg-cust-008-virtual-switzerland-02</t>
  </si>
  <si>
    <t>env=production;owner=piraeus-it;costcentre=CC-7587;criticality=high</t>
  </si>
  <si>
    <t>INV-0274</t>
  </si>
  <si>
    <t>rg-cust-008-cosmos-switzerland-03</t>
  </si>
  <si>
    <t>env=production;owner=piraeus-it;costcentre=CC-1486;criticality=high</t>
  </si>
  <si>
    <t>INV-0275</t>
  </si>
  <si>
    <t>rg-cust-008-virtual-switzerland-04</t>
  </si>
  <si>
    <t>env=production;owner=piraeus-it;costcentre=CC-9977;criticality=high</t>
  </si>
  <si>
    <t>INV-0276</t>
  </si>
  <si>
    <t>rg-cust-008-storage-switzerland-02</t>
  </si>
  <si>
    <t>env=non-production;owner=piraeus-it;costcentre=CC-9118;criticality=medium</t>
  </si>
  <si>
    <t>INV-0277</t>
  </si>
  <si>
    <t>rg-cust-008-virtual-switzerland-03</t>
  </si>
  <si>
    <t>env=non-production;owner=piraeus-it;costcentre=CC-5006;criticality=medium</t>
  </si>
  <si>
    <t>INV-0278</t>
  </si>
  <si>
    <t>rg-cust-008-virtual-italy-03</t>
  </si>
  <si>
    <t>env=non-production;owner=piraeus-it;costcentre=CC-1098;criticality=medium</t>
  </si>
  <si>
    <t>INV-0279</t>
  </si>
  <si>
    <t>rg-cust-008-databricks-italy-01</t>
  </si>
  <si>
    <t>env=production;owner=piraeus-it;costcentre=CC-8111;criticality=high</t>
  </si>
  <si>
    <t>INV-0280</t>
  </si>
  <si>
    <t>env=production;owner=piraeus-it;costcentre=CC-6062;criticality=high</t>
  </si>
  <si>
    <t>INV-0281</t>
  </si>
  <si>
    <t>rg-cust-008-databricks-switzerland-03</t>
  </si>
  <si>
    <t>env=non-production;owner=piraeus-it;costcentre=CC-3181;criticality=medium</t>
  </si>
  <si>
    <t>INV-0282</t>
  </si>
  <si>
    <t>rg-cust-008-databricks-italy-02</t>
  </si>
  <si>
    <t>env=non-production;owner=piraeus-it;costcentre=CC-6602;criticality=medium</t>
  </si>
  <si>
    <t>INV-0283</t>
  </si>
  <si>
    <t>rg-cust-008-aks-switzerland-02</t>
  </si>
  <si>
    <t>env=production;owner=piraeus-it;costcentre=CC-8782;criticality=high</t>
  </si>
  <si>
    <t>INV-0284</t>
  </si>
  <si>
    <t>env=production;owner=piraeus-it;costcentre=CC-1229;criticality=high</t>
  </si>
  <si>
    <t>INV-0285</t>
  </si>
  <si>
    <t>rg-cust-008-virtual-italy-01</t>
  </si>
  <si>
    <t>env=production;owner=piraeus-it;costcentre=CC-8426;criticality=high</t>
  </si>
  <si>
    <t>INV-0286</t>
  </si>
  <si>
    <t>env=production;owner=piraeus-it;costcentre=CC-7553;criticality=high</t>
  </si>
  <si>
    <t>INV-0287</t>
  </si>
  <si>
    <t>env=production;owner=piraeus-it;costcentre=CC-2106;criticality=high</t>
  </si>
  <si>
    <t>INV-0288</t>
  </si>
  <si>
    <t>rg-cust-008-sql-switzerland-04</t>
  </si>
  <si>
    <t>env=production;owner=piraeus-it;costcentre=CC-5394;criticality=high</t>
  </si>
  <si>
    <t>INV-0289</t>
  </si>
  <si>
    <t>rg-cust-008-virtual-switzerland-01</t>
  </si>
  <si>
    <t>env=production;owner=piraeus-it;costcentre=CC-5496;criticality=high</t>
  </si>
  <si>
    <t>INV-0290</t>
  </si>
  <si>
    <t>env=production;owner=piraeus-it;costcentre=CC-6216;criticality=high</t>
  </si>
  <si>
    <t>INV-0291</t>
  </si>
  <si>
    <t>rg-cust-008-aks-switzerland-04</t>
  </si>
  <si>
    <t>env=production;owner=piraeus-it;costcentre=CC-7985;criticality=high</t>
  </si>
  <si>
    <t>INV-0292</t>
  </si>
  <si>
    <t>rg-cust-008-aks-italy-02</t>
  </si>
  <si>
    <t>env=production;owner=piraeus-it;costcentre=CC-9358;criticality=high</t>
  </si>
  <si>
    <t>INV-0293</t>
  </si>
  <si>
    <t>rg-cust-008-cosmos-switzerland-01</t>
  </si>
  <si>
    <t>env=non-production;owner=piraeus-it;costcentre=CC-8308;criticality=medium</t>
  </si>
  <si>
    <t>INV-0294</t>
  </si>
  <si>
    <t>env=non-production;owner=piraeus-it;costcentre=CC-2524;criticality=medium</t>
  </si>
  <si>
    <t>INV-0295</t>
  </si>
  <si>
    <t>rg-cust-008-sql-switzerland-02</t>
  </si>
  <si>
    <t>env=production;owner=piraeus-it;costcentre=CC-2277;criticality=high</t>
  </si>
  <si>
    <t>INV-0296</t>
  </si>
  <si>
    <t>rg-cust-008-app-italy-04</t>
  </si>
  <si>
    <t>env=production;owner=piraeus-it;costcentre=CC-8225;criticality=high</t>
  </si>
  <si>
    <t>INV-0297</t>
  </si>
  <si>
    <t>rg-cust-008-avd-italy-04</t>
  </si>
  <si>
    <t>env=production;owner=piraeus-it;costcentre=CC-8361;criticality=high</t>
  </si>
  <si>
    <t>INV-0298</t>
  </si>
  <si>
    <t>env=production;owner=piraeus-it;costcentre=CC-9009;criticality=high</t>
  </si>
  <si>
    <t>ServiceCategory</t>
  </si>
  <si>
    <t>ACR_USD</t>
  </si>
  <si>
    <t>PriorYearACR_USD</t>
  </si>
  <si>
    <t>YoY_Change_USD</t>
  </si>
  <si>
    <t>YoY_Change_Pct</t>
  </si>
  <si>
    <t>Trend</t>
  </si>
  <si>
    <t>Azure Virtual Machines</t>
  </si>
  <si>
    <t>Compute</t>
  </si>
  <si>
    <t>FY2024</t>
  </si>
  <si>
    <t>FY2025</t>
  </si>
  <si>
    <t>FY2026</t>
  </si>
  <si>
    <t>Azure Storage</t>
  </si>
  <si>
    <t>Storage</t>
  </si>
  <si>
    <t>Azure Networking</t>
  </si>
  <si>
    <t>Networking</t>
  </si>
  <si>
    <t>Azure Monitor</t>
  </si>
  <si>
    <t>Management</t>
  </si>
  <si>
    <t>Azure Backup</t>
  </si>
  <si>
    <t>Azure Firewall</t>
  </si>
  <si>
    <t>Security</t>
  </si>
  <si>
    <t>Azure Kubernetes Service</t>
  </si>
  <si>
    <t>Azure Virtual Desktop</t>
  </si>
  <si>
    <t>End-User Computing</t>
  </si>
  <si>
    <t>Azure Data Factory</t>
  </si>
  <si>
    <t>Data</t>
  </si>
  <si>
    <t>Azure Site Recovery</t>
  </si>
  <si>
    <t>Azure Container Apps</t>
  </si>
  <si>
    <t>Azure App Service</t>
  </si>
  <si>
    <t>Azure SQL Database</t>
  </si>
  <si>
    <t>Azure OpenAI Service</t>
  </si>
  <si>
    <t>AI</t>
  </si>
  <si>
    <t>Microsoft Fabric</t>
  </si>
  <si>
    <t>Azure Databricks</t>
  </si>
  <si>
    <t>Azure Cosmos DB</t>
  </si>
  <si>
    <t>Azure Machine Learning</t>
  </si>
  <si>
    <t>MonthStart</t>
  </si>
  <si>
    <t>TotalACR_USD</t>
  </si>
  <si>
    <t>ComputeACR_USD</t>
  </si>
  <si>
    <t>DataACR_USD</t>
  </si>
  <si>
    <t>AI_ACR_USD</t>
  </si>
  <si>
    <t>Other_ACR_USD</t>
  </si>
  <si>
    <t>MoM_Change_Pct</t>
  </si>
  <si>
    <t>ACR_FY2024</t>
  </si>
  <si>
    <t>ACR_FY2025</t>
  </si>
  <si>
    <t>ACR_FY2026</t>
  </si>
  <si>
    <t>Growth_Ratio_FY26_vs_FY24</t>
  </si>
  <si>
    <t>GrowthClassification</t>
  </si>
  <si>
    <t>ReferenceType</t>
  </si>
  <si>
    <t>Code</t>
  </si>
  <si>
    <t>Name</t>
  </si>
  <si>
    <t>Attribute1</t>
  </si>
  <si>
    <t>Attribute2</t>
  </si>
  <si>
    <t>Attribute3</t>
  </si>
  <si>
    <t>Customer</t>
  </si>
  <si>
    <t>RegionAZ</t>
  </si>
  <si>
    <t>West Europe|AZ-1</t>
  </si>
  <si>
    <t>Europe</t>
  </si>
  <si>
    <t>Available</t>
  </si>
  <si>
    <t>West Europe|AZ-2</t>
  </si>
  <si>
    <t>West Europe|AZ-3</t>
  </si>
  <si>
    <t>North Europe|AZ-1</t>
  </si>
  <si>
    <t>North Europe|AZ-2</t>
  </si>
  <si>
    <t>North Europe|AZ-3</t>
  </si>
  <si>
    <t>Sweden Central|AZ-1</t>
  </si>
  <si>
    <t>Sweden Central|AZ-2</t>
  </si>
  <si>
    <t>Sweden Central|AZ-3</t>
  </si>
  <si>
    <t>Germany West Central|AZ-1</t>
  </si>
  <si>
    <t>Germany West Central|AZ-2</t>
  </si>
  <si>
    <t>Germany West Central|AZ-3</t>
  </si>
  <si>
    <t>Italy North|AZ-1</t>
  </si>
  <si>
    <t>Italy North|AZ-2</t>
  </si>
  <si>
    <t>Italy North|AZ-3</t>
  </si>
  <si>
    <t>UK South|AZ-1</t>
  </si>
  <si>
    <t>UK South|AZ-2</t>
  </si>
  <si>
    <t>UK South|AZ-3</t>
  </si>
  <si>
    <t>France Central|AZ-1</t>
  </si>
  <si>
    <t>France Central|AZ-2</t>
  </si>
  <si>
    <t>France Central|AZ-3</t>
  </si>
  <si>
    <t>Switzerland North|AZ-1</t>
  </si>
  <si>
    <t>Switzerland North|AZ-2</t>
  </si>
  <si>
    <t>Switzerland North|AZ-3</t>
  </si>
  <si>
    <t>Poland Central|AZ-1</t>
  </si>
  <si>
    <t>Poland Central|AZ-2</t>
  </si>
  <si>
    <t>Poland Central|AZ-3</t>
  </si>
  <si>
    <t>Greece Central|AZ-1</t>
  </si>
  <si>
    <t>Greece Central|AZ-2</t>
  </si>
  <si>
    <t>Dsv5 General Purpose</t>
  </si>
  <si>
    <t>Esv5 Memory Optimised</t>
  </si>
  <si>
    <t>Edsv5 Memory Optimised</t>
  </si>
  <si>
    <t>Fsv2 Compute Optimised</t>
  </si>
  <si>
    <t>Lsv3 Storage Optimised</t>
  </si>
  <si>
    <t>M Series Memory Optimised</t>
  </si>
  <si>
    <t>Dasv6 General Purpose AMD</t>
  </si>
  <si>
    <t>Easv6 Memory Optimised AMD</t>
  </si>
  <si>
    <t>HBv4 HPC</t>
  </si>
  <si>
    <t>NCads A100 v4 GPU</t>
  </si>
  <si>
    <t>NDisr H100 v5 GPU</t>
  </si>
  <si>
    <t>NCads H100 v5 GPU</t>
  </si>
  <si>
    <t>Service</t>
  </si>
  <si>
    <t>Microsoft fiscal year (July-June)</t>
  </si>
  <si>
    <t>Platform</t>
  </si>
  <si>
    <t>Increase</t>
  </si>
  <si>
    <t>Decrease</t>
  </si>
  <si>
    <t>High Growth</t>
  </si>
  <si>
    <t>Moderate Growth</t>
  </si>
  <si>
    <t>Contracting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</si>
</sst>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"/>
    <numFmt numFmtId="165" formatCode="0.0%"/>
    <numFmt numFmtId="166" formatCode="0.0"/>
    <numFmt numFmtId="167" formatCode="yyyy\-mm\-dd"/>
    <numFmt numFmtId="168" formatCode="0.00&quot;x&quot;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</font>
    <font>
      <b/>
      <sz val="10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vertical="top" wrapText="1"/>
    </xf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93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</dxf>
    <dxf>
      <font>
        <color rgb="FF006100"/>
      </font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8" formatCode="0.00&quot;x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5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vertical="top"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7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66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indexed="64"/>
          <bgColor rgb="FF1F2A5C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C96EB7-9846-4F43-83AA-C62874B81A6B}" name="Tbl_Readme" displayName="Tbl_Readme" ref="A1:C50" totalsRowShown="0" headerRowDxfId="70" dataDxfId="69">
  <autoFilter ref="A1:C50" xr:uid="{DAC96EB7-9846-4F43-83AA-C62874B81A6B}"/>
  <tableColumns count="3">
    <tableColumn id="1" xr3:uid="{94CD9B3F-AFA7-4B71-A1DC-E278E2278708}" name="Section" dataDxfId="68"/>
    <tableColumn id="2" xr3:uid="{FA3EA7B3-9EA6-4410-A6F4-F5B774B5087B}" name="Item" dataDxfId="67"/>
    <tableColumn id="3" xr3:uid="{E87FAC1F-3099-4578-AB20-8BD2DC4289BC}" name="Detail" dataDxfId="6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1DCEE8-D3C7-41E3-961B-EDB17BBA0AED}" name="Tbl_CustomerSummary" displayName="Tbl_CustomerSummary" ref="A1:M9" totalsRowShown="0" headerRowDxfId="65" dataDxfId="64">
  <autoFilter ref="A1:M9" xr:uid="{0B1DCEE8-D3C7-41E3-961B-EDB17BBA0AED}"/>
  <tableColumns count="13">
    <tableColumn id="1" xr3:uid="{FA50ED46-111B-40C5-9042-106587075F8D}" name="CustomerID" dataDxfId="63"/>
    <tableColumn id="2" xr3:uid="{E5B8BCC6-D0C3-4F95-94AF-34C15826A6E7}" name="CustomerName" dataDxfId="62"/>
    <tableColumn id="3" xr3:uid="{5B8B79CC-1E84-4714-93CE-FAFA4AD88CB5}" name="Industry" dataDxfId="61"/>
    <tableColumn id="4" xr3:uid="{C1E69E86-EA8E-4C7C-BE90-8B9F65A01C77}" name="TotalACR_FY2024" dataDxfId="60">
      <calculatedColumnFormula>SUMIFS(ACR_By_Service_Yearly!$F:$F,ACR_By_Service_Yearly!$A:$A,$A2,ACR_By_Service_Yearly!$E:$E,"FY2024")</calculatedColumnFormula>
    </tableColumn>
    <tableColumn id="5" xr3:uid="{744AF6FF-003A-453E-B338-BAB9E4BBC6DA}" name="TotalACR_FY2025" dataDxfId="59">
      <calculatedColumnFormula>SUMIFS(ACR_By_Service_Yearly!$F:$F,ACR_By_Service_Yearly!$A:$A,$A2,ACR_By_Service_Yearly!$E:$E,"FY2025")</calculatedColumnFormula>
    </tableColumn>
    <tableColumn id="6" xr3:uid="{574E31C1-F7A9-45A5-ADC9-6C52BB3F2D84}" name="TotalACR_FY2026" dataDxfId="58">
      <calculatedColumnFormula>SUMIFS(ACR_By_Service_Yearly!$F:$F,ACR_By_Service_Yearly!$A:$A,$A2,ACR_By_Service_Yearly!$E:$E,"FY2026")</calculatedColumnFormula>
    </tableColumn>
    <tableColumn id="7" xr3:uid="{BAA9AF80-A6F9-49DA-8570-BABF91CCD154}" name="YoY_Growth_FY25_Pct" dataDxfId="57">
      <calculatedColumnFormula>E2/D2-1</calculatedColumnFormula>
    </tableColumn>
    <tableColumn id="8" xr3:uid="{D98AC1D4-71DC-4C19-B7EB-BA09C3267322}" name="YoY_Growth_FY26_Pct" dataDxfId="56">
      <calculatedColumnFormula>F2/E2-1</calculatedColumnFormula>
    </tableColumn>
    <tableColumn id="9" xr3:uid="{2A5794E6-6316-46E5-86E1-6CB4C622FB46}" name="CAGR_3yr_Pct" dataDxfId="55">
      <calculatedColumnFormula>(F2/D2)^(1/2)-1</calculatedColumnFormula>
    </tableColumn>
    <tableColumn id="10" xr3:uid="{A1D5D7BB-51E0-4D30-9B69-8C3925F04C04}" name="TotalDeployedCores" dataDxfId="54">
      <calculatedColumnFormula>SUMIF(Deployed_Inventory!$B:$B,$A2,Deployed_Inventory!$L:$L)</calculatedColumnFormula>
    </tableColumn>
    <tableColumn id="11" xr3:uid="{1B3175F9-C2EC-432D-803D-BC8AC56AC8AE}" name="TotalVMs" dataDxfId="53">
      <calculatedColumnFormula>SUMIFS(Deployed_Inventory!$K:$K,Deployed_Inventory!$B:$B,$A2,Deployed_Inventory!$H:$H,"Virtual Machine")</calculatedColumnFormula>
    </tableColumn>
    <tableColumn id="12" xr3:uid="{E8590D54-4DCC-4D21-A10F-DA97680F774A}" name="PrimaryRegion" dataDxfId="52"/>
    <tableColumn id="13" xr3:uid="{26F8C190-E812-47BC-B787-292418DA64AA}" name="GrowthTrajectory" dataDxfId="5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12900-34E9-4742-B4F6-E872949C4C15}" name="Tbl_DeployedInventory" displayName="Tbl_DeployedInventory" ref="A1:T299" totalsRowShown="0" headerRowDxfId="92" dataDxfId="91">
  <autoFilter ref="A1:T299" xr:uid="{D5812900-34E9-4742-B4F6-E872949C4C15}"/>
  <tableColumns count="20">
    <tableColumn id="1" xr3:uid="{66111AA1-3D33-4991-8469-098587EDB592}" name="InventoryID" dataDxfId="90"/>
    <tableColumn id="2" xr3:uid="{85701488-4B1E-41A5-BFF7-6A7116EC104D}" name="CustomerID" dataDxfId="89"/>
    <tableColumn id="3" xr3:uid="{08B49F92-0EF5-4D49-9EB8-67DC15E06911}" name="CustomerName" dataDxfId="88"/>
    <tableColumn id="4" xr3:uid="{B2AC4339-4F91-49CF-9286-4DC0E7A33814}" name="SubscriptionName" dataDxfId="87"/>
    <tableColumn id="5" xr3:uid="{C3AF5342-E274-4BB7-A641-7818145EFAF7}" name="ResourceGroup" dataDxfId="86"/>
    <tableColumn id="6" xr3:uid="{F59949A6-C935-46A7-BE11-172B5C704CDD}" name="Region" dataDxfId="85"/>
    <tableColumn id="7" xr3:uid="{4AC899CA-446A-4DA2-AAEF-985984F590DA}" name="AvailabilityZone" dataDxfId="84"/>
    <tableColumn id="8" xr3:uid="{B53FDB45-1755-4DA8-BD3D-16354DF0D3AF}" name="ResourceType" dataDxfId="83"/>
    <tableColumn id="9" xr3:uid="{D939173A-2DAD-4EF9-849A-57885F2689A6}" name="VMSKU" dataDxfId="82"/>
    <tableColumn id="10" xr3:uid="{00B9438F-83B9-4AF8-99BB-28A98514423E}" name="vCPUsPerVM" dataDxfId="81"/>
    <tableColumn id="11" xr3:uid="{A5E52C18-6978-4186-AC5B-25DD847FAD11}" name="InstanceCount" dataDxfId="80"/>
    <tableColumn id="12" xr3:uid="{E7C0640D-9CD6-4D4D-9F56-47DF1FEEDF98}" name="DeployedCores" dataDxfId="79">
      <calculatedColumnFormula>J2*K2</calculatedColumnFormula>
    </tableColumn>
    <tableColumn id="13" xr3:uid="{6B246BF6-D98F-4606-8524-57BF7C76389A}" name="MemoryGB" dataDxfId="78"/>
    <tableColumn id="14" xr3:uid="{E331CA61-B6F1-4FD0-AAFD-A3E42A76429E}" name="Environment" dataDxfId="77"/>
    <tableColumn id="15" xr3:uid="{DF6CAC01-A46A-4469-8F1B-AA47291C4A95}" name="OS" dataDxfId="76"/>
    <tableColumn id="16" xr3:uid="{40CD7170-0F04-45A2-B1C0-803FF080AA86}" name="AvgCPUUtilisationPct" dataDxfId="75"/>
    <tableColumn id="17" xr3:uid="{1658A3DF-FE56-423C-90AA-F59CF774B212}" name="DeploymentDate" dataDxfId="74"/>
    <tableColumn id="18" xr3:uid="{F634FF7C-54BD-4A77-8C84-091C15EBF83A}" name="MonthlyCost_USD" dataDxfId="73"/>
    <tableColumn id="19" xr3:uid="{319D775A-8659-45C2-9690-D288382DA5BB}" name="ReservedInstanceCoverage" dataDxfId="72"/>
    <tableColumn id="20" xr3:uid="{A5D74219-50A6-4B0D-AD0E-335E2A4C2CA7}" name="Tags" dataDxfId="7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780C8D-EBCB-441C-9268-76415CA25763}" name="Tbl_ACRYearly" displayName="Tbl_ACRYearly" ref="A1:J295" totalsRowShown="0" headerRowDxfId="50" dataDxfId="49">
  <autoFilter ref="A1:J295" xr:uid="{86780C8D-EBCB-441C-9268-76415CA25763}"/>
  <tableColumns count="10">
    <tableColumn id="1" xr3:uid="{E48539F7-1051-4AEA-8F3D-97957369C3A9}" name="CustomerID" dataDxfId="48"/>
    <tableColumn id="2" xr3:uid="{08037FF7-7852-4462-B0B1-CD126E4C3AEC}" name="CustomerName" dataDxfId="47"/>
    <tableColumn id="3" xr3:uid="{255111EA-33DA-4B0F-BB35-F43A73F5F757}" name="ServiceName" dataDxfId="46"/>
    <tableColumn id="4" xr3:uid="{989A7D55-10EA-4332-AF29-45871C0BA36A}" name="ServiceCategory" dataDxfId="45"/>
    <tableColumn id="5" xr3:uid="{E0357FA6-3858-43E3-B2EE-0EAEB8C0008E}" name="FiscalYear" dataDxfId="44"/>
    <tableColumn id="6" xr3:uid="{BB98C7CD-EAC9-42CC-9235-381CD32A05ED}" name="ACR_USD" dataDxfId="43"/>
    <tableColumn id="7" xr3:uid="{C9C48294-5233-4D30-89A0-D5B752A65D8E}" name="PriorYearACR_USD" dataDxfId="42"/>
    <tableColumn id="8" xr3:uid="{6CB63AA2-D42E-43B3-B936-1D83559ECEDB}" name="YoY_Change_USD" dataDxfId="41">
      <calculatedColumnFormula>F2-G2</calculatedColumnFormula>
    </tableColumn>
    <tableColumn id="9" xr3:uid="{4753E13A-F763-421E-8B74-B030B6C9FD35}" name="YoY_Change_Pct" dataDxfId="40">
      <calculatedColumnFormula>H2/G2</calculatedColumnFormula>
    </tableColumn>
    <tableColumn id="10" xr3:uid="{908A54B8-A615-478F-87E2-2688C0652C50}" name="Trend" dataDxfId="39">
      <calculatedColumnFormula>IF(I2&gt;0.02,"Increase",IF(I2&lt;-0.02,"Decrease","Flat"))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43C3E0-1AA2-47D0-A04B-AFFDDA287549}" name="Tbl_ACRMonthly" displayName="Tbl_ACRMonthly" ref="A1:I289" totalsRowShown="0" headerRowDxfId="38" dataDxfId="37">
  <autoFilter ref="A1:I289" xr:uid="{7243C3E0-1AA2-47D0-A04B-AFFDDA287549}"/>
  <tableColumns count="9">
    <tableColumn id="1" xr3:uid="{DB35BA0F-AD19-40AF-868E-B0F1AAD339A8}" name="CustomerID" dataDxfId="36"/>
    <tableColumn id="2" xr3:uid="{50B2E897-D47F-4BD4-BD98-0787769CE77F}" name="CustomerName" dataDxfId="35"/>
    <tableColumn id="3" xr3:uid="{049C07A3-E643-4B48-A0E5-68B13C42DC07}" name="MonthStart" dataDxfId="34"/>
    <tableColumn id="4" xr3:uid="{AD13640A-961F-4414-B7EC-39CDD3491580}" name="TotalACR_USD" dataDxfId="33"/>
    <tableColumn id="5" xr3:uid="{E597295A-5AB7-4F8E-BA4A-C7BEBFE190BA}" name="ComputeACR_USD" dataDxfId="32"/>
    <tableColumn id="6" xr3:uid="{D2CD52F5-3C0A-49B3-97F9-2303503E4DE1}" name="DataACR_USD" dataDxfId="31"/>
    <tableColumn id="7" xr3:uid="{6BFDE02D-04D1-4868-A26F-8857348B8A98}" name="AI_ACR_USD" dataDxfId="30"/>
    <tableColumn id="8" xr3:uid="{015DE1B3-3D29-477D-B8DD-A6FB1B0EB906}" name="Other_ACR_USD" dataDxfId="29"/>
    <tableColumn id="9" xr3:uid="{2E6A7339-0607-4D68-8B1F-69D7E4D1EA18}" name="MoM_Change_Pct" dataDxfId="28">
      <calculatedColumnFormula>(D2-D1)/D1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384BCD-CBB8-413C-A163-6E3D70FF72EE}" name="Tbl_ServiceGrowth" displayName="Tbl_ServiceGrowth" ref="A1:J99" totalsRowShown="0" headerRowDxfId="27" dataDxfId="26">
  <autoFilter ref="A1:J99" xr:uid="{5C384BCD-CBB8-413C-A163-6E3D70FF72EE}"/>
  <tableColumns count="10">
    <tableColumn id="1" xr3:uid="{2066FA27-4B76-4683-86DF-7F6F22164C41}" name="CustomerID" dataDxfId="25"/>
    <tableColumn id="2" xr3:uid="{9197DA6E-C091-4AE5-AC5A-5516A81E5744}" name="CustomerName" dataDxfId="24"/>
    <tableColumn id="3" xr3:uid="{A6616EA9-19CD-41E9-8B5D-2A982BC15517}" name="ServiceName" dataDxfId="23"/>
    <tableColumn id="4" xr3:uid="{C259E74E-03C5-494A-90DA-ABCDD4E0367D}" name="ServiceCategory" dataDxfId="22"/>
    <tableColumn id="5" xr3:uid="{134CD901-DB6B-4387-8AE2-C354848D58ED}" name="ACR_FY2024" dataDxfId="21">
      <calculatedColumnFormula>SUMIFS(ACR_By_Service_Yearly!$F:$F,ACR_By_Service_Yearly!$A:$A,$A2,ACR_By_Service_Yearly!$C:$C,$C2,ACR_By_Service_Yearly!$E:$E,"FY2024")</calculatedColumnFormula>
    </tableColumn>
    <tableColumn id="6" xr3:uid="{375066E1-984E-4942-9AC1-33B09E9A9D42}" name="ACR_FY2025" dataDxfId="20">
      <calculatedColumnFormula>SUMIFS(ACR_By_Service_Yearly!$F:$F,ACR_By_Service_Yearly!$A:$A,$A2,ACR_By_Service_Yearly!$C:$C,$C2,ACR_By_Service_Yearly!$E:$E,"FY2025")</calculatedColumnFormula>
    </tableColumn>
    <tableColumn id="7" xr3:uid="{3BEE7651-8EE8-47C6-B37C-DA9DE54B8C02}" name="ACR_FY2026" dataDxfId="19">
      <calculatedColumnFormula>SUMIFS(ACR_By_Service_Yearly!$F:$F,ACR_By_Service_Yearly!$A:$A,$A2,ACR_By_Service_Yearly!$C:$C,$C2,ACR_By_Service_Yearly!$E:$E,"FY2026")</calculatedColumnFormula>
    </tableColumn>
    <tableColumn id="8" xr3:uid="{9F09BA47-DAC5-4BDB-BCA8-9DFFD827C32B}" name="Growth_Ratio_FY26_vs_FY24" dataDxfId="18">
      <calculatedColumnFormula>G2/E2</calculatedColumnFormula>
    </tableColumn>
    <tableColumn id="9" xr3:uid="{491F5218-54E7-4576-8BD3-A6F5D1C2DD2C}" name="CAGR_3yr_Pct" dataDxfId="17">
      <calculatedColumnFormula>(G2/E2)^(1/2)-1</calculatedColumnFormula>
    </tableColumn>
    <tableColumn id="10" xr3:uid="{ED177944-41D6-4CA6-AD3A-F2E3FA6A1BC2}" name="GrowthClassification" dataDxfId="16">
      <calculatedColumnFormula>IF(I2&gt;=0.4,"High Growth",IF(I2&gt;=0.1,"Moderate Growth",IF(I2&gt;=-0.02,"Flat","Contracting")))</calculatedColumnFormula>
    </tableColumn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7AE201D-4F05-491F-8D04-468D38865B18}" name="Tbl_Reference" displayName="Tbl_Reference" ref="A1:F93" totalsRowShown="0" headerRowDxfId="15" dataDxfId="14">
  <autoFilter ref="A1:F93" xr:uid="{27AE201D-4F05-491F-8D04-468D38865B18}"/>
  <tableColumns count="6">
    <tableColumn id="1" xr3:uid="{1FFB2E86-55D9-4649-BDA0-79F85B2FF3C5}" name="ReferenceType" dataDxfId="13"/>
    <tableColumn id="2" xr3:uid="{EEC08DE2-259E-4052-91EC-5F923A54930D}" name="Code" dataDxfId="12"/>
    <tableColumn id="3" xr3:uid="{782DF512-9015-497D-960A-7377C6D002C9}" name="Name" dataDxfId="11"/>
    <tableColumn id="4" xr3:uid="{38A695C9-C411-4532-B7FD-2EACD2FBCBAF}" name="Attribute1" dataDxfId="10"/>
    <tableColumn id="5" xr3:uid="{1D704330-A8D2-4017-9C29-CF076372EDAE}" name="Attribute2" dataDxfId="9"/>
    <tableColumn id="6" xr3:uid="{15147CDD-AE22-4660-A672-6FDCB6226A92}" name="Attribute3" dataDxfId="8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7109375" customWidth="1"/>
    <col min="2" max="2" width="44.7109375" customWidth="1"/>
    <col min="3" max="3" width="110.7109375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 t="s">
        <v>3</v>
      </c>
      <c r="B2" s="1" t="s">
        <v>4</v>
      </c>
      <c r="C2" s="4" t="s">
        <v>5</v>
      </c>
    </row>
    <row r="3" spans="1:3" ht="38.25" x14ac:dyDescent="0.25">
      <c r="A3" s="1" t="s">
        <v>3</v>
      </c>
      <c r="B3" s="1" t="s">
        <v>6</v>
      </c>
      <c r="C3" s="4" t="s">
        <v>7</v>
      </c>
    </row>
    <row r="4" spans="1:3" ht="25.5" x14ac:dyDescent="0.25">
      <c r="A4" s="1" t="s">
        <v>3</v>
      </c>
      <c r="B4" s="1" t="s">
        <v>8</v>
      </c>
      <c r="C4" s="4" t="s">
        <v>9</v>
      </c>
    </row>
    <row r="5" spans="1:3" x14ac:dyDescent="0.25">
      <c r="A5" s="1" t="s">
        <v>3</v>
      </c>
      <c r="B5" s="1" t="s">
        <v>10</v>
      </c>
      <c r="C5" s="4" t="s">
        <v>11</v>
      </c>
    </row>
    <row r="6" spans="1:3" x14ac:dyDescent="0.25">
      <c r="A6" s="1" t="s">
        <v>3</v>
      </c>
      <c r="B6" s="1" t="s">
        <v>12</v>
      </c>
      <c r="C6" s="5">
        <v>46280</v>
      </c>
    </row>
    <row r="7" spans="1:3" x14ac:dyDescent="0.25">
      <c r="A7" s="1" t="s">
        <v>3</v>
      </c>
      <c r="B7" s="1" t="s">
        <v>13</v>
      </c>
      <c r="C7" s="4" t="s">
        <v>14</v>
      </c>
    </row>
    <row r="8" spans="1:3" x14ac:dyDescent="0.25">
      <c r="A8" s="1" t="s">
        <v>3</v>
      </c>
      <c r="B8" s="1" t="s">
        <v>15</v>
      </c>
      <c r="C8" s="4" t="s">
        <v>16</v>
      </c>
    </row>
    <row r="9" spans="1:3" x14ac:dyDescent="0.25">
      <c r="A9" s="1" t="s">
        <v>17</v>
      </c>
      <c r="B9" s="1" t="s">
        <v>18</v>
      </c>
      <c r="C9" s="4" t="s">
        <v>19</v>
      </c>
    </row>
    <row r="10" spans="1:3" x14ac:dyDescent="0.25">
      <c r="A10" s="1" t="s">
        <v>17</v>
      </c>
      <c r="B10" s="1" t="s">
        <v>20</v>
      </c>
      <c r="C10" s="4" t="s">
        <v>21</v>
      </c>
    </row>
    <row r="11" spans="1:3" x14ac:dyDescent="0.25">
      <c r="A11" s="1" t="s">
        <v>17</v>
      </c>
      <c r="B11" s="1" t="s">
        <v>22</v>
      </c>
      <c r="C11" s="4" t="s">
        <v>23</v>
      </c>
    </row>
    <row r="12" spans="1:3" x14ac:dyDescent="0.25">
      <c r="A12" s="1" t="s">
        <v>17</v>
      </c>
      <c r="B12" s="1" t="s">
        <v>24</v>
      </c>
      <c r="C12" s="4" t="s">
        <v>25</v>
      </c>
    </row>
    <row r="13" spans="1:3" x14ac:dyDescent="0.25">
      <c r="A13" s="1" t="s">
        <v>26</v>
      </c>
      <c r="B13" s="1" t="s">
        <v>27</v>
      </c>
      <c r="C13" s="4" t="s">
        <v>28</v>
      </c>
    </row>
    <row r="14" spans="1:3" x14ac:dyDescent="0.25">
      <c r="A14" s="1" t="s">
        <v>26</v>
      </c>
      <c r="B14" s="1" t="s">
        <v>29</v>
      </c>
      <c r="C14" s="4" t="s">
        <v>30</v>
      </c>
    </row>
    <row r="15" spans="1:3" ht="25.5" x14ac:dyDescent="0.25">
      <c r="A15" s="1" t="s">
        <v>26</v>
      </c>
      <c r="B15" s="1" t="s">
        <v>31</v>
      </c>
      <c r="C15" s="4" t="s">
        <v>32</v>
      </c>
    </row>
    <row r="16" spans="1:3" x14ac:dyDescent="0.25">
      <c r="A16" s="1" t="s">
        <v>26</v>
      </c>
      <c r="B16" s="1" t="s">
        <v>33</v>
      </c>
      <c r="C16" s="4" t="s">
        <v>34</v>
      </c>
    </row>
    <row r="17" spans="1:3" x14ac:dyDescent="0.25">
      <c r="A17" s="1" t="s">
        <v>35</v>
      </c>
      <c r="B17" s="1" t="s">
        <v>36</v>
      </c>
      <c r="C17" s="4" t="s">
        <v>37</v>
      </c>
    </row>
    <row r="18" spans="1:3" x14ac:dyDescent="0.25">
      <c r="A18" s="1" t="s">
        <v>35</v>
      </c>
      <c r="B18" s="1" t="s">
        <v>38</v>
      </c>
      <c r="C18" s="4" t="s">
        <v>39</v>
      </c>
    </row>
    <row r="19" spans="1:3" x14ac:dyDescent="0.25">
      <c r="A19" s="1" t="s">
        <v>35</v>
      </c>
      <c r="B19" s="1" t="s">
        <v>40</v>
      </c>
      <c r="C19" s="4" t="s">
        <v>41</v>
      </c>
    </row>
    <row r="20" spans="1:3" x14ac:dyDescent="0.25">
      <c r="A20" s="1" t="s">
        <v>35</v>
      </c>
      <c r="B20" s="1" t="s">
        <v>42</v>
      </c>
      <c r="C20" s="4" t="s">
        <v>43</v>
      </c>
    </row>
    <row r="21" spans="1:3" x14ac:dyDescent="0.25">
      <c r="A21" s="1" t="s">
        <v>35</v>
      </c>
      <c r="B21" s="1" t="s">
        <v>44</v>
      </c>
      <c r="C21" s="4" t="s">
        <v>45</v>
      </c>
    </row>
    <row r="22" spans="1:3" x14ac:dyDescent="0.25">
      <c r="A22" s="1" t="s">
        <v>35</v>
      </c>
      <c r="B22" s="1" t="s">
        <v>46</v>
      </c>
      <c r="C22" s="4" t="s">
        <v>47</v>
      </c>
    </row>
    <row r="23" spans="1:3" ht="25.5" x14ac:dyDescent="0.25">
      <c r="A23" s="1" t="s">
        <v>35</v>
      </c>
      <c r="B23" s="1" t="s">
        <v>48</v>
      </c>
      <c r="C23" s="4" t="s">
        <v>49</v>
      </c>
    </row>
    <row r="24" spans="1:3" x14ac:dyDescent="0.25">
      <c r="A24" s="1" t="s">
        <v>50</v>
      </c>
      <c r="B24" s="1" t="s">
        <v>51</v>
      </c>
      <c r="C24" s="4" t="s">
        <v>52</v>
      </c>
    </row>
    <row r="25" spans="1:3" x14ac:dyDescent="0.25">
      <c r="A25" s="1" t="s">
        <v>50</v>
      </c>
      <c r="B25" s="1" t="s">
        <v>53</v>
      </c>
      <c r="C25" s="4" t="s">
        <v>54</v>
      </c>
    </row>
    <row r="26" spans="1:3" x14ac:dyDescent="0.25">
      <c r="A26" s="1" t="s">
        <v>50</v>
      </c>
      <c r="B26" s="1" t="s">
        <v>55</v>
      </c>
      <c r="C26" s="4" t="s">
        <v>56</v>
      </c>
    </row>
    <row r="27" spans="1:3" x14ac:dyDescent="0.25">
      <c r="A27" s="1" t="s">
        <v>50</v>
      </c>
      <c r="B27" s="1" t="s">
        <v>57</v>
      </c>
      <c r="C27" s="4" t="s">
        <v>58</v>
      </c>
    </row>
    <row r="28" spans="1:3" x14ac:dyDescent="0.25">
      <c r="A28" s="1" t="s">
        <v>50</v>
      </c>
      <c r="B28" s="1" t="s">
        <v>59</v>
      </c>
      <c r="C28" s="4" t="s">
        <v>60</v>
      </c>
    </row>
    <row r="29" spans="1:3" x14ac:dyDescent="0.25">
      <c r="A29" s="1" t="s">
        <v>50</v>
      </c>
      <c r="B29" s="1" t="s">
        <v>61</v>
      </c>
      <c r="C29" s="4" t="s">
        <v>62</v>
      </c>
    </row>
    <row r="30" spans="1:3" x14ac:dyDescent="0.25">
      <c r="A30" s="1" t="s">
        <v>50</v>
      </c>
      <c r="B30" s="1" t="s">
        <v>63</v>
      </c>
      <c r="C30" s="4" t="s">
        <v>64</v>
      </c>
    </row>
    <row r="31" spans="1:3" x14ac:dyDescent="0.25">
      <c r="A31" s="1" t="s">
        <v>50</v>
      </c>
      <c r="B31" s="1" t="s">
        <v>65</v>
      </c>
      <c r="C31" s="4" t="s">
        <v>66</v>
      </c>
    </row>
    <row r="32" spans="1:3" x14ac:dyDescent="0.25">
      <c r="A32" s="1" t="s">
        <v>50</v>
      </c>
      <c r="B32" s="1" t="s">
        <v>67</v>
      </c>
      <c r="C32" s="4" t="s">
        <v>68</v>
      </c>
    </row>
    <row r="33" spans="1:3" x14ac:dyDescent="0.25">
      <c r="A33" s="1" t="s">
        <v>50</v>
      </c>
      <c r="B33" s="1" t="s">
        <v>69</v>
      </c>
      <c r="C33" s="4" t="s">
        <v>70</v>
      </c>
    </row>
    <row r="34" spans="1:3" x14ac:dyDescent="0.25">
      <c r="A34" s="1" t="s">
        <v>50</v>
      </c>
      <c r="B34" s="1" t="s">
        <v>71</v>
      </c>
      <c r="C34" s="4" t="s">
        <v>72</v>
      </c>
    </row>
    <row r="35" spans="1:3" x14ac:dyDescent="0.25">
      <c r="A35" s="1" t="s">
        <v>50</v>
      </c>
      <c r="B35" s="1" t="s">
        <v>73</v>
      </c>
      <c r="C35" s="4" t="s">
        <v>74</v>
      </c>
    </row>
    <row r="36" spans="1:3" x14ac:dyDescent="0.25">
      <c r="A36" s="1" t="s">
        <v>50</v>
      </c>
      <c r="B36" s="1" t="s">
        <v>75</v>
      </c>
      <c r="C36" s="4" t="s">
        <v>76</v>
      </c>
    </row>
    <row r="37" spans="1:3" x14ac:dyDescent="0.25">
      <c r="A37" s="1" t="s">
        <v>50</v>
      </c>
      <c r="B37" s="1" t="s">
        <v>77</v>
      </c>
      <c r="C37" s="4" t="s">
        <v>78</v>
      </c>
    </row>
    <row r="38" spans="1:3" x14ac:dyDescent="0.25">
      <c r="A38" s="1" t="s">
        <v>50</v>
      </c>
      <c r="B38" s="1" t="s">
        <v>79</v>
      </c>
      <c r="C38" s="4" t="s">
        <v>80</v>
      </c>
    </row>
    <row r="39" spans="1:3" x14ac:dyDescent="0.25">
      <c r="A39" s="1" t="s">
        <v>50</v>
      </c>
      <c r="B39" s="1" t="s">
        <v>81</v>
      </c>
      <c r="C39" s="4" t="s">
        <v>82</v>
      </c>
    </row>
    <row r="40" spans="1:3" x14ac:dyDescent="0.25">
      <c r="A40" s="1" t="s">
        <v>50</v>
      </c>
      <c r="B40" s="1" t="s">
        <v>83</v>
      </c>
      <c r="C40" s="4" t="s">
        <v>84</v>
      </c>
    </row>
    <row r="41" spans="1:3" x14ac:dyDescent="0.25">
      <c r="A41" s="1" t="s">
        <v>50</v>
      </c>
      <c r="B41" s="1" t="s">
        <v>85</v>
      </c>
      <c r="C41" s="4" t="s">
        <v>86</v>
      </c>
    </row>
    <row r="42" spans="1:3" x14ac:dyDescent="0.25">
      <c r="A42" s="1" t="s">
        <v>50</v>
      </c>
      <c r="B42" s="1" t="s">
        <v>87</v>
      </c>
      <c r="C42" s="4" t="s">
        <v>88</v>
      </c>
    </row>
    <row r="43" spans="1:3" x14ac:dyDescent="0.25">
      <c r="A43" s="1" t="s">
        <v>50</v>
      </c>
      <c r="B43" s="1" t="s">
        <v>89</v>
      </c>
      <c r="C43" s="4" t="s">
        <v>90</v>
      </c>
    </row>
    <row r="44" spans="1:3" x14ac:dyDescent="0.25">
      <c r="A44" s="1" t="s">
        <v>50</v>
      </c>
      <c r="B44" s="1" t="s">
        <v>91</v>
      </c>
      <c r="C44" s="4" t="s">
        <v>92</v>
      </c>
    </row>
    <row r="45" spans="1:3" x14ac:dyDescent="0.25">
      <c r="A45" s="1" t="s">
        <v>50</v>
      </c>
      <c r="B45" s="1" t="s">
        <v>93</v>
      </c>
      <c r="C45" s="4" t="s">
        <v>94</v>
      </c>
    </row>
    <row r="46" spans="1:3" x14ac:dyDescent="0.25">
      <c r="A46" s="1" t="s">
        <v>50</v>
      </c>
      <c r="B46" s="1" t="s">
        <v>95</v>
      </c>
      <c r="C46" s="4" t="s">
        <v>96</v>
      </c>
    </row>
    <row r="47" spans="1:3" ht="25.5" x14ac:dyDescent="0.25">
      <c r="A47" s="1" t="s">
        <v>50</v>
      </c>
      <c r="B47" s="1" t="s">
        <v>48</v>
      </c>
      <c r="C47" s="4" t="s">
        <v>97</v>
      </c>
    </row>
    <row r="48" spans="1:3" ht="25.5" x14ac:dyDescent="0.25">
      <c r="A48" s="1" t="s">
        <v>98</v>
      </c>
      <c r="B48" s="1" t="s">
        <v>99</v>
      </c>
      <c r="C48" s="4" t="s">
        <v>100</v>
      </c>
    </row>
    <row r="49" spans="1:3" ht="25.5" x14ac:dyDescent="0.25">
      <c r="A49" s="1" t="s">
        <v>98</v>
      </c>
      <c r="B49" s="1" t="s">
        <v>101</v>
      </c>
      <c r="C49" s="4" t="s">
        <v>102</v>
      </c>
    </row>
    <row r="50" spans="1:3" ht="25.5" x14ac:dyDescent="0.25">
      <c r="A50" s="1" t="s">
        <v>98</v>
      </c>
      <c r="B50" s="1" t="s">
        <v>103</v>
      </c>
      <c r="C50" s="4" t="s">
        <v>104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EC2A-57E5-4B81-B694-6A449F35859D}">
  <dimension ref="A1:M9"/>
  <sheetViews>
    <sheetView workbookViewId="0">
      <pane ySplit="1" topLeftCell="A2" activePane="bottomLeft" state="frozen"/>
      <selection pane="bottomLeft" activeCell="M6" sqref="M6"/>
    </sheetView>
  </sheetViews>
  <sheetFormatPr defaultRowHeight="15" x14ac:dyDescent="0.25"/>
  <cols>
    <col min="1" max="1" width="14.85546875" bestFit="1" customWidth="1"/>
    <col min="2" max="2" width="22" bestFit="1" customWidth="1"/>
    <col min="3" max="3" width="15.42578125" bestFit="1" customWidth="1"/>
    <col min="4" max="6" width="19.42578125" bestFit="1" customWidth="1"/>
    <col min="7" max="8" width="23.7109375" bestFit="1" customWidth="1"/>
    <col min="9" max="9" width="16.85546875" bestFit="1" customWidth="1"/>
    <col min="10" max="10" width="21.7109375" bestFit="1" customWidth="1"/>
    <col min="11" max="11" width="13.140625" bestFit="1" customWidth="1"/>
    <col min="12" max="12" width="17.140625" bestFit="1" customWidth="1"/>
    <col min="13" max="13" width="19.7109375" bestFit="1" customWidth="1"/>
  </cols>
  <sheetData>
    <row r="1" spans="1:13" x14ac:dyDescent="0.25">
      <c r="A1" s="3" t="s">
        <v>27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115</v>
      </c>
      <c r="M1" s="3" t="s">
        <v>116</v>
      </c>
    </row>
    <row r="2" spans="1:13" x14ac:dyDescent="0.25">
      <c r="A2" s="1" t="s">
        <v>117</v>
      </c>
      <c r="B2" s="1" t="s">
        <v>118</v>
      </c>
      <c r="C2" s="1" t="s">
        <v>119</v>
      </c>
      <c r="D2" s="6">
        <f>SUMIFS(ACR_By_Service_Yearly!$F:$F,ACR_By_Service_Yearly!$A:$A,$A2,ACR_By_Service_Yearly!$E:$E,"FY2024")</f>
        <v>4774515</v>
      </c>
      <c r="E2" s="6">
        <f>SUMIFS(ACR_By_Service_Yearly!$F:$F,ACR_By_Service_Yearly!$A:$A,$A2,ACR_By_Service_Yearly!$E:$E,"FY2025")</f>
        <v>5780775</v>
      </c>
      <c r="F2" s="6">
        <f>SUMIFS(ACR_By_Service_Yearly!$F:$F,ACR_By_Service_Yearly!$A:$A,$A2,ACR_By_Service_Yearly!$E:$E,"FY2026")</f>
        <v>6873020</v>
      </c>
      <c r="G2" s="7">
        <f t="shared" ref="G2:H9" si="0">E2/D2-1</f>
        <v>0.2107564852136814</v>
      </c>
      <c r="H2" s="7">
        <f t="shared" si="0"/>
        <v>0.18894438894438892</v>
      </c>
      <c r="I2" s="7">
        <f t="shared" ref="I2:I9" si="1">(F2/D2)^(1/2)-1</f>
        <v>0.1998008707584924</v>
      </c>
      <c r="J2" s="8">
        <f>SUMIF(Deployed_Inventory!$B:$B,$A2,Deployed_Inventory!$L:$L)</f>
        <v>12080</v>
      </c>
      <c r="K2" s="8">
        <f>SUMIFS(Deployed_Inventory!$K:$K,Deployed_Inventory!$B:$B,$A2,Deployed_Inventory!$H:$H,"Virtual Machine")</f>
        <v>169</v>
      </c>
      <c r="L2" s="1" t="s">
        <v>120</v>
      </c>
      <c r="M2" s="1" t="s">
        <v>121</v>
      </c>
    </row>
    <row r="3" spans="1:13" x14ac:dyDescent="0.25">
      <c r="A3" s="1" t="s">
        <v>122</v>
      </c>
      <c r="B3" s="1" t="s">
        <v>123</v>
      </c>
      <c r="C3" s="1" t="s">
        <v>124</v>
      </c>
      <c r="D3" s="6">
        <f>SUMIFS(ACR_By_Service_Yearly!$F:$F,ACR_By_Service_Yearly!$A:$A,$A3,ACR_By_Service_Yearly!$E:$E,"FY2024")</f>
        <v>2418185</v>
      </c>
      <c r="E3" s="6">
        <f>SUMIFS(ACR_By_Service_Yearly!$F:$F,ACR_By_Service_Yearly!$A:$A,$A3,ACR_By_Service_Yearly!$E:$E,"FY2025")</f>
        <v>3202573</v>
      </c>
      <c r="F3" s="6">
        <f>SUMIFS(ACR_By_Service_Yearly!$F:$F,ACR_By_Service_Yearly!$A:$A,$A3,ACR_By_Service_Yearly!$E:$E,"FY2026")</f>
        <v>4374771</v>
      </c>
      <c r="G3" s="7">
        <f t="shared" si="0"/>
        <v>0.324370550640253</v>
      </c>
      <c r="H3" s="7">
        <f t="shared" si="0"/>
        <v>0.36601757399441004</v>
      </c>
      <c r="I3" s="7">
        <f t="shared" si="1"/>
        <v>0.34503287939560767</v>
      </c>
      <c r="J3" s="8">
        <f>SUMIF(Deployed_Inventory!$B:$B,$A3,Deployed_Inventory!$L:$L)</f>
        <v>8416</v>
      </c>
      <c r="K3" s="8">
        <f>SUMIFS(Deployed_Inventory!$K:$K,Deployed_Inventory!$B:$B,$A3,Deployed_Inventory!$H:$H,"Virtual Machine")</f>
        <v>155</v>
      </c>
      <c r="L3" s="1" t="s">
        <v>125</v>
      </c>
      <c r="M3" s="1" t="s">
        <v>126</v>
      </c>
    </row>
    <row r="4" spans="1:13" x14ac:dyDescent="0.25">
      <c r="A4" s="1" t="s">
        <v>127</v>
      </c>
      <c r="B4" s="1" t="s">
        <v>128</v>
      </c>
      <c r="C4" s="1" t="s">
        <v>129</v>
      </c>
      <c r="D4" s="6">
        <f>SUMIFS(ACR_By_Service_Yearly!$F:$F,ACR_By_Service_Yearly!$A:$A,$A4,ACR_By_Service_Yearly!$E:$E,"FY2024")</f>
        <v>4439708</v>
      </c>
      <c r="E4" s="6">
        <f>SUMIFS(ACR_By_Service_Yearly!$F:$F,ACR_By_Service_Yearly!$A:$A,$A4,ACR_By_Service_Yearly!$E:$E,"FY2025")</f>
        <v>5338764</v>
      </c>
      <c r="F4" s="6">
        <f>SUMIFS(ACR_By_Service_Yearly!$F:$F,ACR_By_Service_Yearly!$A:$A,$A4,ACR_By_Service_Yearly!$E:$E,"FY2026")</f>
        <v>6858920</v>
      </c>
      <c r="G4" s="7">
        <f t="shared" si="0"/>
        <v>0.20250340788177956</v>
      </c>
      <c r="H4" s="7">
        <f t="shared" si="0"/>
        <v>0.28473931419332255</v>
      </c>
      <c r="I4" s="7">
        <f t="shared" si="1"/>
        <v>0.24294143207038155</v>
      </c>
      <c r="J4" s="8">
        <f>SUMIF(Deployed_Inventory!$B:$B,$A4,Deployed_Inventory!$L:$L)</f>
        <v>13552</v>
      </c>
      <c r="K4" s="8">
        <f>SUMIFS(Deployed_Inventory!$K:$K,Deployed_Inventory!$B:$B,$A4,Deployed_Inventory!$H:$H,"Virtual Machine")</f>
        <v>192</v>
      </c>
      <c r="L4" s="1" t="s">
        <v>130</v>
      </c>
      <c r="M4" s="1" t="s">
        <v>126</v>
      </c>
    </row>
    <row r="5" spans="1:13" x14ac:dyDescent="0.25">
      <c r="A5" s="1" t="s">
        <v>131</v>
      </c>
      <c r="B5" s="1" t="s">
        <v>132</v>
      </c>
      <c r="C5" s="1" t="s">
        <v>133</v>
      </c>
      <c r="D5" s="6">
        <f>SUMIFS(ACR_By_Service_Yearly!$F:$F,ACR_By_Service_Yearly!$A:$A,$A5,ACR_By_Service_Yearly!$E:$E,"FY2024")</f>
        <v>1480885</v>
      </c>
      <c r="E5" s="6">
        <f>SUMIFS(ACR_By_Service_Yearly!$F:$F,ACR_By_Service_Yearly!$A:$A,$A5,ACR_By_Service_Yearly!$E:$E,"FY2025")</f>
        <v>1772462</v>
      </c>
      <c r="F5" s="6">
        <f>SUMIFS(ACR_By_Service_Yearly!$F:$F,ACR_By_Service_Yearly!$A:$A,$A5,ACR_By_Service_Yearly!$E:$E,"FY2026")</f>
        <v>2201957</v>
      </c>
      <c r="G5" s="7">
        <f t="shared" si="0"/>
        <v>0.19689374934583026</v>
      </c>
      <c r="H5" s="7">
        <f t="shared" si="0"/>
        <v>0.24231549110784889</v>
      </c>
      <c r="I5" s="7">
        <f t="shared" si="1"/>
        <v>0.21939314661944853</v>
      </c>
      <c r="J5" s="8">
        <f>SUMIF(Deployed_Inventory!$B:$B,$A5,Deployed_Inventory!$L:$L)</f>
        <v>8208</v>
      </c>
      <c r="K5" s="8">
        <f>SUMIFS(Deployed_Inventory!$K:$K,Deployed_Inventory!$B:$B,$A5,Deployed_Inventory!$H:$H,"Virtual Machine")</f>
        <v>70</v>
      </c>
      <c r="L5" s="1" t="s">
        <v>134</v>
      </c>
      <c r="M5" s="1" t="s">
        <v>121</v>
      </c>
    </row>
    <row r="6" spans="1:13" x14ac:dyDescent="0.25">
      <c r="A6" s="1" t="s">
        <v>135</v>
      </c>
      <c r="B6" s="1" t="s">
        <v>136</v>
      </c>
      <c r="C6" s="1" t="s">
        <v>137</v>
      </c>
      <c r="D6" s="6">
        <f>SUMIFS(ACR_By_Service_Yearly!$F:$F,ACR_By_Service_Yearly!$A:$A,$A6,ACR_By_Service_Yearly!$E:$E,"FY2024")</f>
        <v>3711140</v>
      </c>
      <c r="E6" s="6">
        <f>SUMIFS(ACR_By_Service_Yearly!$F:$F,ACR_By_Service_Yearly!$A:$A,$A6,ACR_By_Service_Yearly!$E:$E,"FY2025")</f>
        <v>4754197</v>
      </c>
      <c r="F6" s="6">
        <f>SUMIFS(ACR_By_Service_Yearly!$F:$F,ACR_By_Service_Yearly!$A:$A,$A6,ACR_By_Service_Yearly!$E:$E,"FY2026")</f>
        <v>6126811</v>
      </c>
      <c r="G6" s="7">
        <f t="shared" si="0"/>
        <v>0.28106107557246562</v>
      </c>
      <c r="H6" s="7">
        <f t="shared" si="0"/>
        <v>0.28871626480770574</v>
      </c>
      <c r="I6" s="7">
        <f t="shared" si="1"/>
        <v>0.2848829691074164</v>
      </c>
      <c r="J6" s="8">
        <f>SUMIF(Deployed_Inventory!$B:$B,$A6,Deployed_Inventory!$L:$L)</f>
        <v>12320</v>
      </c>
      <c r="K6" s="8">
        <f>SUMIFS(Deployed_Inventory!$K:$K,Deployed_Inventory!$B:$B,$A6,Deployed_Inventory!$H:$H,"Virtual Machine")</f>
        <v>129</v>
      </c>
      <c r="L6" s="1" t="s">
        <v>138</v>
      </c>
      <c r="M6" s="1" t="s">
        <v>126</v>
      </c>
    </row>
    <row r="7" spans="1:13" x14ac:dyDescent="0.25">
      <c r="A7" s="1" t="s">
        <v>139</v>
      </c>
      <c r="B7" s="1" t="s">
        <v>140</v>
      </c>
      <c r="C7" s="1" t="s">
        <v>141</v>
      </c>
      <c r="D7" s="6">
        <f>SUMIFS(ACR_By_Service_Yearly!$F:$F,ACR_By_Service_Yearly!$A:$A,$A7,ACR_By_Service_Yearly!$E:$E,"FY2024")</f>
        <v>1086711</v>
      </c>
      <c r="E7" s="6">
        <f>SUMIFS(ACR_By_Service_Yearly!$F:$F,ACR_By_Service_Yearly!$A:$A,$A7,ACR_By_Service_Yearly!$E:$E,"FY2025")</f>
        <v>1265175</v>
      </c>
      <c r="F7" s="6">
        <f>SUMIFS(ACR_By_Service_Yearly!$F:$F,ACR_By_Service_Yearly!$A:$A,$A7,ACR_By_Service_Yearly!$E:$E,"FY2026")</f>
        <v>1568422</v>
      </c>
      <c r="G7" s="7">
        <f t="shared" si="0"/>
        <v>0.16422397491145291</v>
      </c>
      <c r="H7" s="7">
        <f t="shared" si="0"/>
        <v>0.23968779022664854</v>
      </c>
      <c r="I7" s="7">
        <f t="shared" si="1"/>
        <v>0.20136349486192739</v>
      </c>
      <c r="J7" s="8">
        <f>SUMIF(Deployed_Inventory!$B:$B,$A7,Deployed_Inventory!$L:$L)</f>
        <v>5840</v>
      </c>
      <c r="K7" s="8">
        <f>SUMIFS(Deployed_Inventory!$K:$K,Deployed_Inventory!$B:$B,$A7,Deployed_Inventory!$H:$H,"Virtual Machine")</f>
        <v>118</v>
      </c>
      <c r="L7" s="1" t="s">
        <v>142</v>
      </c>
      <c r="M7" s="1" t="s">
        <v>143</v>
      </c>
    </row>
    <row r="8" spans="1:13" x14ac:dyDescent="0.25">
      <c r="A8" s="1" t="s">
        <v>144</v>
      </c>
      <c r="B8" s="1" t="s">
        <v>145</v>
      </c>
      <c r="C8" s="1" t="s">
        <v>146</v>
      </c>
      <c r="D8" s="6">
        <f>SUMIFS(ACR_By_Service_Yearly!$F:$F,ACR_By_Service_Yearly!$A:$A,$A8,ACR_By_Service_Yearly!$E:$E,"FY2024")</f>
        <v>2535497</v>
      </c>
      <c r="E8" s="6">
        <f>SUMIFS(ACR_By_Service_Yearly!$F:$F,ACR_By_Service_Yearly!$A:$A,$A8,ACR_By_Service_Yearly!$E:$E,"FY2025")</f>
        <v>3236522</v>
      </c>
      <c r="F8" s="6">
        <f>SUMIFS(ACR_By_Service_Yearly!$F:$F,ACR_By_Service_Yearly!$A:$A,$A8,ACR_By_Service_Yearly!$E:$E,"FY2026")</f>
        <v>4064174</v>
      </c>
      <c r="G8" s="7">
        <f t="shared" si="0"/>
        <v>0.2764842553550646</v>
      </c>
      <c r="H8" s="7">
        <f t="shared" si="0"/>
        <v>0.25572265536894223</v>
      </c>
      <c r="I8" s="7">
        <f t="shared" si="1"/>
        <v>0.26606089848439307</v>
      </c>
      <c r="J8" s="8">
        <f>SUMIF(Deployed_Inventory!$B:$B,$A8,Deployed_Inventory!$L:$L)</f>
        <v>5752</v>
      </c>
      <c r="K8" s="8">
        <f>SUMIFS(Deployed_Inventory!$K:$K,Deployed_Inventory!$B:$B,$A8,Deployed_Inventory!$H:$H,"Virtual Machine")</f>
        <v>84</v>
      </c>
      <c r="L8" s="1" t="s">
        <v>147</v>
      </c>
      <c r="M8" s="1" t="s">
        <v>126</v>
      </c>
    </row>
    <row r="9" spans="1:13" x14ac:dyDescent="0.25">
      <c r="A9" s="1" t="s">
        <v>148</v>
      </c>
      <c r="B9" s="1" t="s">
        <v>149</v>
      </c>
      <c r="C9" s="1" t="s">
        <v>150</v>
      </c>
      <c r="D9" s="6">
        <f>SUMIFS(ACR_By_Service_Yearly!$F:$F,ACR_By_Service_Yearly!$A:$A,$A9,ACR_By_Service_Yearly!$E:$E,"FY2024")</f>
        <v>1559132</v>
      </c>
      <c r="E9" s="6">
        <f>SUMIFS(ACR_By_Service_Yearly!$F:$F,ACR_By_Service_Yearly!$A:$A,$A9,ACR_By_Service_Yearly!$E:$E,"FY2025")</f>
        <v>1493833</v>
      </c>
      <c r="F9" s="6">
        <f>SUMIFS(ACR_By_Service_Yearly!$F:$F,ACR_By_Service_Yearly!$A:$A,$A9,ACR_By_Service_Yearly!$E:$E,"FY2026")</f>
        <v>1476720</v>
      </c>
      <c r="G9" s="7">
        <f t="shared" si="0"/>
        <v>-4.1881636705551561E-2</v>
      </c>
      <c r="H9" s="7">
        <f t="shared" si="0"/>
        <v>-1.1455765135727991E-2</v>
      </c>
      <c r="I9" s="7">
        <f t="shared" si="1"/>
        <v>-2.6787595459080049E-2</v>
      </c>
      <c r="J9" s="8">
        <f>SUMIF(Deployed_Inventory!$B:$B,$A9,Deployed_Inventory!$L:$L)</f>
        <v>8624</v>
      </c>
      <c r="K9" s="8">
        <f>SUMIFS(Deployed_Inventory!$K:$K,Deployed_Inventory!$B:$B,$A9,Deployed_Inventory!$H:$H,"Virtual Machine")</f>
        <v>122</v>
      </c>
      <c r="L9" s="1" t="s">
        <v>151</v>
      </c>
      <c r="M9" s="1" t="s">
        <v>152</v>
      </c>
    </row>
  </sheetData>
  <conditionalFormatting sqref="G2:I9">
    <cfRule type="cellIs" dxfId="7" priority="1" operator="greaterThan">
      <formula>0</formula>
    </cfRule>
    <cfRule type="cellIs" dxfId="6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BD9B1-956E-4D21-A0FC-5DD3A3CE3738}">
  <dimension ref="A1:T299"/>
  <sheetViews>
    <sheetView tabSelected="1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4.85546875" bestFit="1" customWidth="1"/>
    <col min="3" max="3" width="22" bestFit="1" customWidth="1"/>
    <col min="4" max="4" width="20.42578125" bestFit="1" customWidth="1"/>
    <col min="5" max="5" width="32" bestFit="1" customWidth="1"/>
    <col min="6" max="6" width="20.140625" customWidth="1"/>
    <col min="7" max="7" width="18.42578125" bestFit="1" customWidth="1"/>
    <col min="8" max="8" width="19" bestFit="1" customWidth="1"/>
    <col min="9" max="9" width="24.140625" bestFit="1" customWidth="1"/>
    <col min="10" max="10" width="15.85546875" bestFit="1" customWidth="1"/>
    <col min="11" max="11" width="17" bestFit="1" customWidth="1"/>
    <col min="12" max="12" width="17.5703125" bestFit="1" customWidth="1"/>
    <col min="13" max="13" width="14.42578125" bestFit="1" customWidth="1"/>
    <col min="14" max="14" width="15.7109375" bestFit="1" customWidth="1"/>
    <col min="15" max="15" width="8.42578125" bestFit="1" customWidth="1"/>
    <col min="16" max="16" width="22.5703125" bestFit="1" customWidth="1"/>
    <col min="17" max="17" width="19.140625" bestFit="1" customWidth="1"/>
    <col min="18" max="18" width="20.140625" bestFit="1" customWidth="1"/>
    <col min="19" max="19" width="27" bestFit="1" customWidth="1"/>
    <col min="20" max="20" width="64.85546875" bestFit="1" customWidth="1"/>
  </cols>
  <sheetData>
    <row r="1" spans="1:20" x14ac:dyDescent="0.25">
      <c r="A1" s="3" t="s">
        <v>153</v>
      </c>
      <c r="B1" s="3" t="s">
        <v>27</v>
      </c>
      <c r="C1" s="3" t="s">
        <v>105</v>
      </c>
      <c r="D1" s="3" t="s">
        <v>154</v>
      </c>
      <c r="E1" s="3" t="s">
        <v>155</v>
      </c>
      <c r="F1" s="3" t="s">
        <v>156</v>
      </c>
      <c r="G1" s="3" t="s">
        <v>157</v>
      </c>
      <c r="H1" s="3" t="s">
        <v>158</v>
      </c>
      <c r="I1" s="3" t="s">
        <v>159</v>
      </c>
      <c r="J1" s="3" t="s">
        <v>160</v>
      </c>
      <c r="K1" s="3" t="s">
        <v>161</v>
      </c>
      <c r="L1" s="3" t="s">
        <v>162</v>
      </c>
      <c r="M1" s="3" t="s">
        <v>163</v>
      </c>
      <c r="N1" s="3" t="s">
        <v>164</v>
      </c>
      <c r="O1" s="3" t="s">
        <v>165</v>
      </c>
      <c r="P1" s="3" t="s">
        <v>166</v>
      </c>
      <c r="Q1" s="3" t="s">
        <v>167</v>
      </c>
      <c r="R1" s="3" t="s">
        <v>168</v>
      </c>
      <c r="S1" s="3" t="s">
        <v>169</v>
      </c>
      <c r="T1" s="3" t="s">
        <v>170</v>
      </c>
    </row>
    <row r="2" spans="1:20" x14ac:dyDescent="0.25">
      <c r="A2" s="1" t="s">
        <v>171</v>
      </c>
      <c r="B2" s="1" t="s">
        <v>117</v>
      </c>
      <c r="C2" s="1" t="s">
        <v>118</v>
      </c>
      <c r="D2" s="1" t="s">
        <v>172</v>
      </c>
      <c r="E2" s="1" t="s">
        <v>173</v>
      </c>
      <c r="F2" s="1" t="s">
        <v>138</v>
      </c>
      <c r="G2" s="1" t="s">
        <v>174</v>
      </c>
      <c r="H2" s="1" t="s">
        <v>175</v>
      </c>
      <c r="I2" s="1" t="s">
        <v>176</v>
      </c>
      <c r="J2" s="8">
        <v>0</v>
      </c>
      <c r="K2" s="8">
        <v>1</v>
      </c>
      <c r="L2" s="8">
        <f t="shared" ref="L2:L65" si="0">J2*K2</f>
        <v>0</v>
      </c>
      <c r="M2" s="8">
        <v>0</v>
      </c>
      <c r="N2" s="1" t="s">
        <v>177</v>
      </c>
      <c r="O2" s="1" t="s">
        <v>176</v>
      </c>
      <c r="P2" s="9">
        <v>19.3</v>
      </c>
      <c r="Q2" s="10">
        <v>45786</v>
      </c>
      <c r="R2" s="6">
        <v>1141</v>
      </c>
      <c r="S2" s="1" t="s">
        <v>178</v>
      </c>
      <c r="T2" s="1" t="s">
        <v>179</v>
      </c>
    </row>
    <row r="3" spans="1:20" x14ac:dyDescent="0.25">
      <c r="A3" s="1" t="s">
        <v>180</v>
      </c>
      <c r="B3" s="1" t="s">
        <v>117</v>
      </c>
      <c r="C3" s="1" t="s">
        <v>118</v>
      </c>
      <c r="D3" s="1" t="s">
        <v>181</v>
      </c>
      <c r="E3" s="1" t="s">
        <v>182</v>
      </c>
      <c r="F3" s="1" t="s">
        <v>120</v>
      </c>
      <c r="G3" s="1" t="s">
        <v>174</v>
      </c>
      <c r="H3" s="1" t="s">
        <v>183</v>
      </c>
      <c r="I3" s="1" t="s">
        <v>184</v>
      </c>
      <c r="J3" s="8">
        <v>8</v>
      </c>
      <c r="K3" s="8">
        <v>4</v>
      </c>
      <c r="L3" s="8">
        <f t="shared" si="0"/>
        <v>32</v>
      </c>
      <c r="M3" s="8">
        <v>128</v>
      </c>
      <c r="N3" s="1" t="s">
        <v>185</v>
      </c>
      <c r="O3" s="1" t="s">
        <v>186</v>
      </c>
      <c r="P3" s="9">
        <v>68.5</v>
      </c>
      <c r="Q3" s="10">
        <v>45201</v>
      </c>
      <c r="R3" s="6">
        <v>1763</v>
      </c>
      <c r="S3" s="1" t="s">
        <v>187</v>
      </c>
      <c r="T3" s="1" t="s">
        <v>188</v>
      </c>
    </row>
    <row r="4" spans="1:20" x14ac:dyDescent="0.25">
      <c r="A4" s="1" t="s">
        <v>189</v>
      </c>
      <c r="B4" s="1" t="s">
        <v>117</v>
      </c>
      <c r="C4" s="1" t="s">
        <v>118</v>
      </c>
      <c r="D4" s="1" t="s">
        <v>181</v>
      </c>
      <c r="E4" s="1" t="s">
        <v>190</v>
      </c>
      <c r="F4" s="1" t="s">
        <v>120</v>
      </c>
      <c r="G4" s="1" t="s">
        <v>191</v>
      </c>
      <c r="H4" s="1" t="s">
        <v>183</v>
      </c>
      <c r="I4" s="1" t="s">
        <v>192</v>
      </c>
      <c r="J4" s="8">
        <v>16</v>
      </c>
      <c r="K4" s="8">
        <v>8</v>
      </c>
      <c r="L4" s="8">
        <f t="shared" si="0"/>
        <v>128</v>
      </c>
      <c r="M4" s="8">
        <v>1024</v>
      </c>
      <c r="N4" s="1" t="s">
        <v>185</v>
      </c>
      <c r="O4" s="1" t="s">
        <v>193</v>
      </c>
      <c r="P4" s="9">
        <v>18.7</v>
      </c>
      <c r="Q4" s="10">
        <v>44878</v>
      </c>
      <c r="R4" s="6">
        <v>7066</v>
      </c>
      <c r="S4" s="1" t="s">
        <v>194</v>
      </c>
      <c r="T4" s="1" t="s">
        <v>195</v>
      </c>
    </row>
    <row r="5" spans="1:20" x14ac:dyDescent="0.25">
      <c r="A5" s="1" t="s">
        <v>196</v>
      </c>
      <c r="B5" s="1" t="s">
        <v>117</v>
      </c>
      <c r="C5" s="1" t="s">
        <v>118</v>
      </c>
      <c r="D5" s="1" t="s">
        <v>181</v>
      </c>
      <c r="E5" s="1" t="s">
        <v>197</v>
      </c>
      <c r="F5" s="1" t="s">
        <v>138</v>
      </c>
      <c r="G5" s="1" t="s">
        <v>174</v>
      </c>
      <c r="H5" s="1" t="s">
        <v>198</v>
      </c>
      <c r="I5" s="1" t="s">
        <v>176</v>
      </c>
      <c r="J5" s="8">
        <v>0</v>
      </c>
      <c r="K5" s="8">
        <v>1</v>
      </c>
      <c r="L5" s="8">
        <f t="shared" si="0"/>
        <v>0</v>
      </c>
      <c r="M5" s="8">
        <v>0</v>
      </c>
      <c r="N5" s="1" t="s">
        <v>185</v>
      </c>
      <c r="O5" s="1" t="s">
        <v>176</v>
      </c>
      <c r="P5" s="9">
        <v>32</v>
      </c>
      <c r="Q5" s="10">
        <v>44818</v>
      </c>
      <c r="R5" s="6">
        <v>2729</v>
      </c>
      <c r="S5" s="1" t="s">
        <v>178</v>
      </c>
      <c r="T5" s="1" t="s">
        <v>199</v>
      </c>
    </row>
    <row r="6" spans="1:20" x14ac:dyDescent="0.25">
      <c r="A6" s="1" t="s">
        <v>200</v>
      </c>
      <c r="B6" s="1" t="s">
        <v>117</v>
      </c>
      <c r="C6" s="1" t="s">
        <v>118</v>
      </c>
      <c r="D6" s="1" t="s">
        <v>172</v>
      </c>
      <c r="E6" s="1" t="s">
        <v>201</v>
      </c>
      <c r="F6" s="1" t="s">
        <v>138</v>
      </c>
      <c r="G6" s="1" t="s">
        <v>191</v>
      </c>
      <c r="H6" s="1" t="s">
        <v>202</v>
      </c>
      <c r="I6" s="1" t="s">
        <v>203</v>
      </c>
      <c r="J6" s="8">
        <v>16</v>
      </c>
      <c r="K6" s="8">
        <v>2</v>
      </c>
      <c r="L6" s="8">
        <f t="shared" si="0"/>
        <v>32</v>
      </c>
      <c r="M6" s="8">
        <v>128</v>
      </c>
      <c r="N6" s="1" t="s">
        <v>185</v>
      </c>
      <c r="O6" s="1" t="s">
        <v>193</v>
      </c>
      <c r="P6" s="9">
        <v>32.799999999999997</v>
      </c>
      <c r="Q6" s="10">
        <v>44606</v>
      </c>
      <c r="R6" s="6">
        <v>2230</v>
      </c>
      <c r="S6" s="1" t="s">
        <v>194</v>
      </c>
      <c r="T6" s="1" t="s">
        <v>204</v>
      </c>
    </row>
    <row r="7" spans="1:20" x14ac:dyDescent="0.25">
      <c r="A7" s="1" t="s">
        <v>205</v>
      </c>
      <c r="B7" s="1" t="s">
        <v>117</v>
      </c>
      <c r="C7" s="1" t="s">
        <v>118</v>
      </c>
      <c r="D7" s="1" t="s">
        <v>172</v>
      </c>
      <c r="E7" s="1" t="s">
        <v>206</v>
      </c>
      <c r="F7" s="1" t="s">
        <v>125</v>
      </c>
      <c r="G7" s="1" t="s">
        <v>207</v>
      </c>
      <c r="H7" s="1" t="s">
        <v>183</v>
      </c>
      <c r="I7" s="1" t="s">
        <v>208</v>
      </c>
      <c r="J7" s="8">
        <v>128</v>
      </c>
      <c r="K7" s="8">
        <v>6</v>
      </c>
      <c r="L7" s="8">
        <f t="shared" si="0"/>
        <v>768</v>
      </c>
      <c r="M7" s="8">
        <v>23352</v>
      </c>
      <c r="N7" s="1" t="s">
        <v>177</v>
      </c>
      <c r="O7" s="1" t="s">
        <v>193</v>
      </c>
      <c r="P7" s="9">
        <v>21.7</v>
      </c>
      <c r="Q7" s="10">
        <v>45417</v>
      </c>
      <c r="R7" s="6">
        <v>27987</v>
      </c>
      <c r="S7" s="1" t="s">
        <v>194</v>
      </c>
      <c r="T7" s="1" t="s">
        <v>209</v>
      </c>
    </row>
    <row r="8" spans="1:20" x14ac:dyDescent="0.25">
      <c r="A8" s="1" t="s">
        <v>210</v>
      </c>
      <c r="B8" s="1" t="s">
        <v>117</v>
      </c>
      <c r="C8" s="1" t="s">
        <v>118</v>
      </c>
      <c r="D8" s="1" t="s">
        <v>181</v>
      </c>
      <c r="E8" s="1" t="s">
        <v>211</v>
      </c>
      <c r="F8" s="1" t="s">
        <v>138</v>
      </c>
      <c r="G8" s="1" t="s">
        <v>191</v>
      </c>
      <c r="H8" s="1" t="s">
        <v>175</v>
      </c>
      <c r="I8" s="1" t="s">
        <v>176</v>
      </c>
      <c r="J8" s="8">
        <v>0</v>
      </c>
      <c r="K8" s="8">
        <v>1</v>
      </c>
      <c r="L8" s="8">
        <f t="shared" si="0"/>
        <v>0</v>
      </c>
      <c r="M8" s="8">
        <v>0</v>
      </c>
      <c r="N8" s="1" t="s">
        <v>185</v>
      </c>
      <c r="O8" s="1" t="s">
        <v>176</v>
      </c>
      <c r="P8" s="9">
        <v>19.3</v>
      </c>
      <c r="Q8" s="10">
        <v>45071</v>
      </c>
      <c r="R8" s="6">
        <v>4872</v>
      </c>
      <c r="S8" s="1" t="s">
        <v>178</v>
      </c>
      <c r="T8" s="1" t="s">
        <v>212</v>
      </c>
    </row>
    <row r="9" spans="1:20" x14ac:dyDescent="0.25">
      <c r="A9" s="1" t="s">
        <v>213</v>
      </c>
      <c r="B9" s="1" t="s">
        <v>117</v>
      </c>
      <c r="C9" s="1" t="s">
        <v>118</v>
      </c>
      <c r="D9" s="1" t="s">
        <v>214</v>
      </c>
      <c r="E9" s="1" t="s">
        <v>215</v>
      </c>
      <c r="F9" s="1" t="s">
        <v>120</v>
      </c>
      <c r="G9" s="1" t="s">
        <v>174</v>
      </c>
      <c r="H9" s="1" t="s">
        <v>183</v>
      </c>
      <c r="I9" s="1" t="s">
        <v>216</v>
      </c>
      <c r="J9" s="8">
        <v>16</v>
      </c>
      <c r="K9" s="8">
        <v>24</v>
      </c>
      <c r="L9" s="8">
        <f t="shared" si="0"/>
        <v>384</v>
      </c>
      <c r="M9" s="8">
        <v>3072</v>
      </c>
      <c r="N9" s="1" t="s">
        <v>217</v>
      </c>
      <c r="O9" s="1" t="s">
        <v>193</v>
      </c>
      <c r="P9" s="9">
        <v>62.3</v>
      </c>
      <c r="Q9" s="10">
        <v>44226</v>
      </c>
      <c r="R9" s="6">
        <v>13161</v>
      </c>
      <c r="S9" s="1" t="s">
        <v>178</v>
      </c>
      <c r="T9" s="1" t="s">
        <v>218</v>
      </c>
    </row>
    <row r="10" spans="1:20" x14ac:dyDescent="0.25">
      <c r="A10" s="1" t="s">
        <v>219</v>
      </c>
      <c r="B10" s="1" t="s">
        <v>117</v>
      </c>
      <c r="C10" s="1" t="s">
        <v>118</v>
      </c>
      <c r="D10" s="1" t="s">
        <v>214</v>
      </c>
      <c r="E10" s="1" t="s">
        <v>220</v>
      </c>
      <c r="F10" s="1" t="s">
        <v>120</v>
      </c>
      <c r="G10" s="1" t="s">
        <v>207</v>
      </c>
      <c r="H10" s="1" t="s">
        <v>221</v>
      </c>
      <c r="I10" s="1" t="s">
        <v>192</v>
      </c>
      <c r="J10" s="8">
        <v>16</v>
      </c>
      <c r="K10" s="8">
        <v>24</v>
      </c>
      <c r="L10" s="8">
        <f t="shared" si="0"/>
        <v>384</v>
      </c>
      <c r="M10" s="8">
        <v>3072</v>
      </c>
      <c r="N10" s="1" t="s">
        <v>217</v>
      </c>
      <c r="O10" s="1" t="s">
        <v>193</v>
      </c>
      <c r="P10" s="9">
        <v>40.5</v>
      </c>
      <c r="Q10" s="10">
        <v>44877</v>
      </c>
      <c r="R10" s="6">
        <v>12740</v>
      </c>
      <c r="S10" s="1" t="s">
        <v>194</v>
      </c>
      <c r="T10" s="1" t="s">
        <v>222</v>
      </c>
    </row>
    <row r="11" spans="1:20" x14ac:dyDescent="0.25">
      <c r="A11" s="1" t="s">
        <v>223</v>
      </c>
      <c r="B11" s="1" t="s">
        <v>117</v>
      </c>
      <c r="C11" s="1" t="s">
        <v>118</v>
      </c>
      <c r="D11" s="1" t="s">
        <v>214</v>
      </c>
      <c r="E11" s="1" t="s">
        <v>215</v>
      </c>
      <c r="F11" s="1" t="s">
        <v>120</v>
      </c>
      <c r="G11" s="1" t="s">
        <v>207</v>
      </c>
      <c r="H11" s="1" t="s">
        <v>183</v>
      </c>
      <c r="I11" s="1" t="s">
        <v>208</v>
      </c>
      <c r="J11" s="8">
        <v>128</v>
      </c>
      <c r="K11" s="8">
        <v>8</v>
      </c>
      <c r="L11" s="8">
        <f t="shared" si="0"/>
        <v>1024</v>
      </c>
      <c r="M11" s="8">
        <v>31136</v>
      </c>
      <c r="N11" s="1" t="s">
        <v>185</v>
      </c>
      <c r="O11" s="1" t="s">
        <v>186</v>
      </c>
      <c r="P11" s="9">
        <v>84.8</v>
      </c>
      <c r="Q11" s="10">
        <v>45408</v>
      </c>
      <c r="R11" s="6">
        <v>66788</v>
      </c>
      <c r="S11" s="1" t="s">
        <v>194</v>
      </c>
      <c r="T11" s="1" t="s">
        <v>224</v>
      </c>
    </row>
    <row r="12" spans="1:20" x14ac:dyDescent="0.25">
      <c r="A12" s="1" t="s">
        <v>225</v>
      </c>
      <c r="B12" s="1" t="s">
        <v>117</v>
      </c>
      <c r="C12" s="1" t="s">
        <v>118</v>
      </c>
      <c r="D12" s="1" t="s">
        <v>214</v>
      </c>
      <c r="E12" s="1" t="s">
        <v>182</v>
      </c>
      <c r="F12" s="1" t="s">
        <v>120</v>
      </c>
      <c r="G12" s="1" t="s">
        <v>174</v>
      </c>
      <c r="H12" s="1" t="s">
        <v>183</v>
      </c>
      <c r="I12" s="1" t="s">
        <v>226</v>
      </c>
      <c r="J12" s="8">
        <v>16</v>
      </c>
      <c r="K12" s="8">
        <v>3</v>
      </c>
      <c r="L12" s="8">
        <f t="shared" si="0"/>
        <v>48</v>
      </c>
      <c r="M12" s="8">
        <v>192</v>
      </c>
      <c r="N12" s="1" t="s">
        <v>177</v>
      </c>
      <c r="O12" s="1" t="s">
        <v>186</v>
      </c>
      <c r="P12" s="9">
        <v>14</v>
      </c>
      <c r="Q12" s="10">
        <v>44665</v>
      </c>
      <c r="R12" s="6">
        <v>2167</v>
      </c>
      <c r="S12" s="1" t="s">
        <v>178</v>
      </c>
      <c r="T12" s="1" t="s">
        <v>227</v>
      </c>
    </row>
    <row r="13" spans="1:20" x14ac:dyDescent="0.25">
      <c r="A13" s="1" t="s">
        <v>228</v>
      </c>
      <c r="B13" s="1" t="s">
        <v>117</v>
      </c>
      <c r="C13" s="1" t="s">
        <v>118</v>
      </c>
      <c r="D13" s="1" t="s">
        <v>214</v>
      </c>
      <c r="E13" s="1" t="s">
        <v>229</v>
      </c>
      <c r="F13" s="1" t="s">
        <v>120</v>
      </c>
      <c r="G13" s="1" t="s">
        <v>191</v>
      </c>
      <c r="H13" s="1" t="s">
        <v>230</v>
      </c>
      <c r="I13" s="1" t="s">
        <v>231</v>
      </c>
      <c r="J13" s="8">
        <v>32</v>
      </c>
      <c r="K13" s="8">
        <v>12</v>
      </c>
      <c r="L13" s="8">
        <f t="shared" si="0"/>
        <v>384</v>
      </c>
      <c r="M13" s="8">
        <v>768</v>
      </c>
      <c r="N13" s="1" t="s">
        <v>217</v>
      </c>
      <c r="O13" s="1" t="s">
        <v>186</v>
      </c>
      <c r="P13" s="9">
        <v>87.4</v>
      </c>
      <c r="Q13" s="10">
        <v>45753</v>
      </c>
      <c r="R13" s="6">
        <v>14597</v>
      </c>
      <c r="S13" s="1" t="s">
        <v>187</v>
      </c>
      <c r="T13" s="1" t="s">
        <v>232</v>
      </c>
    </row>
    <row r="14" spans="1:20" x14ac:dyDescent="0.25">
      <c r="A14" s="1" t="s">
        <v>233</v>
      </c>
      <c r="B14" s="1" t="s">
        <v>117</v>
      </c>
      <c r="C14" s="1" t="s">
        <v>118</v>
      </c>
      <c r="D14" s="1" t="s">
        <v>172</v>
      </c>
      <c r="E14" s="1" t="s">
        <v>234</v>
      </c>
      <c r="F14" s="1" t="s">
        <v>120</v>
      </c>
      <c r="G14" s="1" t="s">
        <v>191</v>
      </c>
      <c r="H14" s="1" t="s">
        <v>235</v>
      </c>
      <c r="I14" s="1" t="s">
        <v>176</v>
      </c>
      <c r="J14" s="8">
        <v>0</v>
      </c>
      <c r="K14" s="8">
        <v>1</v>
      </c>
      <c r="L14" s="8">
        <f t="shared" si="0"/>
        <v>0</v>
      </c>
      <c r="M14" s="8">
        <v>0</v>
      </c>
      <c r="N14" s="1" t="s">
        <v>185</v>
      </c>
      <c r="O14" s="1" t="s">
        <v>176</v>
      </c>
      <c r="P14" s="9">
        <v>47.4</v>
      </c>
      <c r="Q14" s="10">
        <v>45403</v>
      </c>
      <c r="R14" s="6">
        <v>4514</v>
      </c>
      <c r="S14" s="1" t="s">
        <v>187</v>
      </c>
      <c r="T14" s="1" t="s">
        <v>236</v>
      </c>
    </row>
    <row r="15" spans="1:20" x14ac:dyDescent="0.25">
      <c r="A15" s="1" t="s">
        <v>237</v>
      </c>
      <c r="B15" s="1" t="s">
        <v>117</v>
      </c>
      <c r="C15" s="1" t="s">
        <v>118</v>
      </c>
      <c r="D15" s="1" t="s">
        <v>172</v>
      </c>
      <c r="E15" s="1" t="s">
        <v>238</v>
      </c>
      <c r="F15" s="1" t="s">
        <v>125</v>
      </c>
      <c r="G15" s="1" t="s">
        <v>207</v>
      </c>
      <c r="H15" s="1" t="s">
        <v>175</v>
      </c>
      <c r="I15" s="1" t="s">
        <v>176</v>
      </c>
      <c r="J15" s="8">
        <v>0</v>
      </c>
      <c r="K15" s="8">
        <v>1</v>
      </c>
      <c r="L15" s="8">
        <f t="shared" si="0"/>
        <v>0</v>
      </c>
      <c r="M15" s="8">
        <v>0</v>
      </c>
      <c r="N15" s="1" t="s">
        <v>177</v>
      </c>
      <c r="O15" s="1" t="s">
        <v>176</v>
      </c>
      <c r="P15" s="9">
        <v>8.6</v>
      </c>
      <c r="Q15" s="10">
        <v>45799</v>
      </c>
      <c r="R15" s="6">
        <v>1425</v>
      </c>
      <c r="S15" s="1" t="s">
        <v>178</v>
      </c>
      <c r="T15" s="1" t="s">
        <v>239</v>
      </c>
    </row>
    <row r="16" spans="1:20" x14ac:dyDescent="0.25">
      <c r="A16" s="1" t="s">
        <v>240</v>
      </c>
      <c r="B16" s="1" t="s">
        <v>117</v>
      </c>
      <c r="C16" s="1" t="s">
        <v>118</v>
      </c>
      <c r="D16" s="1" t="s">
        <v>172</v>
      </c>
      <c r="E16" s="1" t="s">
        <v>241</v>
      </c>
      <c r="F16" s="1" t="s">
        <v>120</v>
      </c>
      <c r="G16" s="1" t="s">
        <v>207</v>
      </c>
      <c r="H16" s="1" t="s">
        <v>242</v>
      </c>
      <c r="I16" s="1" t="s">
        <v>226</v>
      </c>
      <c r="J16" s="8">
        <v>16</v>
      </c>
      <c r="K16" s="8">
        <v>24</v>
      </c>
      <c r="L16" s="8">
        <f t="shared" si="0"/>
        <v>384</v>
      </c>
      <c r="M16" s="8">
        <v>1536</v>
      </c>
      <c r="N16" s="1" t="s">
        <v>185</v>
      </c>
      <c r="O16" s="1" t="s">
        <v>193</v>
      </c>
      <c r="P16" s="9">
        <v>76.2</v>
      </c>
      <c r="Q16" s="10">
        <v>44425</v>
      </c>
      <c r="R16" s="6">
        <v>25498</v>
      </c>
      <c r="S16" s="1" t="s">
        <v>178</v>
      </c>
      <c r="T16" s="1" t="s">
        <v>243</v>
      </c>
    </row>
    <row r="17" spans="1:20" x14ac:dyDescent="0.25">
      <c r="A17" s="1" t="s">
        <v>244</v>
      </c>
      <c r="B17" s="1" t="s">
        <v>117</v>
      </c>
      <c r="C17" s="1" t="s">
        <v>118</v>
      </c>
      <c r="D17" s="1" t="s">
        <v>172</v>
      </c>
      <c r="E17" s="1" t="s">
        <v>245</v>
      </c>
      <c r="F17" s="1" t="s">
        <v>120</v>
      </c>
      <c r="G17" s="1" t="s">
        <v>207</v>
      </c>
      <c r="H17" s="1" t="s">
        <v>242</v>
      </c>
      <c r="I17" s="1" t="s">
        <v>208</v>
      </c>
      <c r="J17" s="8">
        <v>128</v>
      </c>
      <c r="K17" s="8">
        <v>4</v>
      </c>
      <c r="L17" s="8">
        <f t="shared" si="0"/>
        <v>512</v>
      </c>
      <c r="M17" s="8">
        <v>15568</v>
      </c>
      <c r="N17" s="1" t="s">
        <v>217</v>
      </c>
      <c r="O17" s="1" t="s">
        <v>193</v>
      </c>
      <c r="P17" s="9">
        <v>36.1</v>
      </c>
      <c r="Q17" s="10">
        <v>44961</v>
      </c>
      <c r="R17" s="6">
        <v>18860</v>
      </c>
      <c r="S17" s="1" t="s">
        <v>194</v>
      </c>
      <c r="T17" s="1" t="s">
        <v>246</v>
      </c>
    </row>
    <row r="18" spans="1:20" x14ac:dyDescent="0.25">
      <c r="A18" s="1" t="s">
        <v>247</v>
      </c>
      <c r="B18" s="1" t="s">
        <v>117</v>
      </c>
      <c r="C18" s="1" t="s">
        <v>118</v>
      </c>
      <c r="D18" s="1" t="s">
        <v>172</v>
      </c>
      <c r="E18" s="1" t="s">
        <v>248</v>
      </c>
      <c r="F18" s="1" t="s">
        <v>120</v>
      </c>
      <c r="G18" s="1" t="s">
        <v>191</v>
      </c>
      <c r="H18" s="1" t="s">
        <v>221</v>
      </c>
      <c r="I18" s="1" t="s">
        <v>231</v>
      </c>
      <c r="J18" s="8">
        <v>32</v>
      </c>
      <c r="K18" s="8">
        <v>2</v>
      </c>
      <c r="L18" s="8">
        <f t="shared" si="0"/>
        <v>64</v>
      </c>
      <c r="M18" s="8">
        <v>128</v>
      </c>
      <c r="N18" s="1" t="s">
        <v>185</v>
      </c>
      <c r="O18" s="1" t="s">
        <v>193</v>
      </c>
      <c r="P18" s="9">
        <v>50.3</v>
      </c>
      <c r="Q18" s="10">
        <v>44540</v>
      </c>
      <c r="R18" s="6">
        <v>4449</v>
      </c>
      <c r="S18" s="1" t="s">
        <v>178</v>
      </c>
      <c r="T18" s="1" t="s">
        <v>249</v>
      </c>
    </row>
    <row r="19" spans="1:20" x14ac:dyDescent="0.25">
      <c r="A19" s="1" t="s">
        <v>250</v>
      </c>
      <c r="B19" s="1" t="s">
        <v>117</v>
      </c>
      <c r="C19" s="1" t="s">
        <v>118</v>
      </c>
      <c r="D19" s="1" t="s">
        <v>172</v>
      </c>
      <c r="E19" s="1" t="s">
        <v>251</v>
      </c>
      <c r="F19" s="1" t="s">
        <v>120</v>
      </c>
      <c r="G19" s="1" t="s">
        <v>191</v>
      </c>
      <c r="H19" s="1" t="s">
        <v>175</v>
      </c>
      <c r="I19" s="1" t="s">
        <v>176</v>
      </c>
      <c r="J19" s="8">
        <v>0</v>
      </c>
      <c r="K19" s="8">
        <v>3</v>
      </c>
      <c r="L19" s="8">
        <f t="shared" si="0"/>
        <v>0</v>
      </c>
      <c r="M19" s="8">
        <v>0</v>
      </c>
      <c r="N19" s="1" t="s">
        <v>217</v>
      </c>
      <c r="O19" s="1" t="s">
        <v>176</v>
      </c>
      <c r="P19" s="9">
        <v>46.3</v>
      </c>
      <c r="Q19" s="10">
        <v>45080</v>
      </c>
      <c r="R19" s="6">
        <v>1608</v>
      </c>
      <c r="S19" s="1" t="s">
        <v>178</v>
      </c>
      <c r="T19" s="1" t="s">
        <v>252</v>
      </c>
    </row>
    <row r="20" spans="1:20" x14ac:dyDescent="0.25">
      <c r="A20" s="1" t="s">
        <v>253</v>
      </c>
      <c r="B20" s="1" t="s">
        <v>117</v>
      </c>
      <c r="C20" s="1" t="s">
        <v>118</v>
      </c>
      <c r="D20" s="1" t="s">
        <v>214</v>
      </c>
      <c r="E20" s="1" t="s">
        <v>245</v>
      </c>
      <c r="F20" s="1" t="s">
        <v>120</v>
      </c>
      <c r="G20" s="1" t="s">
        <v>174</v>
      </c>
      <c r="H20" s="1" t="s">
        <v>242</v>
      </c>
      <c r="I20" s="1" t="s">
        <v>192</v>
      </c>
      <c r="J20" s="8">
        <v>16</v>
      </c>
      <c r="K20" s="8">
        <v>12</v>
      </c>
      <c r="L20" s="8">
        <f t="shared" si="0"/>
        <v>192</v>
      </c>
      <c r="M20" s="8">
        <v>1536</v>
      </c>
      <c r="N20" s="1" t="s">
        <v>185</v>
      </c>
      <c r="O20" s="1" t="s">
        <v>193</v>
      </c>
      <c r="P20" s="9">
        <v>30.4</v>
      </c>
      <c r="Q20" s="10">
        <v>44933</v>
      </c>
      <c r="R20" s="6">
        <v>13970</v>
      </c>
      <c r="S20" s="1" t="s">
        <v>187</v>
      </c>
      <c r="T20" s="1" t="s">
        <v>254</v>
      </c>
    </row>
    <row r="21" spans="1:20" x14ac:dyDescent="0.25">
      <c r="A21" s="1" t="s">
        <v>255</v>
      </c>
      <c r="B21" s="1" t="s">
        <v>117</v>
      </c>
      <c r="C21" s="1" t="s">
        <v>118</v>
      </c>
      <c r="D21" s="1" t="s">
        <v>172</v>
      </c>
      <c r="E21" s="1" t="s">
        <v>256</v>
      </c>
      <c r="F21" s="1" t="s">
        <v>125</v>
      </c>
      <c r="G21" s="1" t="s">
        <v>174</v>
      </c>
      <c r="H21" s="1" t="s">
        <v>221</v>
      </c>
      <c r="I21" s="1" t="s">
        <v>216</v>
      </c>
      <c r="J21" s="8">
        <v>16</v>
      </c>
      <c r="K21" s="8">
        <v>20</v>
      </c>
      <c r="L21" s="8">
        <f t="shared" si="0"/>
        <v>320</v>
      </c>
      <c r="M21" s="8">
        <v>2560</v>
      </c>
      <c r="N21" s="1" t="s">
        <v>217</v>
      </c>
      <c r="O21" s="1" t="s">
        <v>193</v>
      </c>
      <c r="P21" s="9">
        <v>46.3</v>
      </c>
      <c r="Q21" s="10">
        <v>45829</v>
      </c>
      <c r="R21" s="6">
        <v>9712</v>
      </c>
      <c r="S21" s="1" t="s">
        <v>194</v>
      </c>
      <c r="T21" s="1" t="s">
        <v>257</v>
      </c>
    </row>
    <row r="22" spans="1:20" x14ac:dyDescent="0.25">
      <c r="A22" s="1" t="s">
        <v>258</v>
      </c>
      <c r="B22" s="1" t="s">
        <v>117</v>
      </c>
      <c r="C22" s="1" t="s">
        <v>118</v>
      </c>
      <c r="D22" s="1" t="s">
        <v>172</v>
      </c>
      <c r="E22" s="1" t="s">
        <v>241</v>
      </c>
      <c r="F22" s="1" t="s">
        <v>120</v>
      </c>
      <c r="G22" s="1" t="s">
        <v>191</v>
      </c>
      <c r="H22" s="1" t="s">
        <v>242</v>
      </c>
      <c r="I22" s="1" t="s">
        <v>259</v>
      </c>
      <c r="J22" s="8">
        <v>64</v>
      </c>
      <c r="K22" s="8">
        <v>16</v>
      </c>
      <c r="L22" s="8">
        <f t="shared" si="0"/>
        <v>1024</v>
      </c>
      <c r="M22" s="8">
        <v>8192</v>
      </c>
      <c r="N22" s="1" t="s">
        <v>217</v>
      </c>
      <c r="O22" s="1" t="s">
        <v>193</v>
      </c>
      <c r="P22" s="9">
        <v>31.3</v>
      </c>
      <c r="Q22" s="10">
        <v>45188</v>
      </c>
      <c r="R22" s="6">
        <v>32818</v>
      </c>
      <c r="S22" s="1" t="s">
        <v>194</v>
      </c>
      <c r="T22" s="1" t="s">
        <v>260</v>
      </c>
    </row>
    <row r="23" spans="1:20" x14ac:dyDescent="0.25">
      <c r="A23" s="1" t="s">
        <v>261</v>
      </c>
      <c r="B23" s="1" t="s">
        <v>117</v>
      </c>
      <c r="C23" s="1" t="s">
        <v>118</v>
      </c>
      <c r="D23" s="1" t="s">
        <v>181</v>
      </c>
      <c r="E23" s="1" t="s">
        <v>211</v>
      </c>
      <c r="F23" s="1" t="s">
        <v>138</v>
      </c>
      <c r="G23" s="1" t="s">
        <v>191</v>
      </c>
      <c r="H23" s="1" t="s">
        <v>175</v>
      </c>
      <c r="I23" s="1" t="s">
        <v>176</v>
      </c>
      <c r="J23" s="8">
        <v>0</v>
      </c>
      <c r="K23" s="8">
        <v>1</v>
      </c>
      <c r="L23" s="8">
        <f t="shared" si="0"/>
        <v>0</v>
      </c>
      <c r="M23" s="8">
        <v>0</v>
      </c>
      <c r="N23" s="1" t="s">
        <v>217</v>
      </c>
      <c r="O23" s="1" t="s">
        <v>176</v>
      </c>
      <c r="P23" s="9">
        <v>24.6</v>
      </c>
      <c r="Q23" s="10">
        <v>44627</v>
      </c>
      <c r="R23" s="6">
        <v>2737</v>
      </c>
      <c r="S23" s="1" t="s">
        <v>194</v>
      </c>
      <c r="T23" s="1" t="s">
        <v>262</v>
      </c>
    </row>
    <row r="24" spans="1:20" x14ac:dyDescent="0.25">
      <c r="A24" s="1" t="s">
        <v>263</v>
      </c>
      <c r="B24" s="1" t="s">
        <v>117</v>
      </c>
      <c r="C24" s="1" t="s">
        <v>118</v>
      </c>
      <c r="D24" s="1" t="s">
        <v>214</v>
      </c>
      <c r="E24" s="1" t="s">
        <v>264</v>
      </c>
      <c r="F24" s="1" t="s">
        <v>120</v>
      </c>
      <c r="G24" s="1" t="s">
        <v>174</v>
      </c>
      <c r="H24" s="1" t="s">
        <v>183</v>
      </c>
      <c r="I24" s="1" t="s">
        <v>216</v>
      </c>
      <c r="J24" s="8">
        <v>16</v>
      </c>
      <c r="K24" s="8">
        <v>4</v>
      </c>
      <c r="L24" s="8">
        <f t="shared" si="0"/>
        <v>64</v>
      </c>
      <c r="M24" s="8">
        <v>512</v>
      </c>
      <c r="N24" s="1" t="s">
        <v>185</v>
      </c>
      <c r="O24" s="1" t="s">
        <v>193</v>
      </c>
      <c r="P24" s="9">
        <v>39.9</v>
      </c>
      <c r="Q24" s="10">
        <v>45501</v>
      </c>
      <c r="R24" s="6">
        <v>3999</v>
      </c>
      <c r="S24" s="1" t="s">
        <v>187</v>
      </c>
      <c r="T24" s="1" t="s">
        <v>265</v>
      </c>
    </row>
    <row r="25" spans="1:20" x14ac:dyDescent="0.25">
      <c r="A25" s="1" t="s">
        <v>266</v>
      </c>
      <c r="B25" s="1" t="s">
        <v>117</v>
      </c>
      <c r="C25" s="1" t="s">
        <v>118</v>
      </c>
      <c r="D25" s="1" t="s">
        <v>214</v>
      </c>
      <c r="E25" s="1" t="s">
        <v>267</v>
      </c>
      <c r="F25" s="1" t="s">
        <v>138</v>
      </c>
      <c r="G25" s="1" t="s">
        <v>174</v>
      </c>
      <c r="H25" s="1" t="s">
        <v>183</v>
      </c>
      <c r="I25" s="1" t="s">
        <v>216</v>
      </c>
      <c r="J25" s="8">
        <v>16</v>
      </c>
      <c r="K25" s="8">
        <v>6</v>
      </c>
      <c r="L25" s="8">
        <f t="shared" si="0"/>
        <v>96</v>
      </c>
      <c r="M25" s="8">
        <v>768</v>
      </c>
      <c r="N25" s="1" t="s">
        <v>177</v>
      </c>
      <c r="O25" s="1" t="s">
        <v>193</v>
      </c>
      <c r="P25" s="9">
        <v>5.4</v>
      </c>
      <c r="Q25" s="10">
        <v>45401</v>
      </c>
      <c r="R25" s="6">
        <v>4400</v>
      </c>
      <c r="S25" s="1" t="s">
        <v>194</v>
      </c>
      <c r="T25" s="1" t="s">
        <v>268</v>
      </c>
    </row>
    <row r="26" spans="1:20" x14ac:dyDescent="0.25">
      <c r="A26" s="1" t="s">
        <v>269</v>
      </c>
      <c r="B26" s="1" t="s">
        <v>117</v>
      </c>
      <c r="C26" s="1" t="s">
        <v>118</v>
      </c>
      <c r="D26" s="1" t="s">
        <v>181</v>
      </c>
      <c r="E26" s="1" t="s">
        <v>270</v>
      </c>
      <c r="F26" s="1" t="s">
        <v>138</v>
      </c>
      <c r="G26" s="1" t="s">
        <v>191</v>
      </c>
      <c r="H26" s="1" t="s">
        <v>183</v>
      </c>
      <c r="I26" s="1" t="s">
        <v>259</v>
      </c>
      <c r="J26" s="8">
        <v>64</v>
      </c>
      <c r="K26" s="8">
        <v>4</v>
      </c>
      <c r="L26" s="8">
        <f t="shared" si="0"/>
        <v>256</v>
      </c>
      <c r="M26" s="8">
        <v>2048</v>
      </c>
      <c r="N26" s="1" t="s">
        <v>217</v>
      </c>
      <c r="O26" s="1" t="s">
        <v>186</v>
      </c>
      <c r="P26" s="9">
        <v>39.9</v>
      </c>
      <c r="Q26" s="10">
        <v>44291</v>
      </c>
      <c r="R26" s="6">
        <v>9569</v>
      </c>
      <c r="S26" s="1" t="s">
        <v>194</v>
      </c>
      <c r="T26" s="1" t="s">
        <v>271</v>
      </c>
    </row>
    <row r="27" spans="1:20" x14ac:dyDescent="0.25">
      <c r="A27" s="1" t="s">
        <v>272</v>
      </c>
      <c r="B27" s="1" t="s">
        <v>117</v>
      </c>
      <c r="C27" s="1" t="s">
        <v>118</v>
      </c>
      <c r="D27" s="1" t="s">
        <v>172</v>
      </c>
      <c r="E27" s="1" t="s">
        <v>273</v>
      </c>
      <c r="F27" s="1" t="s">
        <v>120</v>
      </c>
      <c r="G27" s="1" t="s">
        <v>207</v>
      </c>
      <c r="H27" s="1" t="s">
        <v>175</v>
      </c>
      <c r="I27" s="1" t="s">
        <v>176</v>
      </c>
      <c r="J27" s="8">
        <v>0</v>
      </c>
      <c r="K27" s="8">
        <v>3</v>
      </c>
      <c r="L27" s="8">
        <f t="shared" si="0"/>
        <v>0</v>
      </c>
      <c r="M27" s="8">
        <v>0</v>
      </c>
      <c r="N27" s="1" t="s">
        <v>217</v>
      </c>
      <c r="O27" s="1" t="s">
        <v>176</v>
      </c>
      <c r="P27" s="9">
        <v>19.7</v>
      </c>
      <c r="Q27" s="10">
        <v>44924</v>
      </c>
      <c r="R27" s="6">
        <v>2035</v>
      </c>
      <c r="S27" s="1" t="s">
        <v>194</v>
      </c>
      <c r="T27" s="1" t="s">
        <v>274</v>
      </c>
    </row>
    <row r="28" spans="1:20" x14ac:dyDescent="0.25">
      <c r="A28" s="1" t="s">
        <v>275</v>
      </c>
      <c r="B28" s="1" t="s">
        <v>117</v>
      </c>
      <c r="C28" s="1" t="s">
        <v>118</v>
      </c>
      <c r="D28" s="1" t="s">
        <v>214</v>
      </c>
      <c r="E28" s="1" t="s">
        <v>248</v>
      </c>
      <c r="F28" s="1" t="s">
        <v>120</v>
      </c>
      <c r="G28" s="1" t="s">
        <v>191</v>
      </c>
      <c r="H28" s="1" t="s">
        <v>221</v>
      </c>
      <c r="I28" s="1" t="s">
        <v>276</v>
      </c>
      <c r="J28" s="8">
        <v>64</v>
      </c>
      <c r="K28" s="8">
        <v>12</v>
      </c>
      <c r="L28" s="8">
        <f t="shared" si="0"/>
        <v>768</v>
      </c>
      <c r="M28" s="8">
        <v>3072</v>
      </c>
      <c r="N28" s="1" t="s">
        <v>185</v>
      </c>
      <c r="O28" s="1" t="s">
        <v>193</v>
      </c>
      <c r="P28" s="9">
        <v>67.7</v>
      </c>
      <c r="Q28" s="10">
        <v>45634</v>
      </c>
      <c r="R28" s="6">
        <v>52609</v>
      </c>
      <c r="S28" s="1" t="s">
        <v>187</v>
      </c>
      <c r="T28" s="1" t="s">
        <v>277</v>
      </c>
    </row>
    <row r="29" spans="1:20" x14ac:dyDescent="0.25">
      <c r="A29" s="1" t="s">
        <v>278</v>
      </c>
      <c r="B29" s="1" t="s">
        <v>117</v>
      </c>
      <c r="C29" s="1" t="s">
        <v>118</v>
      </c>
      <c r="D29" s="1" t="s">
        <v>214</v>
      </c>
      <c r="E29" s="1" t="s">
        <v>279</v>
      </c>
      <c r="F29" s="1" t="s">
        <v>125</v>
      </c>
      <c r="G29" s="1" t="s">
        <v>191</v>
      </c>
      <c r="H29" s="1" t="s">
        <v>235</v>
      </c>
      <c r="I29" s="1" t="s">
        <v>176</v>
      </c>
      <c r="J29" s="8">
        <v>0</v>
      </c>
      <c r="K29" s="8">
        <v>2</v>
      </c>
      <c r="L29" s="8">
        <f t="shared" si="0"/>
        <v>0</v>
      </c>
      <c r="M29" s="8">
        <v>0</v>
      </c>
      <c r="N29" s="1" t="s">
        <v>177</v>
      </c>
      <c r="O29" s="1" t="s">
        <v>176</v>
      </c>
      <c r="P29" s="9">
        <v>11.3</v>
      </c>
      <c r="Q29" s="10">
        <v>44932</v>
      </c>
      <c r="R29" s="6">
        <v>658</v>
      </c>
      <c r="S29" s="1" t="s">
        <v>187</v>
      </c>
      <c r="T29" s="1" t="s">
        <v>280</v>
      </c>
    </row>
    <row r="30" spans="1:20" x14ac:dyDescent="0.25">
      <c r="A30" s="1" t="s">
        <v>281</v>
      </c>
      <c r="B30" s="1" t="s">
        <v>117</v>
      </c>
      <c r="C30" s="1" t="s">
        <v>118</v>
      </c>
      <c r="D30" s="1" t="s">
        <v>214</v>
      </c>
      <c r="E30" s="1" t="s">
        <v>215</v>
      </c>
      <c r="F30" s="1" t="s">
        <v>120</v>
      </c>
      <c r="G30" s="1" t="s">
        <v>207</v>
      </c>
      <c r="H30" s="1" t="s">
        <v>183</v>
      </c>
      <c r="I30" s="1" t="s">
        <v>282</v>
      </c>
      <c r="J30" s="8">
        <v>32</v>
      </c>
      <c r="K30" s="8">
        <v>8</v>
      </c>
      <c r="L30" s="8">
        <f t="shared" si="0"/>
        <v>256</v>
      </c>
      <c r="M30" s="8">
        <v>2048</v>
      </c>
      <c r="N30" s="1" t="s">
        <v>185</v>
      </c>
      <c r="O30" s="1" t="s">
        <v>186</v>
      </c>
      <c r="P30" s="9">
        <v>19.399999999999999</v>
      </c>
      <c r="Q30" s="10">
        <v>45272</v>
      </c>
      <c r="R30" s="6">
        <v>17804</v>
      </c>
      <c r="S30" s="1" t="s">
        <v>194</v>
      </c>
      <c r="T30" s="1" t="s">
        <v>283</v>
      </c>
    </row>
    <row r="31" spans="1:20" x14ac:dyDescent="0.25">
      <c r="A31" s="1" t="s">
        <v>284</v>
      </c>
      <c r="B31" s="1" t="s">
        <v>117</v>
      </c>
      <c r="C31" s="1" t="s">
        <v>118</v>
      </c>
      <c r="D31" s="1" t="s">
        <v>214</v>
      </c>
      <c r="E31" s="1" t="s">
        <v>285</v>
      </c>
      <c r="F31" s="1" t="s">
        <v>125</v>
      </c>
      <c r="G31" s="1" t="s">
        <v>174</v>
      </c>
      <c r="H31" s="1" t="s">
        <v>230</v>
      </c>
      <c r="I31" s="1" t="s">
        <v>216</v>
      </c>
      <c r="J31" s="8">
        <v>16</v>
      </c>
      <c r="K31" s="8">
        <v>16</v>
      </c>
      <c r="L31" s="8">
        <f t="shared" si="0"/>
        <v>256</v>
      </c>
      <c r="M31" s="8">
        <v>2048</v>
      </c>
      <c r="N31" s="1" t="s">
        <v>177</v>
      </c>
      <c r="O31" s="1" t="s">
        <v>186</v>
      </c>
      <c r="P31" s="9">
        <v>9.5</v>
      </c>
      <c r="Q31" s="10">
        <v>45511</v>
      </c>
      <c r="R31" s="6">
        <v>11690</v>
      </c>
      <c r="S31" s="1" t="s">
        <v>194</v>
      </c>
      <c r="T31" s="1" t="s">
        <v>286</v>
      </c>
    </row>
    <row r="32" spans="1:20" x14ac:dyDescent="0.25">
      <c r="A32" s="1" t="s">
        <v>287</v>
      </c>
      <c r="B32" s="1" t="s">
        <v>117</v>
      </c>
      <c r="C32" s="1" t="s">
        <v>118</v>
      </c>
      <c r="D32" s="1" t="s">
        <v>172</v>
      </c>
      <c r="E32" s="1" t="s">
        <v>288</v>
      </c>
      <c r="F32" s="1" t="s">
        <v>138</v>
      </c>
      <c r="G32" s="1" t="s">
        <v>191</v>
      </c>
      <c r="H32" s="1" t="s">
        <v>183</v>
      </c>
      <c r="I32" s="1" t="s">
        <v>289</v>
      </c>
      <c r="J32" s="8">
        <v>32</v>
      </c>
      <c r="K32" s="8">
        <v>20</v>
      </c>
      <c r="L32" s="8">
        <f t="shared" si="0"/>
        <v>640</v>
      </c>
      <c r="M32" s="8">
        <v>2560</v>
      </c>
      <c r="N32" s="1" t="s">
        <v>185</v>
      </c>
      <c r="O32" s="1" t="s">
        <v>186</v>
      </c>
      <c r="P32" s="9">
        <v>85.2</v>
      </c>
      <c r="Q32" s="10">
        <v>45611</v>
      </c>
      <c r="R32" s="6">
        <v>38436</v>
      </c>
      <c r="S32" s="1" t="s">
        <v>187</v>
      </c>
      <c r="T32" s="1" t="s">
        <v>290</v>
      </c>
    </row>
    <row r="33" spans="1:20" x14ac:dyDescent="0.25">
      <c r="A33" s="1" t="s">
        <v>291</v>
      </c>
      <c r="B33" s="1" t="s">
        <v>117</v>
      </c>
      <c r="C33" s="1" t="s">
        <v>118</v>
      </c>
      <c r="D33" s="1" t="s">
        <v>214</v>
      </c>
      <c r="E33" s="1" t="s">
        <v>292</v>
      </c>
      <c r="F33" s="1" t="s">
        <v>120</v>
      </c>
      <c r="G33" s="1" t="s">
        <v>207</v>
      </c>
      <c r="H33" s="1" t="s">
        <v>230</v>
      </c>
      <c r="I33" s="1" t="s">
        <v>208</v>
      </c>
      <c r="J33" s="8">
        <v>128</v>
      </c>
      <c r="K33" s="8">
        <v>6</v>
      </c>
      <c r="L33" s="8">
        <f t="shared" si="0"/>
        <v>768</v>
      </c>
      <c r="M33" s="8">
        <v>23352</v>
      </c>
      <c r="N33" s="1" t="s">
        <v>217</v>
      </c>
      <c r="O33" s="1" t="s">
        <v>186</v>
      </c>
      <c r="P33" s="9">
        <v>43</v>
      </c>
      <c r="Q33" s="10">
        <v>45166</v>
      </c>
      <c r="R33" s="6">
        <v>27896</v>
      </c>
      <c r="S33" s="1" t="s">
        <v>194</v>
      </c>
      <c r="T33" s="1" t="s">
        <v>293</v>
      </c>
    </row>
    <row r="34" spans="1:20" x14ac:dyDescent="0.25">
      <c r="A34" s="1" t="s">
        <v>294</v>
      </c>
      <c r="B34" s="1" t="s">
        <v>117</v>
      </c>
      <c r="C34" s="1" t="s">
        <v>118</v>
      </c>
      <c r="D34" s="1" t="s">
        <v>181</v>
      </c>
      <c r="E34" s="1" t="s">
        <v>295</v>
      </c>
      <c r="F34" s="1" t="s">
        <v>125</v>
      </c>
      <c r="G34" s="1" t="s">
        <v>174</v>
      </c>
      <c r="H34" s="1" t="s">
        <v>202</v>
      </c>
      <c r="I34" s="1" t="s">
        <v>226</v>
      </c>
      <c r="J34" s="8">
        <v>16</v>
      </c>
      <c r="K34" s="8">
        <v>24</v>
      </c>
      <c r="L34" s="8">
        <f t="shared" si="0"/>
        <v>384</v>
      </c>
      <c r="M34" s="8">
        <v>1536</v>
      </c>
      <c r="N34" s="1" t="s">
        <v>177</v>
      </c>
      <c r="O34" s="1" t="s">
        <v>186</v>
      </c>
      <c r="P34" s="9">
        <v>13.2</v>
      </c>
      <c r="Q34" s="10">
        <v>45378</v>
      </c>
      <c r="R34" s="6">
        <v>14931</v>
      </c>
      <c r="S34" s="1" t="s">
        <v>194</v>
      </c>
      <c r="T34" s="1" t="s">
        <v>296</v>
      </c>
    </row>
    <row r="35" spans="1:20" x14ac:dyDescent="0.25">
      <c r="A35" s="1" t="s">
        <v>297</v>
      </c>
      <c r="B35" s="1" t="s">
        <v>117</v>
      </c>
      <c r="C35" s="1" t="s">
        <v>118</v>
      </c>
      <c r="D35" s="1" t="s">
        <v>214</v>
      </c>
      <c r="E35" s="1" t="s">
        <v>298</v>
      </c>
      <c r="F35" s="1" t="s">
        <v>125</v>
      </c>
      <c r="G35" s="1" t="s">
        <v>207</v>
      </c>
      <c r="H35" s="1" t="s">
        <v>230</v>
      </c>
      <c r="I35" s="1" t="s">
        <v>259</v>
      </c>
      <c r="J35" s="8">
        <v>64</v>
      </c>
      <c r="K35" s="8">
        <v>2</v>
      </c>
      <c r="L35" s="8">
        <f t="shared" si="0"/>
        <v>128</v>
      </c>
      <c r="M35" s="8">
        <v>1024</v>
      </c>
      <c r="N35" s="1" t="s">
        <v>185</v>
      </c>
      <c r="O35" s="1" t="s">
        <v>186</v>
      </c>
      <c r="P35" s="9">
        <v>19.8</v>
      </c>
      <c r="Q35" s="10">
        <v>45521</v>
      </c>
      <c r="R35" s="6">
        <v>9764</v>
      </c>
      <c r="S35" s="1" t="s">
        <v>178</v>
      </c>
      <c r="T35" s="1" t="s">
        <v>299</v>
      </c>
    </row>
    <row r="36" spans="1:20" x14ac:dyDescent="0.25">
      <c r="A36" s="1" t="s">
        <v>300</v>
      </c>
      <c r="B36" s="1" t="s">
        <v>117</v>
      </c>
      <c r="C36" s="1" t="s">
        <v>118</v>
      </c>
      <c r="D36" s="1" t="s">
        <v>214</v>
      </c>
      <c r="E36" s="1" t="s">
        <v>234</v>
      </c>
      <c r="F36" s="1" t="s">
        <v>120</v>
      </c>
      <c r="G36" s="1" t="s">
        <v>174</v>
      </c>
      <c r="H36" s="1" t="s">
        <v>235</v>
      </c>
      <c r="I36" s="1" t="s">
        <v>176</v>
      </c>
      <c r="J36" s="8">
        <v>0</v>
      </c>
      <c r="K36" s="8">
        <v>1</v>
      </c>
      <c r="L36" s="8">
        <f t="shared" si="0"/>
        <v>0</v>
      </c>
      <c r="M36" s="8">
        <v>0</v>
      </c>
      <c r="N36" s="1" t="s">
        <v>185</v>
      </c>
      <c r="O36" s="1" t="s">
        <v>176</v>
      </c>
      <c r="P36" s="9">
        <v>35.6</v>
      </c>
      <c r="Q36" s="10">
        <v>44656</v>
      </c>
      <c r="R36" s="6">
        <v>2345</v>
      </c>
      <c r="S36" s="1" t="s">
        <v>187</v>
      </c>
      <c r="T36" s="1" t="s">
        <v>301</v>
      </c>
    </row>
    <row r="37" spans="1:20" x14ac:dyDescent="0.25">
      <c r="A37" s="1" t="s">
        <v>302</v>
      </c>
      <c r="B37" s="1" t="s">
        <v>117</v>
      </c>
      <c r="C37" s="1" t="s">
        <v>118</v>
      </c>
      <c r="D37" s="1" t="s">
        <v>172</v>
      </c>
      <c r="E37" s="1" t="s">
        <v>229</v>
      </c>
      <c r="F37" s="1" t="s">
        <v>120</v>
      </c>
      <c r="G37" s="1" t="s">
        <v>174</v>
      </c>
      <c r="H37" s="1" t="s">
        <v>230</v>
      </c>
      <c r="I37" s="1" t="s">
        <v>231</v>
      </c>
      <c r="J37" s="8">
        <v>32</v>
      </c>
      <c r="K37" s="8">
        <v>3</v>
      </c>
      <c r="L37" s="8">
        <f t="shared" si="0"/>
        <v>96</v>
      </c>
      <c r="M37" s="8">
        <v>192</v>
      </c>
      <c r="N37" s="1" t="s">
        <v>217</v>
      </c>
      <c r="O37" s="1" t="s">
        <v>186</v>
      </c>
      <c r="P37" s="9">
        <v>72.599999999999994</v>
      </c>
      <c r="Q37" s="10">
        <v>45237</v>
      </c>
      <c r="R37" s="6">
        <v>3336</v>
      </c>
      <c r="S37" s="1" t="s">
        <v>194</v>
      </c>
      <c r="T37" s="1" t="s">
        <v>303</v>
      </c>
    </row>
    <row r="38" spans="1:20" x14ac:dyDescent="0.25">
      <c r="A38" s="1" t="s">
        <v>304</v>
      </c>
      <c r="B38" s="1" t="s">
        <v>117</v>
      </c>
      <c r="C38" s="1" t="s">
        <v>118</v>
      </c>
      <c r="D38" s="1" t="s">
        <v>172</v>
      </c>
      <c r="E38" s="1" t="s">
        <v>190</v>
      </c>
      <c r="F38" s="1" t="s">
        <v>120</v>
      </c>
      <c r="G38" s="1" t="s">
        <v>207</v>
      </c>
      <c r="H38" s="1" t="s">
        <v>183</v>
      </c>
      <c r="I38" s="1" t="s">
        <v>208</v>
      </c>
      <c r="J38" s="8">
        <v>128</v>
      </c>
      <c r="K38" s="8">
        <v>6</v>
      </c>
      <c r="L38" s="8">
        <f t="shared" si="0"/>
        <v>768</v>
      </c>
      <c r="M38" s="8">
        <v>23352</v>
      </c>
      <c r="N38" s="1" t="s">
        <v>217</v>
      </c>
      <c r="O38" s="1" t="s">
        <v>193</v>
      </c>
      <c r="P38" s="9">
        <v>56.2</v>
      </c>
      <c r="Q38" s="10">
        <v>44551</v>
      </c>
      <c r="R38" s="6">
        <v>25380</v>
      </c>
      <c r="S38" s="1" t="s">
        <v>178</v>
      </c>
      <c r="T38" s="1" t="s">
        <v>305</v>
      </c>
    </row>
    <row r="39" spans="1:20" x14ac:dyDescent="0.25">
      <c r="A39" s="1" t="s">
        <v>306</v>
      </c>
      <c r="B39" s="1" t="s">
        <v>117</v>
      </c>
      <c r="C39" s="1" t="s">
        <v>118</v>
      </c>
      <c r="D39" s="1" t="s">
        <v>214</v>
      </c>
      <c r="E39" s="1" t="s">
        <v>307</v>
      </c>
      <c r="F39" s="1" t="s">
        <v>125</v>
      </c>
      <c r="G39" s="1" t="s">
        <v>207</v>
      </c>
      <c r="H39" s="1" t="s">
        <v>183</v>
      </c>
      <c r="I39" s="1" t="s">
        <v>203</v>
      </c>
      <c r="J39" s="8">
        <v>16</v>
      </c>
      <c r="K39" s="8">
        <v>24</v>
      </c>
      <c r="L39" s="8">
        <f t="shared" si="0"/>
        <v>384</v>
      </c>
      <c r="M39" s="8">
        <v>1536</v>
      </c>
      <c r="N39" s="1" t="s">
        <v>185</v>
      </c>
      <c r="O39" s="1" t="s">
        <v>186</v>
      </c>
      <c r="P39" s="9">
        <v>36.700000000000003</v>
      </c>
      <c r="Q39" s="10">
        <v>44298</v>
      </c>
      <c r="R39" s="6">
        <v>23437</v>
      </c>
      <c r="S39" s="1" t="s">
        <v>178</v>
      </c>
      <c r="T39" s="1" t="s">
        <v>308</v>
      </c>
    </row>
    <row r="40" spans="1:20" x14ac:dyDescent="0.25">
      <c r="A40" s="1" t="s">
        <v>309</v>
      </c>
      <c r="B40" s="1" t="s">
        <v>117</v>
      </c>
      <c r="C40" s="1" t="s">
        <v>118</v>
      </c>
      <c r="D40" s="1" t="s">
        <v>181</v>
      </c>
      <c r="E40" s="1" t="s">
        <v>310</v>
      </c>
      <c r="F40" s="1" t="s">
        <v>138</v>
      </c>
      <c r="G40" s="1" t="s">
        <v>174</v>
      </c>
      <c r="H40" s="1" t="s">
        <v>230</v>
      </c>
      <c r="I40" s="1" t="s">
        <v>259</v>
      </c>
      <c r="J40" s="8">
        <v>64</v>
      </c>
      <c r="K40" s="8">
        <v>4</v>
      </c>
      <c r="L40" s="8">
        <f t="shared" si="0"/>
        <v>256</v>
      </c>
      <c r="M40" s="8">
        <v>2048</v>
      </c>
      <c r="N40" s="1" t="s">
        <v>185</v>
      </c>
      <c r="O40" s="1" t="s">
        <v>193</v>
      </c>
      <c r="P40" s="9">
        <v>67.8</v>
      </c>
      <c r="Q40" s="10">
        <v>45018</v>
      </c>
      <c r="R40" s="6">
        <v>17824</v>
      </c>
      <c r="S40" s="1" t="s">
        <v>194</v>
      </c>
      <c r="T40" s="1" t="s">
        <v>311</v>
      </c>
    </row>
    <row r="41" spans="1:20" x14ac:dyDescent="0.25">
      <c r="A41" s="1" t="s">
        <v>312</v>
      </c>
      <c r="B41" s="1" t="s">
        <v>117</v>
      </c>
      <c r="C41" s="1" t="s">
        <v>118</v>
      </c>
      <c r="D41" s="1" t="s">
        <v>172</v>
      </c>
      <c r="E41" s="1" t="s">
        <v>267</v>
      </c>
      <c r="F41" s="1" t="s">
        <v>138</v>
      </c>
      <c r="G41" s="1" t="s">
        <v>191</v>
      </c>
      <c r="H41" s="1" t="s">
        <v>183</v>
      </c>
      <c r="I41" s="1" t="s">
        <v>226</v>
      </c>
      <c r="J41" s="8">
        <v>16</v>
      </c>
      <c r="K41" s="8">
        <v>12</v>
      </c>
      <c r="L41" s="8">
        <f t="shared" si="0"/>
        <v>192</v>
      </c>
      <c r="M41" s="8">
        <v>768</v>
      </c>
      <c r="N41" s="1" t="s">
        <v>185</v>
      </c>
      <c r="O41" s="1" t="s">
        <v>193</v>
      </c>
      <c r="P41" s="9">
        <v>70.400000000000006</v>
      </c>
      <c r="Q41" s="10">
        <v>45095</v>
      </c>
      <c r="R41" s="6">
        <v>12809</v>
      </c>
      <c r="S41" s="1" t="s">
        <v>187</v>
      </c>
      <c r="T41" s="1" t="s">
        <v>313</v>
      </c>
    </row>
    <row r="42" spans="1:20" x14ac:dyDescent="0.25">
      <c r="A42" s="1" t="s">
        <v>314</v>
      </c>
      <c r="B42" s="1" t="s">
        <v>117</v>
      </c>
      <c r="C42" s="1" t="s">
        <v>118</v>
      </c>
      <c r="D42" s="1" t="s">
        <v>214</v>
      </c>
      <c r="E42" s="1" t="s">
        <v>182</v>
      </c>
      <c r="F42" s="1" t="s">
        <v>120</v>
      </c>
      <c r="G42" s="1" t="s">
        <v>207</v>
      </c>
      <c r="H42" s="1" t="s">
        <v>183</v>
      </c>
      <c r="I42" s="1" t="s">
        <v>226</v>
      </c>
      <c r="J42" s="8">
        <v>16</v>
      </c>
      <c r="K42" s="8">
        <v>8</v>
      </c>
      <c r="L42" s="8">
        <f t="shared" si="0"/>
        <v>128</v>
      </c>
      <c r="M42" s="8">
        <v>512</v>
      </c>
      <c r="N42" s="1" t="s">
        <v>217</v>
      </c>
      <c r="O42" s="1" t="s">
        <v>193</v>
      </c>
      <c r="P42" s="9">
        <v>86.2</v>
      </c>
      <c r="Q42" s="10">
        <v>45791</v>
      </c>
      <c r="R42" s="6">
        <v>5170</v>
      </c>
      <c r="S42" s="1" t="s">
        <v>194</v>
      </c>
      <c r="T42" s="1" t="s">
        <v>315</v>
      </c>
    </row>
    <row r="43" spans="1:20" x14ac:dyDescent="0.25">
      <c r="A43" s="1" t="s">
        <v>316</v>
      </c>
      <c r="B43" s="1" t="s">
        <v>117</v>
      </c>
      <c r="C43" s="1" t="s">
        <v>118</v>
      </c>
      <c r="D43" s="1" t="s">
        <v>172</v>
      </c>
      <c r="E43" s="1" t="s">
        <v>317</v>
      </c>
      <c r="F43" s="1" t="s">
        <v>138</v>
      </c>
      <c r="G43" s="1" t="s">
        <v>191</v>
      </c>
      <c r="H43" s="1" t="s">
        <v>198</v>
      </c>
      <c r="I43" s="1" t="s">
        <v>176</v>
      </c>
      <c r="J43" s="8">
        <v>0</v>
      </c>
      <c r="K43" s="8">
        <v>2</v>
      </c>
      <c r="L43" s="8">
        <f t="shared" si="0"/>
        <v>0</v>
      </c>
      <c r="M43" s="8">
        <v>0</v>
      </c>
      <c r="N43" s="1" t="s">
        <v>185</v>
      </c>
      <c r="O43" s="1" t="s">
        <v>176</v>
      </c>
      <c r="P43" s="9">
        <v>34.700000000000003</v>
      </c>
      <c r="Q43" s="10">
        <v>45445</v>
      </c>
      <c r="R43" s="6">
        <v>3517</v>
      </c>
      <c r="S43" s="1" t="s">
        <v>178</v>
      </c>
      <c r="T43" s="1" t="s">
        <v>318</v>
      </c>
    </row>
    <row r="44" spans="1:20" x14ac:dyDescent="0.25">
      <c r="A44" s="1" t="s">
        <v>319</v>
      </c>
      <c r="B44" s="1" t="s">
        <v>117</v>
      </c>
      <c r="C44" s="1" t="s">
        <v>118</v>
      </c>
      <c r="D44" s="1" t="s">
        <v>214</v>
      </c>
      <c r="E44" s="1" t="s">
        <v>320</v>
      </c>
      <c r="F44" s="1" t="s">
        <v>138</v>
      </c>
      <c r="G44" s="1" t="s">
        <v>191</v>
      </c>
      <c r="H44" s="1" t="s">
        <v>230</v>
      </c>
      <c r="I44" s="1" t="s">
        <v>203</v>
      </c>
      <c r="J44" s="8">
        <v>16</v>
      </c>
      <c r="K44" s="8">
        <v>4</v>
      </c>
      <c r="L44" s="8">
        <f t="shared" si="0"/>
        <v>64</v>
      </c>
      <c r="M44" s="8">
        <v>256</v>
      </c>
      <c r="N44" s="1" t="s">
        <v>185</v>
      </c>
      <c r="O44" s="1" t="s">
        <v>186</v>
      </c>
      <c r="P44" s="9">
        <v>37.799999999999997</v>
      </c>
      <c r="Q44" s="10">
        <v>45679</v>
      </c>
      <c r="R44" s="6">
        <v>3945</v>
      </c>
      <c r="S44" s="1" t="s">
        <v>178</v>
      </c>
      <c r="T44" s="1" t="s">
        <v>321</v>
      </c>
    </row>
    <row r="45" spans="1:20" x14ac:dyDescent="0.25">
      <c r="A45" s="1" t="s">
        <v>322</v>
      </c>
      <c r="B45" s="1" t="s">
        <v>117</v>
      </c>
      <c r="C45" s="1" t="s">
        <v>118</v>
      </c>
      <c r="D45" s="1" t="s">
        <v>172</v>
      </c>
      <c r="E45" s="1" t="s">
        <v>270</v>
      </c>
      <c r="F45" s="1" t="s">
        <v>138</v>
      </c>
      <c r="G45" s="1" t="s">
        <v>174</v>
      </c>
      <c r="H45" s="1" t="s">
        <v>183</v>
      </c>
      <c r="I45" s="1" t="s">
        <v>289</v>
      </c>
      <c r="J45" s="8">
        <v>32</v>
      </c>
      <c r="K45" s="8">
        <v>24</v>
      </c>
      <c r="L45" s="8">
        <f t="shared" si="0"/>
        <v>768</v>
      </c>
      <c r="M45" s="8">
        <v>3072</v>
      </c>
      <c r="N45" s="1" t="s">
        <v>185</v>
      </c>
      <c r="O45" s="1" t="s">
        <v>186</v>
      </c>
      <c r="P45" s="9">
        <v>47</v>
      </c>
      <c r="Q45" s="10">
        <v>45355</v>
      </c>
      <c r="R45" s="6">
        <v>51420</v>
      </c>
      <c r="S45" s="1" t="s">
        <v>187</v>
      </c>
      <c r="T45" s="1" t="s">
        <v>323</v>
      </c>
    </row>
    <row r="46" spans="1:20" x14ac:dyDescent="0.25">
      <c r="A46" s="1" t="s">
        <v>324</v>
      </c>
      <c r="B46" s="1" t="s">
        <v>117</v>
      </c>
      <c r="C46" s="1" t="s">
        <v>118</v>
      </c>
      <c r="D46" s="1" t="s">
        <v>172</v>
      </c>
      <c r="E46" s="1" t="s">
        <v>325</v>
      </c>
      <c r="F46" s="1" t="s">
        <v>120</v>
      </c>
      <c r="G46" s="1" t="s">
        <v>207</v>
      </c>
      <c r="H46" s="1" t="s">
        <v>230</v>
      </c>
      <c r="I46" s="1" t="s">
        <v>231</v>
      </c>
      <c r="J46" s="8">
        <v>32</v>
      </c>
      <c r="K46" s="8">
        <v>4</v>
      </c>
      <c r="L46" s="8">
        <f t="shared" si="0"/>
        <v>128</v>
      </c>
      <c r="M46" s="8">
        <v>256</v>
      </c>
      <c r="N46" s="1" t="s">
        <v>185</v>
      </c>
      <c r="O46" s="1" t="s">
        <v>193</v>
      </c>
      <c r="P46" s="9">
        <v>78.7</v>
      </c>
      <c r="Q46" s="10">
        <v>44791</v>
      </c>
      <c r="R46" s="6">
        <v>8099</v>
      </c>
      <c r="S46" s="1" t="s">
        <v>194</v>
      </c>
      <c r="T46" s="1" t="s">
        <v>326</v>
      </c>
    </row>
    <row r="47" spans="1:20" x14ac:dyDescent="0.25">
      <c r="A47" s="1" t="s">
        <v>327</v>
      </c>
      <c r="B47" s="1" t="s">
        <v>122</v>
      </c>
      <c r="C47" s="1" t="s">
        <v>123</v>
      </c>
      <c r="D47" s="1" t="s">
        <v>328</v>
      </c>
      <c r="E47" s="1" t="s">
        <v>329</v>
      </c>
      <c r="F47" s="1" t="s">
        <v>125</v>
      </c>
      <c r="G47" s="1" t="s">
        <v>174</v>
      </c>
      <c r="H47" s="1" t="s">
        <v>221</v>
      </c>
      <c r="I47" s="1" t="s">
        <v>330</v>
      </c>
      <c r="J47" s="8">
        <v>32</v>
      </c>
      <c r="K47" s="8">
        <v>12</v>
      </c>
      <c r="L47" s="8">
        <f t="shared" si="0"/>
        <v>384</v>
      </c>
      <c r="M47" s="8">
        <v>3072</v>
      </c>
      <c r="N47" s="1" t="s">
        <v>185</v>
      </c>
      <c r="O47" s="1" t="s">
        <v>186</v>
      </c>
      <c r="P47" s="9">
        <v>75.400000000000006</v>
      </c>
      <c r="Q47" s="10">
        <v>44820</v>
      </c>
      <c r="R47" s="6">
        <v>23521</v>
      </c>
      <c r="S47" s="1" t="s">
        <v>187</v>
      </c>
      <c r="T47" s="1" t="s">
        <v>331</v>
      </c>
    </row>
    <row r="48" spans="1:20" x14ac:dyDescent="0.25">
      <c r="A48" s="1" t="s">
        <v>332</v>
      </c>
      <c r="B48" s="1" t="s">
        <v>122</v>
      </c>
      <c r="C48" s="1" t="s">
        <v>123</v>
      </c>
      <c r="D48" s="1" t="s">
        <v>333</v>
      </c>
      <c r="E48" s="1" t="s">
        <v>334</v>
      </c>
      <c r="F48" s="1" t="s">
        <v>120</v>
      </c>
      <c r="G48" s="1" t="s">
        <v>174</v>
      </c>
      <c r="H48" s="1" t="s">
        <v>230</v>
      </c>
      <c r="I48" s="1" t="s">
        <v>208</v>
      </c>
      <c r="J48" s="8">
        <v>128</v>
      </c>
      <c r="K48" s="8">
        <v>8</v>
      </c>
      <c r="L48" s="8">
        <f t="shared" si="0"/>
        <v>1024</v>
      </c>
      <c r="M48" s="8">
        <v>31136</v>
      </c>
      <c r="N48" s="1" t="s">
        <v>185</v>
      </c>
      <c r="O48" s="1" t="s">
        <v>186</v>
      </c>
      <c r="P48" s="9">
        <v>35.799999999999997</v>
      </c>
      <c r="Q48" s="10">
        <v>44930</v>
      </c>
      <c r="R48" s="6">
        <v>70620</v>
      </c>
      <c r="S48" s="1" t="s">
        <v>194</v>
      </c>
      <c r="T48" s="1" t="s">
        <v>335</v>
      </c>
    </row>
    <row r="49" spans="1:20" x14ac:dyDescent="0.25">
      <c r="A49" s="1" t="s">
        <v>336</v>
      </c>
      <c r="B49" s="1" t="s">
        <v>122</v>
      </c>
      <c r="C49" s="1" t="s">
        <v>123</v>
      </c>
      <c r="D49" s="1" t="s">
        <v>337</v>
      </c>
      <c r="E49" s="1" t="s">
        <v>329</v>
      </c>
      <c r="F49" s="1" t="s">
        <v>125</v>
      </c>
      <c r="G49" s="1" t="s">
        <v>174</v>
      </c>
      <c r="H49" s="1" t="s">
        <v>221</v>
      </c>
      <c r="I49" s="1" t="s">
        <v>231</v>
      </c>
      <c r="J49" s="8">
        <v>32</v>
      </c>
      <c r="K49" s="8">
        <v>8</v>
      </c>
      <c r="L49" s="8">
        <f t="shared" si="0"/>
        <v>256</v>
      </c>
      <c r="M49" s="8">
        <v>512</v>
      </c>
      <c r="N49" s="1" t="s">
        <v>217</v>
      </c>
      <c r="O49" s="1" t="s">
        <v>186</v>
      </c>
      <c r="P49" s="9">
        <v>66.400000000000006</v>
      </c>
      <c r="Q49" s="10">
        <v>44306</v>
      </c>
      <c r="R49" s="6">
        <v>8236</v>
      </c>
      <c r="S49" s="1" t="s">
        <v>194</v>
      </c>
      <c r="T49" s="1" t="s">
        <v>338</v>
      </c>
    </row>
    <row r="50" spans="1:20" x14ac:dyDescent="0.25">
      <c r="A50" s="1" t="s">
        <v>339</v>
      </c>
      <c r="B50" s="1" t="s">
        <v>122</v>
      </c>
      <c r="C50" s="1" t="s">
        <v>123</v>
      </c>
      <c r="D50" s="1" t="s">
        <v>328</v>
      </c>
      <c r="E50" s="1" t="s">
        <v>340</v>
      </c>
      <c r="F50" s="1" t="s">
        <v>125</v>
      </c>
      <c r="G50" s="1" t="s">
        <v>174</v>
      </c>
      <c r="H50" s="1" t="s">
        <v>221</v>
      </c>
      <c r="I50" s="1" t="s">
        <v>330</v>
      </c>
      <c r="J50" s="8">
        <v>32</v>
      </c>
      <c r="K50" s="8">
        <v>2</v>
      </c>
      <c r="L50" s="8">
        <f t="shared" si="0"/>
        <v>64</v>
      </c>
      <c r="M50" s="8">
        <v>512</v>
      </c>
      <c r="N50" s="1" t="s">
        <v>217</v>
      </c>
      <c r="O50" s="1" t="s">
        <v>186</v>
      </c>
      <c r="P50" s="9">
        <v>38.4</v>
      </c>
      <c r="Q50" s="10">
        <v>45379</v>
      </c>
      <c r="R50" s="6">
        <v>1870</v>
      </c>
      <c r="S50" s="1" t="s">
        <v>178</v>
      </c>
      <c r="T50" s="1" t="s">
        <v>341</v>
      </c>
    </row>
    <row r="51" spans="1:20" x14ac:dyDescent="0.25">
      <c r="A51" s="1" t="s">
        <v>342</v>
      </c>
      <c r="B51" s="1" t="s">
        <v>122</v>
      </c>
      <c r="C51" s="1" t="s">
        <v>123</v>
      </c>
      <c r="D51" s="1" t="s">
        <v>328</v>
      </c>
      <c r="E51" s="1" t="s">
        <v>343</v>
      </c>
      <c r="F51" s="1" t="s">
        <v>125</v>
      </c>
      <c r="G51" s="1" t="s">
        <v>207</v>
      </c>
      <c r="H51" s="1" t="s">
        <v>175</v>
      </c>
      <c r="I51" s="1" t="s">
        <v>176</v>
      </c>
      <c r="J51" s="8">
        <v>0</v>
      </c>
      <c r="K51" s="8">
        <v>3</v>
      </c>
      <c r="L51" s="8">
        <f t="shared" si="0"/>
        <v>0</v>
      </c>
      <c r="M51" s="8">
        <v>0</v>
      </c>
      <c r="N51" s="1" t="s">
        <v>185</v>
      </c>
      <c r="O51" s="1" t="s">
        <v>176</v>
      </c>
      <c r="P51" s="9">
        <v>29.6</v>
      </c>
      <c r="Q51" s="10">
        <v>45482</v>
      </c>
      <c r="R51" s="6">
        <v>3757</v>
      </c>
      <c r="S51" s="1" t="s">
        <v>194</v>
      </c>
      <c r="T51" s="1" t="s">
        <v>344</v>
      </c>
    </row>
    <row r="52" spans="1:20" x14ac:dyDescent="0.25">
      <c r="A52" s="1" t="s">
        <v>345</v>
      </c>
      <c r="B52" s="1" t="s">
        <v>122</v>
      </c>
      <c r="C52" s="1" t="s">
        <v>123</v>
      </c>
      <c r="D52" s="1" t="s">
        <v>337</v>
      </c>
      <c r="E52" s="1" t="s">
        <v>346</v>
      </c>
      <c r="F52" s="1" t="s">
        <v>125</v>
      </c>
      <c r="G52" s="1" t="s">
        <v>191</v>
      </c>
      <c r="H52" s="1" t="s">
        <v>183</v>
      </c>
      <c r="I52" s="1" t="s">
        <v>184</v>
      </c>
      <c r="J52" s="8">
        <v>8</v>
      </c>
      <c r="K52" s="8">
        <v>8</v>
      </c>
      <c r="L52" s="8">
        <f t="shared" si="0"/>
        <v>64</v>
      </c>
      <c r="M52" s="8">
        <v>256</v>
      </c>
      <c r="N52" s="1" t="s">
        <v>217</v>
      </c>
      <c r="O52" s="1" t="s">
        <v>186</v>
      </c>
      <c r="P52" s="9">
        <v>36.1</v>
      </c>
      <c r="Q52" s="10">
        <v>45507</v>
      </c>
      <c r="R52" s="6">
        <v>2719</v>
      </c>
      <c r="S52" s="1" t="s">
        <v>194</v>
      </c>
      <c r="T52" s="1" t="s">
        <v>347</v>
      </c>
    </row>
    <row r="53" spans="1:20" x14ac:dyDescent="0.25">
      <c r="A53" s="1" t="s">
        <v>348</v>
      </c>
      <c r="B53" s="1" t="s">
        <v>122</v>
      </c>
      <c r="C53" s="1" t="s">
        <v>123</v>
      </c>
      <c r="D53" s="1" t="s">
        <v>328</v>
      </c>
      <c r="E53" s="1" t="s">
        <v>349</v>
      </c>
      <c r="F53" s="1" t="s">
        <v>125</v>
      </c>
      <c r="G53" s="1" t="s">
        <v>191</v>
      </c>
      <c r="H53" s="1" t="s">
        <v>183</v>
      </c>
      <c r="I53" s="1" t="s">
        <v>330</v>
      </c>
      <c r="J53" s="8">
        <v>32</v>
      </c>
      <c r="K53" s="8">
        <v>24</v>
      </c>
      <c r="L53" s="8">
        <f t="shared" si="0"/>
        <v>768</v>
      </c>
      <c r="M53" s="8">
        <v>6144</v>
      </c>
      <c r="N53" s="1" t="s">
        <v>185</v>
      </c>
      <c r="O53" s="1" t="s">
        <v>186</v>
      </c>
      <c r="P53" s="9">
        <v>65.8</v>
      </c>
      <c r="Q53" s="10">
        <v>45190</v>
      </c>
      <c r="R53" s="6">
        <v>49659</v>
      </c>
      <c r="S53" s="1" t="s">
        <v>187</v>
      </c>
      <c r="T53" s="1" t="s">
        <v>350</v>
      </c>
    </row>
    <row r="54" spans="1:20" x14ac:dyDescent="0.25">
      <c r="A54" s="1" t="s">
        <v>351</v>
      </c>
      <c r="B54" s="1" t="s">
        <v>122</v>
      </c>
      <c r="C54" s="1" t="s">
        <v>123</v>
      </c>
      <c r="D54" s="1" t="s">
        <v>333</v>
      </c>
      <c r="E54" s="1" t="s">
        <v>352</v>
      </c>
      <c r="F54" s="1" t="s">
        <v>120</v>
      </c>
      <c r="G54" s="1" t="s">
        <v>174</v>
      </c>
      <c r="H54" s="1" t="s">
        <v>242</v>
      </c>
      <c r="I54" s="1" t="s">
        <v>282</v>
      </c>
      <c r="J54" s="8">
        <v>32</v>
      </c>
      <c r="K54" s="8">
        <v>4</v>
      </c>
      <c r="L54" s="8">
        <f t="shared" si="0"/>
        <v>128</v>
      </c>
      <c r="M54" s="8">
        <v>1024</v>
      </c>
      <c r="N54" s="1" t="s">
        <v>185</v>
      </c>
      <c r="O54" s="1" t="s">
        <v>193</v>
      </c>
      <c r="P54" s="9">
        <v>25.3</v>
      </c>
      <c r="Q54" s="10">
        <v>44428</v>
      </c>
      <c r="R54" s="6">
        <v>9026</v>
      </c>
      <c r="S54" s="1" t="s">
        <v>187</v>
      </c>
      <c r="T54" s="1" t="s">
        <v>353</v>
      </c>
    </row>
    <row r="55" spans="1:20" x14ac:dyDescent="0.25">
      <c r="A55" s="1" t="s">
        <v>354</v>
      </c>
      <c r="B55" s="1" t="s">
        <v>122</v>
      </c>
      <c r="C55" s="1" t="s">
        <v>123</v>
      </c>
      <c r="D55" s="1" t="s">
        <v>333</v>
      </c>
      <c r="E55" s="1" t="s">
        <v>355</v>
      </c>
      <c r="F55" s="1" t="s">
        <v>120</v>
      </c>
      <c r="G55" s="1" t="s">
        <v>174</v>
      </c>
      <c r="H55" s="1" t="s">
        <v>183</v>
      </c>
      <c r="I55" s="1" t="s">
        <v>282</v>
      </c>
      <c r="J55" s="8">
        <v>32</v>
      </c>
      <c r="K55" s="8">
        <v>24</v>
      </c>
      <c r="L55" s="8">
        <f t="shared" si="0"/>
        <v>768</v>
      </c>
      <c r="M55" s="8">
        <v>6144</v>
      </c>
      <c r="N55" s="1" t="s">
        <v>185</v>
      </c>
      <c r="O55" s="1" t="s">
        <v>186</v>
      </c>
      <c r="P55" s="9">
        <v>26.5</v>
      </c>
      <c r="Q55" s="10">
        <v>45148</v>
      </c>
      <c r="R55" s="6">
        <v>49161</v>
      </c>
      <c r="S55" s="1" t="s">
        <v>178</v>
      </c>
      <c r="T55" s="1" t="s">
        <v>356</v>
      </c>
    </row>
    <row r="56" spans="1:20" x14ac:dyDescent="0.25">
      <c r="A56" s="1" t="s">
        <v>357</v>
      </c>
      <c r="B56" s="1" t="s">
        <v>122</v>
      </c>
      <c r="C56" s="1" t="s">
        <v>123</v>
      </c>
      <c r="D56" s="1" t="s">
        <v>333</v>
      </c>
      <c r="E56" s="1" t="s">
        <v>358</v>
      </c>
      <c r="F56" s="1" t="s">
        <v>125</v>
      </c>
      <c r="G56" s="1" t="s">
        <v>191</v>
      </c>
      <c r="H56" s="1" t="s">
        <v>221</v>
      </c>
      <c r="I56" s="1" t="s">
        <v>359</v>
      </c>
      <c r="J56" s="8">
        <v>96</v>
      </c>
      <c r="K56" s="8">
        <v>2</v>
      </c>
      <c r="L56" s="8">
        <f t="shared" si="0"/>
        <v>192</v>
      </c>
      <c r="M56" s="8">
        <v>3800</v>
      </c>
      <c r="N56" s="1" t="s">
        <v>185</v>
      </c>
      <c r="O56" s="1" t="s">
        <v>186</v>
      </c>
      <c r="P56" s="9">
        <v>25.9</v>
      </c>
      <c r="Q56" s="10">
        <v>44367</v>
      </c>
      <c r="R56" s="6">
        <v>61940</v>
      </c>
      <c r="S56" s="1" t="s">
        <v>187</v>
      </c>
      <c r="T56" s="1" t="s">
        <v>360</v>
      </c>
    </row>
    <row r="57" spans="1:20" x14ac:dyDescent="0.25">
      <c r="A57" s="1" t="s">
        <v>361</v>
      </c>
      <c r="B57" s="1" t="s">
        <v>122</v>
      </c>
      <c r="C57" s="1" t="s">
        <v>123</v>
      </c>
      <c r="D57" s="1" t="s">
        <v>337</v>
      </c>
      <c r="E57" s="1" t="s">
        <v>358</v>
      </c>
      <c r="F57" s="1" t="s">
        <v>125</v>
      </c>
      <c r="G57" s="1" t="s">
        <v>207</v>
      </c>
      <c r="H57" s="1" t="s">
        <v>221</v>
      </c>
      <c r="I57" s="1" t="s">
        <v>362</v>
      </c>
      <c r="J57" s="8">
        <v>24</v>
      </c>
      <c r="K57" s="8">
        <v>2</v>
      </c>
      <c r="L57" s="8">
        <f t="shared" si="0"/>
        <v>48</v>
      </c>
      <c r="M57" s="8">
        <v>440</v>
      </c>
      <c r="N57" s="1" t="s">
        <v>217</v>
      </c>
      <c r="O57" s="1" t="s">
        <v>186</v>
      </c>
      <c r="P57" s="9">
        <v>34.9</v>
      </c>
      <c r="Q57" s="10">
        <v>45745</v>
      </c>
      <c r="R57" s="6">
        <v>7664</v>
      </c>
      <c r="S57" s="1" t="s">
        <v>194</v>
      </c>
      <c r="T57" s="1" t="s">
        <v>363</v>
      </c>
    </row>
    <row r="58" spans="1:20" x14ac:dyDescent="0.25">
      <c r="A58" s="1" t="s">
        <v>364</v>
      </c>
      <c r="B58" s="1" t="s">
        <v>122</v>
      </c>
      <c r="C58" s="1" t="s">
        <v>123</v>
      </c>
      <c r="D58" s="1" t="s">
        <v>328</v>
      </c>
      <c r="E58" s="1" t="s">
        <v>349</v>
      </c>
      <c r="F58" s="1" t="s">
        <v>125</v>
      </c>
      <c r="G58" s="1" t="s">
        <v>174</v>
      </c>
      <c r="H58" s="1" t="s">
        <v>183</v>
      </c>
      <c r="I58" s="1" t="s">
        <v>362</v>
      </c>
      <c r="J58" s="8">
        <v>24</v>
      </c>
      <c r="K58" s="8">
        <v>10</v>
      </c>
      <c r="L58" s="8">
        <f t="shared" si="0"/>
        <v>240</v>
      </c>
      <c r="M58" s="8">
        <v>2200</v>
      </c>
      <c r="N58" s="1" t="s">
        <v>185</v>
      </c>
      <c r="O58" s="1" t="s">
        <v>186</v>
      </c>
      <c r="P58" s="9">
        <v>40.1</v>
      </c>
      <c r="Q58" s="10">
        <v>45618</v>
      </c>
      <c r="R58" s="6">
        <v>54978</v>
      </c>
      <c r="S58" s="1" t="s">
        <v>187</v>
      </c>
      <c r="T58" s="1" t="s">
        <v>365</v>
      </c>
    </row>
    <row r="59" spans="1:20" x14ac:dyDescent="0.25">
      <c r="A59" s="1" t="s">
        <v>366</v>
      </c>
      <c r="B59" s="1" t="s">
        <v>122</v>
      </c>
      <c r="C59" s="1" t="s">
        <v>123</v>
      </c>
      <c r="D59" s="1" t="s">
        <v>328</v>
      </c>
      <c r="E59" s="1" t="s">
        <v>367</v>
      </c>
      <c r="F59" s="1" t="s">
        <v>125</v>
      </c>
      <c r="G59" s="1" t="s">
        <v>207</v>
      </c>
      <c r="H59" s="1" t="s">
        <v>183</v>
      </c>
      <c r="I59" s="1" t="s">
        <v>362</v>
      </c>
      <c r="J59" s="8">
        <v>24</v>
      </c>
      <c r="K59" s="8">
        <v>4</v>
      </c>
      <c r="L59" s="8">
        <f t="shared" si="0"/>
        <v>96</v>
      </c>
      <c r="M59" s="8">
        <v>880</v>
      </c>
      <c r="N59" s="1" t="s">
        <v>217</v>
      </c>
      <c r="O59" s="1" t="s">
        <v>186</v>
      </c>
      <c r="P59" s="9">
        <v>31.9</v>
      </c>
      <c r="Q59" s="10">
        <v>44249</v>
      </c>
      <c r="R59" s="6">
        <v>11678</v>
      </c>
      <c r="S59" s="1" t="s">
        <v>187</v>
      </c>
      <c r="T59" s="1" t="s">
        <v>368</v>
      </c>
    </row>
    <row r="60" spans="1:20" x14ac:dyDescent="0.25">
      <c r="A60" s="1" t="s">
        <v>369</v>
      </c>
      <c r="B60" s="1" t="s">
        <v>122</v>
      </c>
      <c r="C60" s="1" t="s">
        <v>123</v>
      </c>
      <c r="D60" s="1" t="s">
        <v>337</v>
      </c>
      <c r="E60" s="1" t="s">
        <v>340</v>
      </c>
      <c r="F60" s="1" t="s">
        <v>125</v>
      </c>
      <c r="G60" s="1" t="s">
        <v>207</v>
      </c>
      <c r="H60" s="1" t="s">
        <v>221</v>
      </c>
      <c r="I60" s="1" t="s">
        <v>289</v>
      </c>
      <c r="J60" s="8">
        <v>32</v>
      </c>
      <c r="K60" s="8">
        <v>2</v>
      </c>
      <c r="L60" s="8">
        <f t="shared" si="0"/>
        <v>64</v>
      </c>
      <c r="M60" s="8">
        <v>256</v>
      </c>
      <c r="N60" s="1" t="s">
        <v>185</v>
      </c>
      <c r="O60" s="1" t="s">
        <v>186</v>
      </c>
      <c r="P60" s="9">
        <v>23.8</v>
      </c>
      <c r="Q60" s="10">
        <v>45060</v>
      </c>
      <c r="R60" s="6">
        <v>4493</v>
      </c>
      <c r="S60" s="1" t="s">
        <v>178</v>
      </c>
      <c r="T60" s="1" t="s">
        <v>370</v>
      </c>
    </row>
    <row r="61" spans="1:20" x14ac:dyDescent="0.25">
      <c r="A61" s="1" t="s">
        <v>371</v>
      </c>
      <c r="B61" s="1" t="s">
        <v>122</v>
      </c>
      <c r="C61" s="1" t="s">
        <v>123</v>
      </c>
      <c r="D61" s="1" t="s">
        <v>333</v>
      </c>
      <c r="E61" s="1" t="s">
        <v>372</v>
      </c>
      <c r="F61" s="1" t="s">
        <v>125</v>
      </c>
      <c r="G61" s="1" t="s">
        <v>174</v>
      </c>
      <c r="H61" s="1" t="s">
        <v>230</v>
      </c>
      <c r="I61" s="1" t="s">
        <v>226</v>
      </c>
      <c r="J61" s="8">
        <v>16</v>
      </c>
      <c r="K61" s="8">
        <v>6</v>
      </c>
      <c r="L61" s="8">
        <f t="shared" si="0"/>
        <v>96</v>
      </c>
      <c r="M61" s="8">
        <v>384</v>
      </c>
      <c r="N61" s="1" t="s">
        <v>185</v>
      </c>
      <c r="O61" s="1" t="s">
        <v>186</v>
      </c>
      <c r="P61" s="9">
        <v>52.6</v>
      </c>
      <c r="Q61" s="10">
        <v>45672</v>
      </c>
      <c r="R61" s="6">
        <v>6856</v>
      </c>
      <c r="S61" s="1" t="s">
        <v>178</v>
      </c>
      <c r="T61" s="1" t="s">
        <v>373</v>
      </c>
    </row>
    <row r="62" spans="1:20" x14ac:dyDescent="0.25">
      <c r="A62" s="1" t="s">
        <v>374</v>
      </c>
      <c r="B62" s="1" t="s">
        <v>122</v>
      </c>
      <c r="C62" s="1" t="s">
        <v>123</v>
      </c>
      <c r="D62" s="1" t="s">
        <v>333</v>
      </c>
      <c r="E62" s="1" t="s">
        <v>375</v>
      </c>
      <c r="F62" s="1" t="s">
        <v>125</v>
      </c>
      <c r="G62" s="1" t="s">
        <v>207</v>
      </c>
      <c r="H62" s="1" t="s">
        <v>235</v>
      </c>
      <c r="I62" s="1" t="s">
        <v>176</v>
      </c>
      <c r="J62" s="8">
        <v>0</v>
      </c>
      <c r="K62" s="8">
        <v>1</v>
      </c>
      <c r="L62" s="8">
        <f t="shared" si="0"/>
        <v>0</v>
      </c>
      <c r="M62" s="8">
        <v>0</v>
      </c>
      <c r="N62" s="1" t="s">
        <v>217</v>
      </c>
      <c r="O62" s="1" t="s">
        <v>176</v>
      </c>
      <c r="P62" s="9">
        <v>28.8</v>
      </c>
      <c r="Q62" s="10">
        <v>45454</v>
      </c>
      <c r="R62" s="6">
        <v>1217</v>
      </c>
      <c r="S62" s="1" t="s">
        <v>178</v>
      </c>
      <c r="T62" s="1" t="s">
        <v>376</v>
      </c>
    </row>
    <row r="63" spans="1:20" x14ac:dyDescent="0.25">
      <c r="A63" s="1" t="s">
        <v>377</v>
      </c>
      <c r="B63" s="1" t="s">
        <v>122</v>
      </c>
      <c r="C63" s="1" t="s">
        <v>123</v>
      </c>
      <c r="D63" s="1" t="s">
        <v>333</v>
      </c>
      <c r="E63" s="1" t="s">
        <v>378</v>
      </c>
      <c r="F63" s="1" t="s">
        <v>125</v>
      </c>
      <c r="G63" s="1" t="s">
        <v>207</v>
      </c>
      <c r="H63" s="1" t="s">
        <v>183</v>
      </c>
      <c r="I63" s="1" t="s">
        <v>359</v>
      </c>
      <c r="J63" s="8">
        <v>96</v>
      </c>
      <c r="K63" s="8">
        <v>2</v>
      </c>
      <c r="L63" s="8">
        <f t="shared" si="0"/>
        <v>192</v>
      </c>
      <c r="M63" s="8">
        <v>3800</v>
      </c>
      <c r="N63" s="1" t="s">
        <v>185</v>
      </c>
      <c r="O63" s="1" t="s">
        <v>186</v>
      </c>
      <c r="P63" s="9">
        <v>22.1</v>
      </c>
      <c r="Q63" s="10">
        <v>44480</v>
      </c>
      <c r="R63" s="6">
        <v>48045</v>
      </c>
      <c r="S63" s="1" t="s">
        <v>187</v>
      </c>
      <c r="T63" s="1" t="s">
        <v>379</v>
      </c>
    </row>
    <row r="64" spans="1:20" x14ac:dyDescent="0.25">
      <c r="A64" s="1" t="s">
        <v>380</v>
      </c>
      <c r="B64" s="1" t="s">
        <v>122</v>
      </c>
      <c r="C64" s="1" t="s">
        <v>123</v>
      </c>
      <c r="D64" s="1" t="s">
        <v>337</v>
      </c>
      <c r="E64" s="1" t="s">
        <v>381</v>
      </c>
      <c r="F64" s="1" t="s">
        <v>125</v>
      </c>
      <c r="G64" s="1" t="s">
        <v>191</v>
      </c>
      <c r="H64" s="1" t="s">
        <v>230</v>
      </c>
      <c r="I64" s="1" t="s">
        <v>359</v>
      </c>
      <c r="J64" s="8">
        <v>96</v>
      </c>
      <c r="K64" s="8">
        <v>4</v>
      </c>
      <c r="L64" s="8">
        <f t="shared" si="0"/>
        <v>384</v>
      </c>
      <c r="M64" s="8">
        <v>7600</v>
      </c>
      <c r="N64" s="1" t="s">
        <v>185</v>
      </c>
      <c r="O64" s="1" t="s">
        <v>186</v>
      </c>
      <c r="P64" s="9">
        <v>39.6</v>
      </c>
      <c r="Q64" s="10">
        <v>45673</v>
      </c>
      <c r="R64" s="6">
        <v>126801</v>
      </c>
      <c r="S64" s="1" t="s">
        <v>178</v>
      </c>
      <c r="T64" s="1" t="s">
        <v>382</v>
      </c>
    </row>
    <row r="65" spans="1:20" x14ac:dyDescent="0.25">
      <c r="A65" s="1" t="s">
        <v>383</v>
      </c>
      <c r="B65" s="1" t="s">
        <v>122</v>
      </c>
      <c r="C65" s="1" t="s">
        <v>123</v>
      </c>
      <c r="D65" s="1" t="s">
        <v>337</v>
      </c>
      <c r="E65" s="1" t="s">
        <v>372</v>
      </c>
      <c r="F65" s="1" t="s">
        <v>125</v>
      </c>
      <c r="G65" s="1" t="s">
        <v>207</v>
      </c>
      <c r="H65" s="1" t="s">
        <v>230</v>
      </c>
      <c r="I65" s="1" t="s">
        <v>362</v>
      </c>
      <c r="J65" s="8">
        <v>24</v>
      </c>
      <c r="K65" s="8">
        <v>8</v>
      </c>
      <c r="L65" s="8">
        <f t="shared" si="0"/>
        <v>192</v>
      </c>
      <c r="M65" s="8">
        <v>1760</v>
      </c>
      <c r="N65" s="1" t="s">
        <v>185</v>
      </c>
      <c r="O65" s="1" t="s">
        <v>186</v>
      </c>
      <c r="P65" s="9">
        <v>37.700000000000003</v>
      </c>
      <c r="Q65" s="10">
        <v>45478</v>
      </c>
      <c r="R65" s="6">
        <v>42499</v>
      </c>
      <c r="S65" s="1" t="s">
        <v>187</v>
      </c>
      <c r="T65" s="1" t="s">
        <v>384</v>
      </c>
    </row>
    <row r="66" spans="1:20" x14ac:dyDescent="0.25">
      <c r="A66" s="1" t="s">
        <v>385</v>
      </c>
      <c r="B66" s="1" t="s">
        <v>122</v>
      </c>
      <c r="C66" s="1" t="s">
        <v>123</v>
      </c>
      <c r="D66" s="1" t="s">
        <v>333</v>
      </c>
      <c r="E66" s="1" t="s">
        <v>386</v>
      </c>
      <c r="F66" s="1" t="s">
        <v>125</v>
      </c>
      <c r="G66" s="1" t="s">
        <v>174</v>
      </c>
      <c r="H66" s="1" t="s">
        <v>230</v>
      </c>
      <c r="I66" s="1" t="s">
        <v>192</v>
      </c>
      <c r="J66" s="8">
        <v>16</v>
      </c>
      <c r="K66" s="8">
        <v>8</v>
      </c>
      <c r="L66" s="8">
        <f t="shared" ref="L66:L129" si="1">J66*K66</f>
        <v>128</v>
      </c>
      <c r="M66" s="8">
        <v>1024</v>
      </c>
      <c r="N66" s="1" t="s">
        <v>185</v>
      </c>
      <c r="O66" s="1" t="s">
        <v>186</v>
      </c>
      <c r="P66" s="9">
        <v>75.599999999999994</v>
      </c>
      <c r="Q66" s="10">
        <v>44330</v>
      </c>
      <c r="R66" s="6">
        <v>8657</v>
      </c>
      <c r="S66" s="1" t="s">
        <v>187</v>
      </c>
      <c r="T66" s="1" t="s">
        <v>387</v>
      </c>
    </row>
    <row r="67" spans="1:20" x14ac:dyDescent="0.25">
      <c r="A67" s="1" t="s">
        <v>388</v>
      </c>
      <c r="B67" s="1" t="s">
        <v>122</v>
      </c>
      <c r="C67" s="1" t="s">
        <v>123</v>
      </c>
      <c r="D67" s="1" t="s">
        <v>337</v>
      </c>
      <c r="E67" s="1" t="s">
        <v>372</v>
      </c>
      <c r="F67" s="1" t="s">
        <v>125</v>
      </c>
      <c r="G67" s="1" t="s">
        <v>174</v>
      </c>
      <c r="H67" s="1" t="s">
        <v>230</v>
      </c>
      <c r="I67" s="1" t="s">
        <v>226</v>
      </c>
      <c r="J67" s="8">
        <v>16</v>
      </c>
      <c r="K67" s="8">
        <v>12</v>
      </c>
      <c r="L67" s="8">
        <f t="shared" si="1"/>
        <v>192</v>
      </c>
      <c r="M67" s="8">
        <v>768</v>
      </c>
      <c r="N67" s="1" t="s">
        <v>177</v>
      </c>
      <c r="O67" s="1" t="s">
        <v>186</v>
      </c>
      <c r="P67" s="9">
        <v>18.600000000000001</v>
      </c>
      <c r="Q67" s="10">
        <v>45098</v>
      </c>
      <c r="R67" s="6">
        <v>7251</v>
      </c>
      <c r="S67" s="1" t="s">
        <v>194</v>
      </c>
      <c r="T67" s="1" t="s">
        <v>389</v>
      </c>
    </row>
    <row r="68" spans="1:20" x14ac:dyDescent="0.25">
      <c r="A68" s="1" t="s">
        <v>390</v>
      </c>
      <c r="B68" s="1" t="s">
        <v>122</v>
      </c>
      <c r="C68" s="1" t="s">
        <v>123</v>
      </c>
      <c r="D68" s="1" t="s">
        <v>337</v>
      </c>
      <c r="E68" s="1" t="s">
        <v>391</v>
      </c>
      <c r="F68" s="1" t="s">
        <v>120</v>
      </c>
      <c r="G68" s="1" t="s">
        <v>191</v>
      </c>
      <c r="H68" s="1" t="s">
        <v>175</v>
      </c>
      <c r="I68" s="1" t="s">
        <v>176</v>
      </c>
      <c r="J68" s="8">
        <v>0</v>
      </c>
      <c r="K68" s="8">
        <v>1</v>
      </c>
      <c r="L68" s="8">
        <f t="shared" si="1"/>
        <v>0</v>
      </c>
      <c r="M68" s="8">
        <v>0</v>
      </c>
      <c r="N68" s="1" t="s">
        <v>217</v>
      </c>
      <c r="O68" s="1" t="s">
        <v>176</v>
      </c>
      <c r="P68" s="9">
        <v>17.100000000000001</v>
      </c>
      <c r="Q68" s="10">
        <v>45190</v>
      </c>
      <c r="R68" s="6">
        <v>547</v>
      </c>
      <c r="S68" s="1" t="s">
        <v>178</v>
      </c>
      <c r="T68" s="1" t="s">
        <v>392</v>
      </c>
    </row>
    <row r="69" spans="1:20" x14ac:dyDescent="0.25">
      <c r="A69" s="1" t="s">
        <v>393</v>
      </c>
      <c r="B69" s="1" t="s">
        <v>122</v>
      </c>
      <c r="C69" s="1" t="s">
        <v>123</v>
      </c>
      <c r="D69" s="1" t="s">
        <v>337</v>
      </c>
      <c r="E69" s="1" t="s">
        <v>394</v>
      </c>
      <c r="F69" s="1" t="s">
        <v>120</v>
      </c>
      <c r="G69" s="1" t="s">
        <v>207</v>
      </c>
      <c r="H69" s="1" t="s">
        <v>198</v>
      </c>
      <c r="I69" s="1" t="s">
        <v>176</v>
      </c>
      <c r="J69" s="8">
        <v>0</v>
      </c>
      <c r="K69" s="8">
        <v>2</v>
      </c>
      <c r="L69" s="8">
        <f t="shared" si="1"/>
        <v>0</v>
      </c>
      <c r="M69" s="8">
        <v>0</v>
      </c>
      <c r="N69" s="1" t="s">
        <v>217</v>
      </c>
      <c r="O69" s="1" t="s">
        <v>176</v>
      </c>
      <c r="P69" s="9">
        <v>52.5</v>
      </c>
      <c r="Q69" s="10">
        <v>45396</v>
      </c>
      <c r="R69" s="6">
        <v>1038</v>
      </c>
      <c r="S69" s="1" t="s">
        <v>178</v>
      </c>
      <c r="T69" s="1" t="s">
        <v>395</v>
      </c>
    </row>
    <row r="70" spans="1:20" x14ac:dyDescent="0.25">
      <c r="A70" s="1" t="s">
        <v>396</v>
      </c>
      <c r="B70" s="1" t="s">
        <v>122</v>
      </c>
      <c r="C70" s="1" t="s">
        <v>123</v>
      </c>
      <c r="D70" s="1" t="s">
        <v>328</v>
      </c>
      <c r="E70" s="1" t="s">
        <v>372</v>
      </c>
      <c r="F70" s="1" t="s">
        <v>125</v>
      </c>
      <c r="G70" s="1" t="s">
        <v>207</v>
      </c>
      <c r="H70" s="1" t="s">
        <v>230</v>
      </c>
      <c r="I70" s="1" t="s">
        <v>208</v>
      </c>
      <c r="J70" s="8">
        <v>128</v>
      </c>
      <c r="K70" s="8">
        <v>2</v>
      </c>
      <c r="L70" s="8">
        <f t="shared" si="1"/>
        <v>256</v>
      </c>
      <c r="M70" s="8">
        <v>7784</v>
      </c>
      <c r="N70" s="1" t="s">
        <v>217</v>
      </c>
      <c r="O70" s="1" t="s">
        <v>186</v>
      </c>
      <c r="P70" s="9">
        <v>51.1</v>
      </c>
      <c r="Q70" s="10">
        <v>45418</v>
      </c>
      <c r="R70" s="6">
        <v>8126</v>
      </c>
      <c r="S70" s="1" t="s">
        <v>194</v>
      </c>
      <c r="T70" s="1" t="s">
        <v>397</v>
      </c>
    </row>
    <row r="71" spans="1:20" x14ac:dyDescent="0.25">
      <c r="A71" s="1" t="s">
        <v>398</v>
      </c>
      <c r="B71" s="1" t="s">
        <v>122</v>
      </c>
      <c r="C71" s="1" t="s">
        <v>123</v>
      </c>
      <c r="D71" s="1" t="s">
        <v>337</v>
      </c>
      <c r="E71" s="1" t="s">
        <v>378</v>
      </c>
      <c r="F71" s="1" t="s">
        <v>125</v>
      </c>
      <c r="G71" s="1" t="s">
        <v>207</v>
      </c>
      <c r="H71" s="1" t="s">
        <v>183</v>
      </c>
      <c r="I71" s="1" t="s">
        <v>276</v>
      </c>
      <c r="J71" s="8">
        <v>64</v>
      </c>
      <c r="K71" s="8">
        <v>3</v>
      </c>
      <c r="L71" s="8">
        <f t="shared" si="1"/>
        <v>192</v>
      </c>
      <c r="M71" s="8">
        <v>768</v>
      </c>
      <c r="N71" s="1" t="s">
        <v>185</v>
      </c>
      <c r="O71" s="1" t="s">
        <v>186</v>
      </c>
      <c r="P71" s="9">
        <v>27</v>
      </c>
      <c r="Q71" s="10">
        <v>44647</v>
      </c>
      <c r="R71" s="6">
        <v>12363</v>
      </c>
      <c r="S71" s="1" t="s">
        <v>194</v>
      </c>
      <c r="T71" s="1" t="s">
        <v>399</v>
      </c>
    </row>
    <row r="72" spans="1:20" x14ac:dyDescent="0.25">
      <c r="A72" s="1" t="s">
        <v>400</v>
      </c>
      <c r="B72" s="1" t="s">
        <v>122</v>
      </c>
      <c r="C72" s="1" t="s">
        <v>123</v>
      </c>
      <c r="D72" s="1" t="s">
        <v>328</v>
      </c>
      <c r="E72" s="1" t="s">
        <v>372</v>
      </c>
      <c r="F72" s="1" t="s">
        <v>125</v>
      </c>
      <c r="G72" s="1" t="s">
        <v>207</v>
      </c>
      <c r="H72" s="1" t="s">
        <v>230</v>
      </c>
      <c r="I72" s="1" t="s">
        <v>184</v>
      </c>
      <c r="J72" s="8">
        <v>8</v>
      </c>
      <c r="K72" s="8">
        <v>4</v>
      </c>
      <c r="L72" s="8">
        <f t="shared" si="1"/>
        <v>32</v>
      </c>
      <c r="M72" s="8">
        <v>128</v>
      </c>
      <c r="N72" s="1" t="s">
        <v>185</v>
      </c>
      <c r="O72" s="1" t="s">
        <v>186</v>
      </c>
      <c r="P72" s="9">
        <v>62.9</v>
      </c>
      <c r="Q72" s="10">
        <v>45846</v>
      </c>
      <c r="R72" s="6">
        <v>1836</v>
      </c>
      <c r="S72" s="1" t="s">
        <v>194</v>
      </c>
      <c r="T72" s="1" t="s">
        <v>401</v>
      </c>
    </row>
    <row r="73" spans="1:20" x14ac:dyDescent="0.25">
      <c r="A73" s="1" t="s">
        <v>402</v>
      </c>
      <c r="B73" s="1" t="s">
        <v>122</v>
      </c>
      <c r="C73" s="1" t="s">
        <v>123</v>
      </c>
      <c r="D73" s="1" t="s">
        <v>328</v>
      </c>
      <c r="E73" s="1" t="s">
        <v>403</v>
      </c>
      <c r="F73" s="1" t="s">
        <v>125</v>
      </c>
      <c r="G73" s="1" t="s">
        <v>191</v>
      </c>
      <c r="H73" s="1" t="s">
        <v>235</v>
      </c>
      <c r="I73" s="1" t="s">
        <v>176</v>
      </c>
      <c r="J73" s="8">
        <v>0</v>
      </c>
      <c r="K73" s="8">
        <v>1</v>
      </c>
      <c r="L73" s="8">
        <f t="shared" si="1"/>
        <v>0</v>
      </c>
      <c r="M73" s="8">
        <v>0</v>
      </c>
      <c r="N73" s="1" t="s">
        <v>177</v>
      </c>
      <c r="O73" s="1" t="s">
        <v>176</v>
      </c>
      <c r="P73" s="9">
        <v>20.8</v>
      </c>
      <c r="Q73" s="10">
        <v>44890</v>
      </c>
      <c r="R73" s="6">
        <v>1887</v>
      </c>
      <c r="S73" s="1" t="s">
        <v>178</v>
      </c>
      <c r="T73" s="1" t="s">
        <v>404</v>
      </c>
    </row>
    <row r="74" spans="1:20" x14ac:dyDescent="0.25">
      <c r="A74" s="1" t="s">
        <v>405</v>
      </c>
      <c r="B74" s="1" t="s">
        <v>122</v>
      </c>
      <c r="C74" s="1" t="s">
        <v>123</v>
      </c>
      <c r="D74" s="1" t="s">
        <v>337</v>
      </c>
      <c r="E74" s="1" t="s">
        <v>406</v>
      </c>
      <c r="F74" s="1" t="s">
        <v>120</v>
      </c>
      <c r="G74" s="1" t="s">
        <v>191</v>
      </c>
      <c r="H74" s="1" t="s">
        <v>202</v>
      </c>
      <c r="I74" s="1" t="s">
        <v>289</v>
      </c>
      <c r="J74" s="8">
        <v>32</v>
      </c>
      <c r="K74" s="8">
        <v>3</v>
      </c>
      <c r="L74" s="8">
        <f t="shared" si="1"/>
        <v>96</v>
      </c>
      <c r="M74" s="8">
        <v>384</v>
      </c>
      <c r="N74" s="1" t="s">
        <v>217</v>
      </c>
      <c r="O74" s="1" t="s">
        <v>186</v>
      </c>
      <c r="P74" s="9">
        <v>71.5</v>
      </c>
      <c r="Q74" s="10">
        <v>44332</v>
      </c>
      <c r="R74" s="6">
        <v>2983</v>
      </c>
      <c r="S74" s="1" t="s">
        <v>194</v>
      </c>
      <c r="T74" s="1" t="s">
        <v>407</v>
      </c>
    </row>
    <row r="75" spans="1:20" x14ac:dyDescent="0.25">
      <c r="A75" s="1" t="s">
        <v>408</v>
      </c>
      <c r="B75" s="1" t="s">
        <v>122</v>
      </c>
      <c r="C75" s="1" t="s">
        <v>123</v>
      </c>
      <c r="D75" s="1" t="s">
        <v>333</v>
      </c>
      <c r="E75" s="1" t="s">
        <v>409</v>
      </c>
      <c r="F75" s="1" t="s">
        <v>125</v>
      </c>
      <c r="G75" s="1" t="s">
        <v>174</v>
      </c>
      <c r="H75" s="1" t="s">
        <v>235</v>
      </c>
      <c r="I75" s="1" t="s">
        <v>176</v>
      </c>
      <c r="J75" s="8">
        <v>0</v>
      </c>
      <c r="K75" s="8">
        <v>3</v>
      </c>
      <c r="L75" s="8">
        <f t="shared" si="1"/>
        <v>0</v>
      </c>
      <c r="M75" s="8">
        <v>0</v>
      </c>
      <c r="N75" s="1" t="s">
        <v>217</v>
      </c>
      <c r="O75" s="1" t="s">
        <v>176</v>
      </c>
      <c r="P75" s="9">
        <v>45.2</v>
      </c>
      <c r="Q75" s="10">
        <v>44316</v>
      </c>
      <c r="R75" s="6">
        <v>1095</v>
      </c>
      <c r="S75" s="1" t="s">
        <v>194</v>
      </c>
      <c r="T75" s="1" t="s">
        <v>410</v>
      </c>
    </row>
    <row r="76" spans="1:20" x14ac:dyDescent="0.25">
      <c r="A76" s="1" t="s">
        <v>411</v>
      </c>
      <c r="B76" s="1" t="s">
        <v>122</v>
      </c>
      <c r="C76" s="1" t="s">
        <v>123</v>
      </c>
      <c r="D76" s="1" t="s">
        <v>333</v>
      </c>
      <c r="E76" s="1" t="s">
        <v>378</v>
      </c>
      <c r="F76" s="1" t="s">
        <v>125</v>
      </c>
      <c r="G76" s="1" t="s">
        <v>207</v>
      </c>
      <c r="H76" s="1" t="s">
        <v>183</v>
      </c>
      <c r="I76" s="1" t="s">
        <v>330</v>
      </c>
      <c r="J76" s="8">
        <v>32</v>
      </c>
      <c r="K76" s="8">
        <v>24</v>
      </c>
      <c r="L76" s="8">
        <f t="shared" si="1"/>
        <v>768</v>
      </c>
      <c r="M76" s="8">
        <v>6144</v>
      </c>
      <c r="N76" s="1" t="s">
        <v>217</v>
      </c>
      <c r="O76" s="1" t="s">
        <v>186</v>
      </c>
      <c r="P76" s="9">
        <v>74</v>
      </c>
      <c r="Q76" s="10">
        <v>44359</v>
      </c>
      <c r="R76" s="6">
        <v>23231</v>
      </c>
      <c r="S76" s="1" t="s">
        <v>178</v>
      </c>
      <c r="T76" s="1" t="s">
        <v>412</v>
      </c>
    </row>
    <row r="77" spans="1:20" x14ac:dyDescent="0.25">
      <c r="A77" s="1" t="s">
        <v>413</v>
      </c>
      <c r="B77" s="1" t="s">
        <v>122</v>
      </c>
      <c r="C77" s="1" t="s">
        <v>123</v>
      </c>
      <c r="D77" s="1" t="s">
        <v>333</v>
      </c>
      <c r="E77" s="1" t="s">
        <v>329</v>
      </c>
      <c r="F77" s="1" t="s">
        <v>125</v>
      </c>
      <c r="G77" s="1" t="s">
        <v>191</v>
      </c>
      <c r="H77" s="1" t="s">
        <v>221</v>
      </c>
      <c r="I77" s="1" t="s">
        <v>231</v>
      </c>
      <c r="J77" s="8">
        <v>32</v>
      </c>
      <c r="K77" s="8">
        <v>12</v>
      </c>
      <c r="L77" s="8">
        <f t="shared" si="1"/>
        <v>384</v>
      </c>
      <c r="M77" s="8">
        <v>768</v>
      </c>
      <c r="N77" s="1" t="s">
        <v>185</v>
      </c>
      <c r="O77" s="1" t="s">
        <v>186</v>
      </c>
      <c r="P77" s="9">
        <v>31.8</v>
      </c>
      <c r="Q77" s="10">
        <v>44202</v>
      </c>
      <c r="R77" s="6">
        <v>27895</v>
      </c>
      <c r="S77" s="1" t="s">
        <v>187</v>
      </c>
      <c r="T77" s="1" t="s">
        <v>414</v>
      </c>
    </row>
    <row r="78" spans="1:20" x14ac:dyDescent="0.25">
      <c r="A78" s="1" t="s">
        <v>415</v>
      </c>
      <c r="B78" s="1" t="s">
        <v>122</v>
      </c>
      <c r="C78" s="1" t="s">
        <v>123</v>
      </c>
      <c r="D78" s="1" t="s">
        <v>337</v>
      </c>
      <c r="E78" s="1" t="s">
        <v>367</v>
      </c>
      <c r="F78" s="1" t="s">
        <v>125</v>
      </c>
      <c r="G78" s="1" t="s">
        <v>207</v>
      </c>
      <c r="H78" s="1" t="s">
        <v>183</v>
      </c>
      <c r="I78" s="1" t="s">
        <v>216</v>
      </c>
      <c r="J78" s="8">
        <v>16</v>
      </c>
      <c r="K78" s="8">
        <v>10</v>
      </c>
      <c r="L78" s="8">
        <f t="shared" si="1"/>
        <v>160</v>
      </c>
      <c r="M78" s="8">
        <v>1280</v>
      </c>
      <c r="N78" s="1" t="s">
        <v>177</v>
      </c>
      <c r="O78" s="1" t="s">
        <v>186</v>
      </c>
      <c r="P78" s="9">
        <v>4.5</v>
      </c>
      <c r="Q78" s="10">
        <v>45505</v>
      </c>
      <c r="R78" s="6">
        <v>5613</v>
      </c>
      <c r="S78" s="1" t="s">
        <v>194</v>
      </c>
      <c r="T78" s="1" t="s">
        <v>416</v>
      </c>
    </row>
    <row r="79" spans="1:20" x14ac:dyDescent="0.25">
      <c r="A79" s="1" t="s">
        <v>417</v>
      </c>
      <c r="B79" s="1" t="s">
        <v>122</v>
      </c>
      <c r="C79" s="1" t="s">
        <v>123</v>
      </c>
      <c r="D79" s="1" t="s">
        <v>328</v>
      </c>
      <c r="E79" s="1" t="s">
        <v>355</v>
      </c>
      <c r="F79" s="1" t="s">
        <v>120</v>
      </c>
      <c r="G79" s="1" t="s">
        <v>174</v>
      </c>
      <c r="H79" s="1" t="s">
        <v>183</v>
      </c>
      <c r="I79" s="1" t="s">
        <v>203</v>
      </c>
      <c r="J79" s="8">
        <v>16</v>
      </c>
      <c r="K79" s="8">
        <v>12</v>
      </c>
      <c r="L79" s="8">
        <f t="shared" si="1"/>
        <v>192</v>
      </c>
      <c r="M79" s="8">
        <v>768</v>
      </c>
      <c r="N79" s="1" t="s">
        <v>185</v>
      </c>
      <c r="O79" s="1" t="s">
        <v>186</v>
      </c>
      <c r="P79" s="9">
        <v>58.9</v>
      </c>
      <c r="Q79" s="10">
        <v>44869</v>
      </c>
      <c r="R79" s="6">
        <v>13203</v>
      </c>
      <c r="S79" s="1" t="s">
        <v>187</v>
      </c>
      <c r="T79" s="1" t="s">
        <v>418</v>
      </c>
    </row>
    <row r="80" spans="1:20" x14ac:dyDescent="0.25">
      <c r="A80" s="1" t="s">
        <v>419</v>
      </c>
      <c r="B80" s="1" t="s">
        <v>122</v>
      </c>
      <c r="C80" s="1" t="s">
        <v>123</v>
      </c>
      <c r="D80" s="1" t="s">
        <v>333</v>
      </c>
      <c r="E80" s="1" t="s">
        <v>420</v>
      </c>
      <c r="F80" s="1" t="s">
        <v>125</v>
      </c>
      <c r="G80" s="1" t="s">
        <v>191</v>
      </c>
      <c r="H80" s="1" t="s">
        <v>230</v>
      </c>
      <c r="I80" s="1" t="s">
        <v>203</v>
      </c>
      <c r="J80" s="8">
        <v>16</v>
      </c>
      <c r="K80" s="8">
        <v>12</v>
      </c>
      <c r="L80" s="8">
        <f t="shared" si="1"/>
        <v>192</v>
      </c>
      <c r="M80" s="8">
        <v>768</v>
      </c>
      <c r="N80" s="1" t="s">
        <v>185</v>
      </c>
      <c r="O80" s="1" t="s">
        <v>186</v>
      </c>
      <c r="P80" s="9">
        <v>50.9</v>
      </c>
      <c r="Q80" s="10">
        <v>44755</v>
      </c>
      <c r="R80" s="6">
        <v>10170</v>
      </c>
      <c r="S80" s="1" t="s">
        <v>194</v>
      </c>
      <c r="T80" s="1" t="s">
        <v>421</v>
      </c>
    </row>
    <row r="81" spans="1:20" x14ac:dyDescent="0.25">
      <c r="A81" s="1" t="s">
        <v>422</v>
      </c>
      <c r="B81" s="1" t="s">
        <v>122</v>
      </c>
      <c r="C81" s="1" t="s">
        <v>123</v>
      </c>
      <c r="D81" s="1" t="s">
        <v>333</v>
      </c>
      <c r="E81" s="1" t="s">
        <v>346</v>
      </c>
      <c r="F81" s="1" t="s">
        <v>125</v>
      </c>
      <c r="G81" s="1" t="s">
        <v>207</v>
      </c>
      <c r="H81" s="1" t="s">
        <v>183</v>
      </c>
      <c r="I81" s="1" t="s">
        <v>216</v>
      </c>
      <c r="J81" s="8">
        <v>16</v>
      </c>
      <c r="K81" s="8">
        <v>2</v>
      </c>
      <c r="L81" s="8">
        <f t="shared" si="1"/>
        <v>32</v>
      </c>
      <c r="M81" s="8">
        <v>256</v>
      </c>
      <c r="N81" s="1" t="s">
        <v>217</v>
      </c>
      <c r="O81" s="1" t="s">
        <v>186</v>
      </c>
      <c r="P81" s="9">
        <v>88</v>
      </c>
      <c r="Q81" s="10">
        <v>45056</v>
      </c>
      <c r="R81" s="6">
        <v>1080</v>
      </c>
      <c r="S81" s="1" t="s">
        <v>178</v>
      </c>
      <c r="T81" s="1" t="s">
        <v>423</v>
      </c>
    </row>
    <row r="82" spans="1:20" x14ac:dyDescent="0.25">
      <c r="A82" s="1" t="s">
        <v>424</v>
      </c>
      <c r="B82" s="1" t="s">
        <v>122</v>
      </c>
      <c r="C82" s="1" t="s">
        <v>123</v>
      </c>
      <c r="D82" s="1" t="s">
        <v>328</v>
      </c>
      <c r="E82" s="1" t="s">
        <v>425</v>
      </c>
      <c r="F82" s="1" t="s">
        <v>120</v>
      </c>
      <c r="G82" s="1" t="s">
        <v>191</v>
      </c>
      <c r="H82" s="1" t="s">
        <v>230</v>
      </c>
      <c r="I82" s="1" t="s">
        <v>330</v>
      </c>
      <c r="J82" s="8">
        <v>32</v>
      </c>
      <c r="K82" s="8">
        <v>4</v>
      </c>
      <c r="L82" s="8">
        <f t="shared" si="1"/>
        <v>128</v>
      </c>
      <c r="M82" s="8">
        <v>1024</v>
      </c>
      <c r="N82" s="1" t="s">
        <v>217</v>
      </c>
      <c r="O82" s="1" t="s">
        <v>186</v>
      </c>
      <c r="P82" s="9">
        <v>54.2</v>
      </c>
      <c r="Q82" s="10">
        <v>44352</v>
      </c>
      <c r="R82" s="6">
        <v>3700</v>
      </c>
      <c r="S82" s="1" t="s">
        <v>187</v>
      </c>
      <c r="T82" s="1" t="s">
        <v>426</v>
      </c>
    </row>
    <row r="83" spans="1:20" x14ac:dyDescent="0.25">
      <c r="A83" s="1" t="s">
        <v>427</v>
      </c>
      <c r="B83" s="1" t="s">
        <v>122</v>
      </c>
      <c r="C83" s="1" t="s">
        <v>123</v>
      </c>
      <c r="D83" s="1" t="s">
        <v>333</v>
      </c>
      <c r="E83" s="1" t="s">
        <v>346</v>
      </c>
      <c r="F83" s="1" t="s">
        <v>125</v>
      </c>
      <c r="G83" s="1" t="s">
        <v>174</v>
      </c>
      <c r="H83" s="1" t="s">
        <v>183</v>
      </c>
      <c r="I83" s="1" t="s">
        <v>259</v>
      </c>
      <c r="J83" s="8">
        <v>64</v>
      </c>
      <c r="K83" s="8">
        <v>8</v>
      </c>
      <c r="L83" s="8">
        <f t="shared" si="1"/>
        <v>512</v>
      </c>
      <c r="M83" s="8">
        <v>4096</v>
      </c>
      <c r="N83" s="1" t="s">
        <v>185</v>
      </c>
      <c r="O83" s="1" t="s">
        <v>186</v>
      </c>
      <c r="P83" s="9">
        <v>61.1</v>
      </c>
      <c r="Q83" s="10">
        <v>44967</v>
      </c>
      <c r="R83" s="6">
        <v>30528</v>
      </c>
      <c r="S83" s="1" t="s">
        <v>178</v>
      </c>
      <c r="T83" s="1" t="s">
        <v>428</v>
      </c>
    </row>
    <row r="84" spans="1:20" x14ac:dyDescent="0.25">
      <c r="A84" s="1" t="s">
        <v>429</v>
      </c>
      <c r="B84" s="1" t="s">
        <v>122</v>
      </c>
      <c r="C84" s="1" t="s">
        <v>123</v>
      </c>
      <c r="D84" s="1" t="s">
        <v>337</v>
      </c>
      <c r="E84" s="1" t="s">
        <v>430</v>
      </c>
      <c r="F84" s="1" t="s">
        <v>125</v>
      </c>
      <c r="G84" s="1" t="s">
        <v>174</v>
      </c>
      <c r="H84" s="1" t="s">
        <v>175</v>
      </c>
      <c r="I84" s="1" t="s">
        <v>176</v>
      </c>
      <c r="J84" s="8">
        <v>0</v>
      </c>
      <c r="K84" s="8">
        <v>1</v>
      </c>
      <c r="L84" s="8">
        <f t="shared" si="1"/>
        <v>0</v>
      </c>
      <c r="M84" s="8">
        <v>0</v>
      </c>
      <c r="N84" s="1" t="s">
        <v>217</v>
      </c>
      <c r="O84" s="1" t="s">
        <v>176</v>
      </c>
      <c r="P84" s="9">
        <v>9.5</v>
      </c>
      <c r="Q84" s="10">
        <v>44843</v>
      </c>
      <c r="R84" s="6">
        <v>2278</v>
      </c>
      <c r="S84" s="1" t="s">
        <v>194</v>
      </c>
      <c r="T84" s="1" t="s">
        <v>431</v>
      </c>
    </row>
    <row r="85" spans="1:20" x14ac:dyDescent="0.25">
      <c r="A85" s="1" t="s">
        <v>432</v>
      </c>
      <c r="B85" s="1" t="s">
        <v>122</v>
      </c>
      <c r="C85" s="1" t="s">
        <v>123</v>
      </c>
      <c r="D85" s="1" t="s">
        <v>333</v>
      </c>
      <c r="E85" s="1" t="s">
        <v>349</v>
      </c>
      <c r="F85" s="1" t="s">
        <v>125</v>
      </c>
      <c r="G85" s="1" t="s">
        <v>207</v>
      </c>
      <c r="H85" s="1" t="s">
        <v>183</v>
      </c>
      <c r="I85" s="1" t="s">
        <v>184</v>
      </c>
      <c r="J85" s="8">
        <v>8</v>
      </c>
      <c r="K85" s="8">
        <v>24</v>
      </c>
      <c r="L85" s="8">
        <f t="shared" si="1"/>
        <v>192</v>
      </c>
      <c r="M85" s="8">
        <v>768</v>
      </c>
      <c r="N85" s="1" t="s">
        <v>177</v>
      </c>
      <c r="O85" s="1" t="s">
        <v>186</v>
      </c>
      <c r="P85" s="9">
        <v>19.100000000000001</v>
      </c>
      <c r="Q85" s="10">
        <v>44534</v>
      </c>
      <c r="R85" s="6">
        <v>6928</v>
      </c>
      <c r="S85" s="1" t="s">
        <v>194</v>
      </c>
      <c r="T85" s="1" t="s">
        <v>433</v>
      </c>
    </row>
    <row r="86" spans="1:20" x14ac:dyDescent="0.25">
      <c r="A86" s="1" t="s">
        <v>434</v>
      </c>
      <c r="B86" s="1" t="s">
        <v>127</v>
      </c>
      <c r="C86" s="1" t="s">
        <v>128</v>
      </c>
      <c r="D86" s="1" t="s">
        <v>435</v>
      </c>
      <c r="E86" s="1" t="s">
        <v>436</v>
      </c>
      <c r="F86" s="1" t="s">
        <v>130</v>
      </c>
      <c r="G86" s="1" t="s">
        <v>191</v>
      </c>
      <c r="H86" s="1" t="s">
        <v>175</v>
      </c>
      <c r="I86" s="1" t="s">
        <v>176</v>
      </c>
      <c r="J86" s="8">
        <v>0</v>
      </c>
      <c r="K86" s="8">
        <v>2</v>
      </c>
      <c r="L86" s="8">
        <f t="shared" si="1"/>
        <v>0</v>
      </c>
      <c r="M86" s="8">
        <v>0</v>
      </c>
      <c r="N86" s="1" t="s">
        <v>185</v>
      </c>
      <c r="O86" s="1" t="s">
        <v>176</v>
      </c>
      <c r="P86" s="9">
        <v>52.5</v>
      </c>
      <c r="Q86" s="10">
        <v>45061</v>
      </c>
      <c r="R86" s="6">
        <v>4821</v>
      </c>
      <c r="S86" s="1" t="s">
        <v>187</v>
      </c>
      <c r="T86" s="1" t="s">
        <v>437</v>
      </c>
    </row>
    <row r="87" spans="1:20" x14ac:dyDescent="0.25">
      <c r="A87" s="1" t="s">
        <v>438</v>
      </c>
      <c r="B87" s="1" t="s">
        <v>127</v>
      </c>
      <c r="C87" s="1" t="s">
        <v>128</v>
      </c>
      <c r="D87" s="1" t="s">
        <v>435</v>
      </c>
      <c r="E87" s="1" t="s">
        <v>439</v>
      </c>
      <c r="F87" s="1" t="s">
        <v>130</v>
      </c>
      <c r="G87" s="1" t="s">
        <v>191</v>
      </c>
      <c r="H87" s="1" t="s">
        <v>242</v>
      </c>
      <c r="I87" s="1" t="s">
        <v>192</v>
      </c>
      <c r="J87" s="8">
        <v>16</v>
      </c>
      <c r="K87" s="8">
        <v>8</v>
      </c>
      <c r="L87" s="8">
        <f t="shared" si="1"/>
        <v>128</v>
      </c>
      <c r="M87" s="8">
        <v>1024</v>
      </c>
      <c r="N87" s="1" t="s">
        <v>177</v>
      </c>
      <c r="O87" s="1" t="s">
        <v>193</v>
      </c>
      <c r="P87" s="9">
        <v>7.3</v>
      </c>
      <c r="Q87" s="10">
        <v>45770</v>
      </c>
      <c r="R87" s="6">
        <v>6144</v>
      </c>
      <c r="S87" s="1" t="s">
        <v>194</v>
      </c>
      <c r="T87" s="1" t="s">
        <v>440</v>
      </c>
    </row>
    <row r="88" spans="1:20" x14ac:dyDescent="0.25">
      <c r="A88" s="1" t="s">
        <v>441</v>
      </c>
      <c r="B88" s="1" t="s">
        <v>127</v>
      </c>
      <c r="C88" s="1" t="s">
        <v>128</v>
      </c>
      <c r="D88" s="1" t="s">
        <v>435</v>
      </c>
      <c r="E88" s="1" t="s">
        <v>442</v>
      </c>
      <c r="F88" s="1" t="s">
        <v>130</v>
      </c>
      <c r="G88" s="1" t="s">
        <v>174</v>
      </c>
      <c r="H88" s="1" t="s">
        <v>183</v>
      </c>
      <c r="I88" s="1" t="s">
        <v>359</v>
      </c>
      <c r="J88" s="8">
        <v>96</v>
      </c>
      <c r="K88" s="8">
        <v>8</v>
      </c>
      <c r="L88" s="8">
        <f t="shared" si="1"/>
        <v>768</v>
      </c>
      <c r="M88" s="8">
        <v>15200</v>
      </c>
      <c r="N88" s="1" t="s">
        <v>185</v>
      </c>
      <c r="O88" s="1" t="s">
        <v>186</v>
      </c>
      <c r="P88" s="9">
        <v>64.3</v>
      </c>
      <c r="Q88" s="10">
        <v>45433</v>
      </c>
      <c r="R88" s="6">
        <v>264201</v>
      </c>
      <c r="S88" s="1" t="s">
        <v>194</v>
      </c>
      <c r="T88" s="1" t="s">
        <v>443</v>
      </c>
    </row>
    <row r="89" spans="1:20" x14ac:dyDescent="0.25">
      <c r="A89" s="1" t="s">
        <v>444</v>
      </c>
      <c r="B89" s="1" t="s">
        <v>127</v>
      </c>
      <c r="C89" s="1" t="s">
        <v>128</v>
      </c>
      <c r="D89" s="1" t="s">
        <v>445</v>
      </c>
      <c r="E89" s="1" t="s">
        <v>446</v>
      </c>
      <c r="F89" s="1" t="s">
        <v>130</v>
      </c>
      <c r="G89" s="1" t="s">
        <v>191</v>
      </c>
      <c r="H89" s="1" t="s">
        <v>242</v>
      </c>
      <c r="I89" s="1" t="s">
        <v>208</v>
      </c>
      <c r="J89" s="8">
        <v>128</v>
      </c>
      <c r="K89" s="8">
        <v>2</v>
      </c>
      <c r="L89" s="8">
        <f t="shared" si="1"/>
        <v>256</v>
      </c>
      <c r="M89" s="8">
        <v>7784</v>
      </c>
      <c r="N89" s="1" t="s">
        <v>185</v>
      </c>
      <c r="O89" s="1" t="s">
        <v>193</v>
      </c>
      <c r="P89" s="9">
        <v>63</v>
      </c>
      <c r="Q89" s="10">
        <v>45613</v>
      </c>
      <c r="R89" s="6">
        <v>19641</v>
      </c>
      <c r="S89" s="1" t="s">
        <v>178</v>
      </c>
      <c r="T89" s="1" t="s">
        <v>447</v>
      </c>
    </row>
    <row r="90" spans="1:20" x14ac:dyDescent="0.25">
      <c r="A90" s="1" t="s">
        <v>448</v>
      </c>
      <c r="B90" s="1" t="s">
        <v>127</v>
      </c>
      <c r="C90" s="1" t="s">
        <v>128</v>
      </c>
      <c r="D90" s="1" t="s">
        <v>449</v>
      </c>
      <c r="E90" s="1" t="s">
        <v>450</v>
      </c>
      <c r="F90" s="1" t="s">
        <v>451</v>
      </c>
      <c r="G90" s="1" t="s">
        <v>191</v>
      </c>
      <c r="H90" s="1" t="s">
        <v>183</v>
      </c>
      <c r="I90" s="1" t="s">
        <v>452</v>
      </c>
      <c r="J90" s="8">
        <v>176</v>
      </c>
      <c r="K90" s="8">
        <v>8</v>
      </c>
      <c r="L90" s="8">
        <f t="shared" si="1"/>
        <v>1408</v>
      </c>
      <c r="M90" s="8">
        <v>6144</v>
      </c>
      <c r="N90" s="1" t="s">
        <v>177</v>
      </c>
      <c r="O90" s="1" t="s">
        <v>186</v>
      </c>
      <c r="P90" s="9">
        <v>17</v>
      </c>
      <c r="Q90" s="10">
        <v>45446</v>
      </c>
      <c r="R90" s="6">
        <v>63175</v>
      </c>
      <c r="S90" s="1" t="s">
        <v>178</v>
      </c>
      <c r="T90" s="1" t="s">
        <v>453</v>
      </c>
    </row>
    <row r="91" spans="1:20" x14ac:dyDescent="0.25">
      <c r="A91" s="1" t="s">
        <v>454</v>
      </c>
      <c r="B91" s="1" t="s">
        <v>127</v>
      </c>
      <c r="C91" s="1" t="s">
        <v>128</v>
      </c>
      <c r="D91" s="1" t="s">
        <v>445</v>
      </c>
      <c r="E91" s="1" t="s">
        <v>455</v>
      </c>
      <c r="F91" s="1" t="s">
        <v>130</v>
      </c>
      <c r="G91" s="1" t="s">
        <v>191</v>
      </c>
      <c r="H91" s="1" t="s">
        <v>198</v>
      </c>
      <c r="I91" s="1" t="s">
        <v>176</v>
      </c>
      <c r="J91" s="8">
        <v>0</v>
      </c>
      <c r="K91" s="8">
        <v>1</v>
      </c>
      <c r="L91" s="8">
        <f t="shared" si="1"/>
        <v>0</v>
      </c>
      <c r="M91" s="8">
        <v>0</v>
      </c>
      <c r="N91" s="1" t="s">
        <v>185</v>
      </c>
      <c r="O91" s="1" t="s">
        <v>176</v>
      </c>
      <c r="P91" s="9">
        <v>32.9</v>
      </c>
      <c r="Q91" s="10">
        <v>44235</v>
      </c>
      <c r="R91" s="6">
        <v>345</v>
      </c>
      <c r="S91" s="1" t="s">
        <v>187</v>
      </c>
      <c r="T91" s="1" t="s">
        <v>456</v>
      </c>
    </row>
    <row r="92" spans="1:20" x14ac:dyDescent="0.25">
      <c r="A92" s="1" t="s">
        <v>457</v>
      </c>
      <c r="B92" s="1" t="s">
        <v>127</v>
      </c>
      <c r="C92" s="1" t="s">
        <v>128</v>
      </c>
      <c r="D92" s="1" t="s">
        <v>445</v>
      </c>
      <c r="E92" s="1" t="s">
        <v>458</v>
      </c>
      <c r="F92" s="1" t="s">
        <v>125</v>
      </c>
      <c r="G92" s="1" t="s">
        <v>191</v>
      </c>
      <c r="H92" s="1" t="s">
        <v>183</v>
      </c>
      <c r="I92" s="1" t="s">
        <v>330</v>
      </c>
      <c r="J92" s="8">
        <v>32</v>
      </c>
      <c r="K92" s="8">
        <v>6</v>
      </c>
      <c r="L92" s="8">
        <f t="shared" si="1"/>
        <v>192</v>
      </c>
      <c r="M92" s="8">
        <v>1536</v>
      </c>
      <c r="N92" s="1" t="s">
        <v>217</v>
      </c>
      <c r="O92" s="1" t="s">
        <v>186</v>
      </c>
      <c r="P92" s="9">
        <v>77.3</v>
      </c>
      <c r="Q92" s="10">
        <v>44698</v>
      </c>
      <c r="R92" s="6">
        <v>5916</v>
      </c>
      <c r="S92" s="1" t="s">
        <v>187</v>
      </c>
      <c r="T92" s="1" t="s">
        <v>459</v>
      </c>
    </row>
    <row r="93" spans="1:20" x14ac:dyDescent="0.25">
      <c r="A93" s="1" t="s">
        <v>460</v>
      </c>
      <c r="B93" s="1" t="s">
        <v>127</v>
      </c>
      <c r="C93" s="1" t="s">
        <v>128</v>
      </c>
      <c r="D93" s="1" t="s">
        <v>449</v>
      </c>
      <c r="E93" s="1" t="s">
        <v>461</v>
      </c>
      <c r="F93" s="1" t="s">
        <v>451</v>
      </c>
      <c r="G93" s="1" t="s">
        <v>174</v>
      </c>
      <c r="H93" s="1" t="s">
        <v>221</v>
      </c>
      <c r="I93" s="1" t="s">
        <v>289</v>
      </c>
      <c r="J93" s="8">
        <v>32</v>
      </c>
      <c r="K93" s="8">
        <v>4</v>
      </c>
      <c r="L93" s="8">
        <f t="shared" si="1"/>
        <v>128</v>
      </c>
      <c r="M93" s="8">
        <v>512</v>
      </c>
      <c r="N93" s="1" t="s">
        <v>217</v>
      </c>
      <c r="O93" s="1" t="s">
        <v>186</v>
      </c>
      <c r="P93" s="9">
        <v>45.4</v>
      </c>
      <c r="Q93" s="10">
        <v>45310</v>
      </c>
      <c r="R93" s="6">
        <v>4870</v>
      </c>
      <c r="S93" s="1" t="s">
        <v>194</v>
      </c>
      <c r="T93" s="1" t="s">
        <v>462</v>
      </c>
    </row>
    <row r="94" spans="1:20" x14ac:dyDescent="0.25">
      <c r="A94" s="1" t="s">
        <v>463</v>
      </c>
      <c r="B94" s="1" t="s">
        <v>127</v>
      </c>
      <c r="C94" s="1" t="s">
        <v>128</v>
      </c>
      <c r="D94" s="1" t="s">
        <v>435</v>
      </c>
      <c r="E94" s="1" t="s">
        <v>464</v>
      </c>
      <c r="F94" s="1" t="s">
        <v>451</v>
      </c>
      <c r="G94" s="1" t="s">
        <v>207</v>
      </c>
      <c r="H94" s="1" t="s">
        <v>230</v>
      </c>
      <c r="I94" s="1" t="s">
        <v>452</v>
      </c>
      <c r="J94" s="8">
        <v>176</v>
      </c>
      <c r="K94" s="8">
        <v>4</v>
      </c>
      <c r="L94" s="8">
        <f t="shared" si="1"/>
        <v>704</v>
      </c>
      <c r="M94" s="8">
        <v>3072</v>
      </c>
      <c r="N94" s="1" t="s">
        <v>217</v>
      </c>
      <c r="O94" s="1" t="s">
        <v>186</v>
      </c>
      <c r="P94" s="9">
        <v>63.9</v>
      </c>
      <c r="Q94" s="10">
        <v>44932</v>
      </c>
      <c r="R94" s="6">
        <v>27618</v>
      </c>
      <c r="S94" s="1" t="s">
        <v>194</v>
      </c>
      <c r="T94" s="1" t="s">
        <v>465</v>
      </c>
    </row>
    <row r="95" spans="1:20" x14ac:dyDescent="0.25">
      <c r="A95" s="1" t="s">
        <v>466</v>
      </c>
      <c r="B95" s="1" t="s">
        <v>127</v>
      </c>
      <c r="C95" s="1" t="s">
        <v>128</v>
      </c>
      <c r="D95" s="1" t="s">
        <v>445</v>
      </c>
      <c r="E95" s="1" t="s">
        <v>467</v>
      </c>
      <c r="F95" s="1" t="s">
        <v>451</v>
      </c>
      <c r="G95" s="1" t="s">
        <v>207</v>
      </c>
      <c r="H95" s="1" t="s">
        <v>183</v>
      </c>
      <c r="I95" s="1" t="s">
        <v>203</v>
      </c>
      <c r="J95" s="8">
        <v>16</v>
      </c>
      <c r="K95" s="8">
        <v>4</v>
      </c>
      <c r="L95" s="8">
        <f t="shared" si="1"/>
        <v>64</v>
      </c>
      <c r="M95" s="8">
        <v>256</v>
      </c>
      <c r="N95" s="1" t="s">
        <v>217</v>
      </c>
      <c r="O95" s="1" t="s">
        <v>186</v>
      </c>
      <c r="P95" s="9">
        <v>20.7</v>
      </c>
      <c r="Q95" s="10">
        <v>45586</v>
      </c>
      <c r="R95" s="6">
        <v>2337</v>
      </c>
      <c r="S95" s="1" t="s">
        <v>194</v>
      </c>
      <c r="T95" s="1" t="s">
        <v>468</v>
      </c>
    </row>
    <row r="96" spans="1:20" x14ac:dyDescent="0.25">
      <c r="A96" s="1" t="s">
        <v>469</v>
      </c>
      <c r="B96" s="1" t="s">
        <v>127</v>
      </c>
      <c r="C96" s="1" t="s">
        <v>128</v>
      </c>
      <c r="D96" s="1" t="s">
        <v>445</v>
      </c>
      <c r="E96" s="1" t="s">
        <v>470</v>
      </c>
      <c r="F96" s="1" t="s">
        <v>130</v>
      </c>
      <c r="G96" s="1" t="s">
        <v>174</v>
      </c>
      <c r="H96" s="1" t="s">
        <v>230</v>
      </c>
      <c r="I96" s="1" t="s">
        <v>259</v>
      </c>
      <c r="J96" s="8">
        <v>64</v>
      </c>
      <c r="K96" s="8">
        <v>4</v>
      </c>
      <c r="L96" s="8">
        <f t="shared" si="1"/>
        <v>256</v>
      </c>
      <c r="M96" s="8">
        <v>2048</v>
      </c>
      <c r="N96" s="1" t="s">
        <v>177</v>
      </c>
      <c r="O96" s="1" t="s">
        <v>186</v>
      </c>
      <c r="P96" s="9">
        <v>10.6</v>
      </c>
      <c r="Q96" s="10">
        <v>44380</v>
      </c>
      <c r="R96" s="6">
        <v>11442</v>
      </c>
      <c r="S96" s="1" t="s">
        <v>194</v>
      </c>
      <c r="T96" s="1" t="s">
        <v>471</v>
      </c>
    </row>
    <row r="97" spans="1:20" x14ac:dyDescent="0.25">
      <c r="A97" s="1" t="s">
        <v>472</v>
      </c>
      <c r="B97" s="1" t="s">
        <v>127</v>
      </c>
      <c r="C97" s="1" t="s">
        <v>128</v>
      </c>
      <c r="D97" s="1" t="s">
        <v>435</v>
      </c>
      <c r="E97" s="1" t="s">
        <v>473</v>
      </c>
      <c r="F97" s="1" t="s">
        <v>451</v>
      </c>
      <c r="G97" s="1" t="s">
        <v>174</v>
      </c>
      <c r="H97" s="1" t="s">
        <v>175</v>
      </c>
      <c r="I97" s="1" t="s">
        <v>176</v>
      </c>
      <c r="J97" s="8">
        <v>0</v>
      </c>
      <c r="K97" s="8">
        <v>1</v>
      </c>
      <c r="L97" s="8">
        <f t="shared" si="1"/>
        <v>0</v>
      </c>
      <c r="M97" s="8">
        <v>0</v>
      </c>
      <c r="N97" s="1" t="s">
        <v>185</v>
      </c>
      <c r="O97" s="1" t="s">
        <v>176</v>
      </c>
      <c r="P97" s="9">
        <v>47.6</v>
      </c>
      <c r="Q97" s="10">
        <v>44699</v>
      </c>
      <c r="R97" s="6">
        <v>4735</v>
      </c>
      <c r="S97" s="1" t="s">
        <v>178</v>
      </c>
      <c r="T97" s="1" t="s">
        <v>474</v>
      </c>
    </row>
    <row r="98" spans="1:20" x14ac:dyDescent="0.25">
      <c r="A98" s="1" t="s">
        <v>475</v>
      </c>
      <c r="B98" s="1" t="s">
        <v>127</v>
      </c>
      <c r="C98" s="1" t="s">
        <v>128</v>
      </c>
      <c r="D98" s="1" t="s">
        <v>449</v>
      </c>
      <c r="E98" s="1" t="s">
        <v>476</v>
      </c>
      <c r="F98" s="1" t="s">
        <v>130</v>
      </c>
      <c r="G98" s="1" t="s">
        <v>191</v>
      </c>
      <c r="H98" s="1" t="s">
        <v>230</v>
      </c>
      <c r="I98" s="1" t="s">
        <v>231</v>
      </c>
      <c r="J98" s="8">
        <v>32</v>
      </c>
      <c r="K98" s="8">
        <v>10</v>
      </c>
      <c r="L98" s="8">
        <f t="shared" si="1"/>
        <v>320</v>
      </c>
      <c r="M98" s="8">
        <v>640</v>
      </c>
      <c r="N98" s="1" t="s">
        <v>185</v>
      </c>
      <c r="O98" s="1" t="s">
        <v>186</v>
      </c>
      <c r="P98" s="9">
        <v>84.9</v>
      </c>
      <c r="Q98" s="10">
        <v>44511</v>
      </c>
      <c r="R98" s="6">
        <v>17155</v>
      </c>
      <c r="S98" s="1" t="s">
        <v>194</v>
      </c>
      <c r="T98" s="1" t="s">
        <v>477</v>
      </c>
    </row>
    <row r="99" spans="1:20" x14ac:dyDescent="0.25">
      <c r="A99" s="1" t="s">
        <v>478</v>
      </c>
      <c r="B99" s="1" t="s">
        <v>127</v>
      </c>
      <c r="C99" s="1" t="s">
        <v>128</v>
      </c>
      <c r="D99" s="1" t="s">
        <v>445</v>
      </c>
      <c r="E99" s="1" t="s">
        <v>479</v>
      </c>
      <c r="F99" s="1" t="s">
        <v>130</v>
      </c>
      <c r="G99" s="1" t="s">
        <v>207</v>
      </c>
      <c r="H99" s="1" t="s">
        <v>183</v>
      </c>
      <c r="I99" s="1" t="s">
        <v>192</v>
      </c>
      <c r="J99" s="8">
        <v>16</v>
      </c>
      <c r="K99" s="8">
        <v>4</v>
      </c>
      <c r="L99" s="8">
        <f t="shared" si="1"/>
        <v>64</v>
      </c>
      <c r="M99" s="8">
        <v>512</v>
      </c>
      <c r="N99" s="1" t="s">
        <v>185</v>
      </c>
      <c r="O99" s="1" t="s">
        <v>186</v>
      </c>
      <c r="P99" s="9">
        <v>36.9</v>
      </c>
      <c r="Q99" s="10">
        <v>44800</v>
      </c>
      <c r="R99" s="6">
        <v>4584</v>
      </c>
      <c r="S99" s="1" t="s">
        <v>187</v>
      </c>
      <c r="T99" s="1" t="s">
        <v>480</v>
      </c>
    </row>
    <row r="100" spans="1:20" x14ac:dyDescent="0.25">
      <c r="A100" s="1" t="s">
        <v>481</v>
      </c>
      <c r="B100" s="1" t="s">
        <v>127</v>
      </c>
      <c r="C100" s="1" t="s">
        <v>128</v>
      </c>
      <c r="D100" s="1" t="s">
        <v>445</v>
      </c>
      <c r="E100" s="1" t="s">
        <v>479</v>
      </c>
      <c r="F100" s="1" t="s">
        <v>130</v>
      </c>
      <c r="G100" s="1" t="s">
        <v>207</v>
      </c>
      <c r="H100" s="1" t="s">
        <v>183</v>
      </c>
      <c r="I100" s="1" t="s">
        <v>208</v>
      </c>
      <c r="J100" s="8">
        <v>128</v>
      </c>
      <c r="K100" s="8">
        <v>8</v>
      </c>
      <c r="L100" s="8">
        <f t="shared" si="1"/>
        <v>1024</v>
      </c>
      <c r="M100" s="8">
        <v>31136</v>
      </c>
      <c r="N100" s="1" t="s">
        <v>177</v>
      </c>
      <c r="O100" s="1" t="s">
        <v>186</v>
      </c>
      <c r="P100" s="9">
        <v>6.4</v>
      </c>
      <c r="Q100" s="10">
        <v>45732</v>
      </c>
      <c r="R100" s="6">
        <v>45723</v>
      </c>
      <c r="S100" s="1" t="s">
        <v>194</v>
      </c>
      <c r="T100" s="1" t="s">
        <v>482</v>
      </c>
    </row>
    <row r="101" spans="1:20" x14ac:dyDescent="0.25">
      <c r="A101" s="1" t="s">
        <v>483</v>
      </c>
      <c r="B101" s="1" t="s">
        <v>127</v>
      </c>
      <c r="C101" s="1" t="s">
        <v>128</v>
      </c>
      <c r="D101" s="1" t="s">
        <v>435</v>
      </c>
      <c r="E101" s="1" t="s">
        <v>484</v>
      </c>
      <c r="F101" s="1" t="s">
        <v>125</v>
      </c>
      <c r="G101" s="1" t="s">
        <v>191</v>
      </c>
      <c r="H101" s="1" t="s">
        <v>175</v>
      </c>
      <c r="I101" s="1" t="s">
        <v>176</v>
      </c>
      <c r="J101" s="8">
        <v>0</v>
      </c>
      <c r="K101" s="8">
        <v>2</v>
      </c>
      <c r="L101" s="8">
        <f t="shared" si="1"/>
        <v>0</v>
      </c>
      <c r="M101" s="8">
        <v>0</v>
      </c>
      <c r="N101" s="1" t="s">
        <v>177</v>
      </c>
      <c r="O101" s="1" t="s">
        <v>176</v>
      </c>
      <c r="P101" s="9">
        <v>14.3</v>
      </c>
      <c r="Q101" s="10">
        <v>45454</v>
      </c>
      <c r="R101" s="6">
        <v>747</v>
      </c>
      <c r="S101" s="1" t="s">
        <v>187</v>
      </c>
      <c r="T101" s="1" t="s">
        <v>485</v>
      </c>
    </row>
    <row r="102" spans="1:20" x14ac:dyDescent="0.25">
      <c r="A102" s="1" t="s">
        <v>486</v>
      </c>
      <c r="B102" s="1" t="s">
        <v>127</v>
      </c>
      <c r="C102" s="1" t="s">
        <v>128</v>
      </c>
      <c r="D102" s="1" t="s">
        <v>449</v>
      </c>
      <c r="E102" s="1" t="s">
        <v>487</v>
      </c>
      <c r="F102" s="1" t="s">
        <v>130</v>
      </c>
      <c r="G102" s="1" t="s">
        <v>174</v>
      </c>
      <c r="H102" s="1" t="s">
        <v>230</v>
      </c>
      <c r="I102" s="1" t="s">
        <v>330</v>
      </c>
      <c r="J102" s="8">
        <v>32</v>
      </c>
      <c r="K102" s="8">
        <v>2</v>
      </c>
      <c r="L102" s="8">
        <f t="shared" si="1"/>
        <v>64</v>
      </c>
      <c r="M102" s="8">
        <v>512</v>
      </c>
      <c r="N102" s="1" t="s">
        <v>177</v>
      </c>
      <c r="O102" s="1" t="s">
        <v>186</v>
      </c>
      <c r="P102" s="9">
        <v>21.1</v>
      </c>
      <c r="Q102" s="10">
        <v>44211</v>
      </c>
      <c r="R102" s="6">
        <v>3211</v>
      </c>
      <c r="S102" s="1" t="s">
        <v>194</v>
      </c>
      <c r="T102" s="1" t="s">
        <v>488</v>
      </c>
    </row>
    <row r="103" spans="1:20" x14ac:dyDescent="0.25">
      <c r="A103" s="1" t="s">
        <v>489</v>
      </c>
      <c r="B103" s="1" t="s">
        <v>127</v>
      </c>
      <c r="C103" s="1" t="s">
        <v>128</v>
      </c>
      <c r="D103" s="1" t="s">
        <v>435</v>
      </c>
      <c r="E103" s="1" t="s">
        <v>490</v>
      </c>
      <c r="F103" s="1" t="s">
        <v>130</v>
      </c>
      <c r="G103" s="1" t="s">
        <v>174</v>
      </c>
      <c r="H103" s="1" t="s">
        <v>183</v>
      </c>
      <c r="I103" s="1" t="s">
        <v>452</v>
      </c>
      <c r="J103" s="8">
        <v>176</v>
      </c>
      <c r="K103" s="8">
        <v>4</v>
      </c>
      <c r="L103" s="8">
        <f t="shared" si="1"/>
        <v>704</v>
      </c>
      <c r="M103" s="8">
        <v>3072</v>
      </c>
      <c r="N103" s="1" t="s">
        <v>185</v>
      </c>
      <c r="O103" s="1" t="s">
        <v>186</v>
      </c>
      <c r="P103" s="9">
        <v>36.299999999999997</v>
      </c>
      <c r="Q103" s="10">
        <v>44510</v>
      </c>
      <c r="R103" s="6">
        <v>36920</v>
      </c>
      <c r="S103" s="1" t="s">
        <v>194</v>
      </c>
      <c r="T103" s="1" t="s">
        <v>491</v>
      </c>
    </row>
    <row r="104" spans="1:20" x14ac:dyDescent="0.25">
      <c r="A104" s="1" t="s">
        <v>492</v>
      </c>
      <c r="B104" s="1" t="s">
        <v>127</v>
      </c>
      <c r="C104" s="1" t="s">
        <v>128</v>
      </c>
      <c r="D104" s="1" t="s">
        <v>435</v>
      </c>
      <c r="E104" s="1" t="s">
        <v>493</v>
      </c>
      <c r="F104" s="1" t="s">
        <v>130</v>
      </c>
      <c r="G104" s="1" t="s">
        <v>191</v>
      </c>
      <c r="H104" s="1" t="s">
        <v>175</v>
      </c>
      <c r="I104" s="1" t="s">
        <v>176</v>
      </c>
      <c r="J104" s="8">
        <v>0</v>
      </c>
      <c r="K104" s="8">
        <v>3</v>
      </c>
      <c r="L104" s="8">
        <f t="shared" si="1"/>
        <v>0</v>
      </c>
      <c r="M104" s="8">
        <v>0</v>
      </c>
      <c r="N104" s="1" t="s">
        <v>185</v>
      </c>
      <c r="O104" s="1" t="s">
        <v>176</v>
      </c>
      <c r="P104" s="9">
        <v>50.1</v>
      </c>
      <c r="Q104" s="10">
        <v>44828</v>
      </c>
      <c r="R104" s="6">
        <v>1890</v>
      </c>
      <c r="S104" s="1" t="s">
        <v>187</v>
      </c>
      <c r="T104" s="1" t="s">
        <v>494</v>
      </c>
    </row>
    <row r="105" spans="1:20" x14ac:dyDescent="0.25">
      <c r="A105" s="1" t="s">
        <v>495</v>
      </c>
      <c r="B105" s="1" t="s">
        <v>127</v>
      </c>
      <c r="C105" s="1" t="s">
        <v>128</v>
      </c>
      <c r="D105" s="1" t="s">
        <v>445</v>
      </c>
      <c r="E105" s="1" t="s">
        <v>436</v>
      </c>
      <c r="F105" s="1" t="s">
        <v>130</v>
      </c>
      <c r="G105" s="1" t="s">
        <v>207</v>
      </c>
      <c r="H105" s="1" t="s">
        <v>175</v>
      </c>
      <c r="I105" s="1" t="s">
        <v>176</v>
      </c>
      <c r="J105" s="8">
        <v>0</v>
      </c>
      <c r="K105" s="8">
        <v>3</v>
      </c>
      <c r="L105" s="8">
        <f t="shared" si="1"/>
        <v>0</v>
      </c>
      <c r="M105" s="8">
        <v>0</v>
      </c>
      <c r="N105" s="1" t="s">
        <v>185</v>
      </c>
      <c r="O105" s="1" t="s">
        <v>176</v>
      </c>
      <c r="P105" s="9">
        <v>38.6</v>
      </c>
      <c r="Q105" s="10">
        <v>45620</v>
      </c>
      <c r="R105" s="6">
        <v>2899</v>
      </c>
      <c r="S105" s="1" t="s">
        <v>187</v>
      </c>
      <c r="T105" s="1" t="s">
        <v>496</v>
      </c>
    </row>
    <row r="106" spans="1:20" x14ac:dyDescent="0.25">
      <c r="A106" s="1" t="s">
        <v>497</v>
      </c>
      <c r="B106" s="1" t="s">
        <v>127</v>
      </c>
      <c r="C106" s="1" t="s">
        <v>128</v>
      </c>
      <c r="D106" s="1" t="s">
        <v>445</v>
      </c>
      <c r="E106" s="1" t="s">
        <v>498</v>
      </c>
      <c r="F106" s="1" t="s">
        <v>125</v>
      </c>
      <c r="G106" s="1" t="s">
        <v>174</v>
      </c>
      <c r="H106" s="1" t="s">
        <v>183</v>
      </c>
      <c r="I106" s="1" t="s">
        <v>192</v>
      </c>
      <c r="J106" s="8">
        <v>16</v>
      </c>
      <c r="K106" s="8">
        <v>20</v>
      </c>
      <c r="L106" s="8">
        <f t="shared" si="1"/>
        <v>320</v>
      </c>
      <c r="M106" s="8">
        <v>2560</v>
      </c>
      <c r="N106" s="1" t="s">
        <v>177</v>
      </c>
      <c r="O106" s="1" t="s">
        <v>186</v>
      </c>
      <c r="P106" s="9">
        <v>20.7</v>
      </c>
      <c r="Q106" s="10">
        <v>45179</v>
      </c>
      <c r="R106" s="6">
        <v>10990</v>
      </c>
      <c r="S106" s="1" t="s">
        <v>178</v>
      </c>
      <c r="T106" s="1" t="s">
        <v>499</v>
      </c>
    </row>
    <row r="107" spans="1:20" x14ac:dyDescent="0.25">
      <c r="A107" s="1" t="s">
        <v>500</v>
      </c>
      <c r="B107" s="1" t="s">
        <v>127</v>
      </c>
      <c r="C107" s="1" t="s">
        <v>128</v>
      </c>
      <c r="D107" s="1" t="s">
        <v>435</v>
      </c>
      <c r="E107" s="1" t="s">
        <v>479</v>
      </c>
      <c r="F107" s="1" t="s">
        <v>130</v>
      </c>
      <c r="G107" s="1" t="s">
        <v>207</v>
      </c>
      <c r="H107" s="1" t="s">
        <v>183</v>
      </c>
      <c r="I107" s="1" t="s">
        <v>203</v>
      </c>
      <c r="J107" s="8">
        <v>16</v>
      </c>
      <c r="K107" s="8">
        <v>24</v>
      </c>
      <c r="L107" s="8">
        <f t="shared" si="1"/>
        <v>384</v>
      </c>
      <c r="M107" s="8">
        <v>1536</v>
      </c>
      <c r="N107" s="1" t="s">
        <v>217</v>
      </c>
      <c r="O107" s="1" t="s">
        <v>186</v>
      </c>
      <c r="P107" s="9">
        <v>62.7</v>
      </c>
      <c r="Q107" s="10">
        <v>45382</v>
      </c>
      <c r="R107" s="6">
        <v>13135</v>
      </c>
      <c r="S107" s="1" t="s">
        <v>194</v>
      </c>
      <c r="T107" s="1" t="s">
        <v>501</v>
      </c>
    </row>
    <row r="108" spans="1:20" x14ac:dyDescent="0.25">
      <c r="A108" s="1" t="s">
        <v>502</v>
      </c>
      <c r="B108" s="1" t="s">
        <v>127</v>
      </c>
      <c r="C108" s="1" t="s">
        <v>128</v>
      </c>
      <c r="D108" s="1" t="s">
        <v>435</v>
      </c>
      <c r="E108" s="1" t="s">
        <v>503</v>
      </c>
      <c r="F108" s="1" t="s">
        <v>130</v>
      </c>
      <c r="G108" s="1" t="s">
        <v>174</v>
      </c>
      <c r="H108" s="1" t="s">
        <v>183</v>
      </c>
      <c r="I108" s="1" t="s">
        <v>282</v>
      </c>
      <c r="J108" s="8">
        <v>32</v>
      </c>
      <c r="K108" s="8">
        <v>4</v>
      </c>
      <c r="L108" s="8">
        <f t="shared" si="1"/>
        <v>128</v>
      </c>
      <c r="M108" s="8">
        <v>1024</v>
      </c>
      <c r="N108" s="1" t="s">
        <v>177</v>
      </c>
      <c r="O108" s="1" t="s">
        <v>186</v>
      </c>
      <c r="P108" s="9">
        <v>13.7</v>
      </c>
      <c r="Q108" s="10">
        <v>45231</v>
      </c>
      <c r="R108" s="6">
        <v>6313</v>
      </c>
      <c r="S108" s="1" t="s">
        <v>194</v>
      </c>
      <c r="T108" s="1" t="s">
        <v>504</v>
      </c>
    </row>
    <row r="109" spans="1:20" x14ac:dyDescent="0.25">
      <c r="A109" s="1" t="s">
        <v>505</v>
      </c>
      <c r="B109" s="1" t="s">
        <v>127</v>
      </c>
      <c r="C109" s="1" t="s">
        <v>128</v>
      </c>
      <c r="D109" s="1" t="s">
        <v>449</v>
      </c>
      <c r="E109" s="1" t="s">
        <v>479</v>
      </c>
      <c r="F109" s="1" t="s">
        <v>130</v>
      </c>
      <c r="G109" s="1" t="s">
        <v>207</v>
      </c>
      <c r="H109" s="1" t="s">
        <v>183</v>
      </c>
      <c r="I109" s="1" t="s">
        <v>208</v>
      </c>
      <c r="J109" s="8">
        <v>128</v>
      </c>
      <c r="K109" s="8">
        <v>4</v>
      </c>
      <c r="L109" s="8">
        <f t="shared" si="1"/>
        <v>512</v>
      </c>
      <c r="M109" s="8">
        <v>15568</v>
      </c>
      <c r="N109" s="1" t="s">
        <v>185</v>
      </c>
      <c r="O109" s="1" t="s">
        <v>186</v>
      </c>
      <c r="P109" s="9">
        <v>29.7</v>
      </c>
      <c r="Q109" s="10">
        <v>45313</v>
      </c>
      <c r="R109" s="6">
        <v>32332</v>
      </c>
      <c r="S109" s="1" t="s">
        <v>178</v>
      </c>
      <c r="T109" s="1" t="s">
        <v>506</v>
      </c>
    </row>
    <row r="110" spans="1:20" x14ac:dyDescent="0.25">
      <c r="A110" s="1" t="s">
        <v>507</v>
      </c>
      <c r="B110" s="1" t="s">
        <v>127</v>
      </c>
      <c r="C110" s="1" t="s">
        <v>128</v>
      </c>
      <c r="D110" s="1" t="s">
        <v>449</v>
      </c>
      <c r="E110" s="1" t="s">
        <v>508</v>
      </c>
      <c r="F110" s="1" t="s">
        <v>130</v>
      </c>
      <c r="G110" s="1" t="s">
        <v>191</v>
      </c>
      <c r="H110" s="1" t="s">
        <v>202</v>
      </c>
      <c r="I110" s="1" t="s">
        <v>231</v>
      </c>
      <c r="J110" s="8">
        <v>32</v>
      </c>
      <c r="K110" s="8">
        <v>10</v>
      </c>
      <c r="L110" s="8">
        <f t="shared" si="1"/>
        <v>320</v>
      </c>
      <c r="M110" s="8">
        <v>640</v>
      </c>
      <c r="N110" s="1" t="s">
        <v>217</v>
      </c>
      <c r="O110" s="1" t="s">
        <v>186</v>
      </c>
      <c r="P110" s="9">
        <v>87.1</v>
      </c>
      <c r="Q110" s="10">
        <v>44678</v>
      </c>
      <c r="R110" s="6">
        <v>10388</v>
      </c>
      <c r="S110" s="1" t="s">
        <v>178</v>
      </c>
      <c r="T110" s="1" t="s">
        <v>509</v>
      </c>
    </row>
    <row r="111" spans="1:20" x14ac:dyDescent="0.25">
      <c r="A111" s="1" t="s">
        <v>510</v>
      </c>
      <c r="B111" s="1" t="s">
        <v>127</v>
      </c>
      <c r="C111" s="1" t="s">
        <v>128</v>
      </c>
      <c r="D111" s="1" t="s">
        <v>445</v>
      </c>
      <c r="E111" s="1" t="s">
        <v>442</v>
      </c>
      <c r="F111" s="1" t="s">
        <v>130</v>
      </c>
      <c r="G111" s="1" t="s">
        <v>174</v>
      </c>
      <c r="H111" s="1" t="s">
        <v>183</v>
      </c>
      <c r="I111" s="1" t="s">
        <v>330</v>
      </c>
      <c r="J111" s="8">
        <v>32</v>
      </c>
      <c r="K111" s="8">
        <v>24</v>
      </c>
      <c r="L111" s="8">
        <f t="shared" si="1"/>
        <v>768</v>
      </c>
      <c r="M111" s="8">
        <v>6144</v>
      </c>
      <c r="N111" s="1" t="s">
        <v>185</v>
      </c>
      <c r="O111" s="1" t="s">
        <v>186</v>
      </c>
      <c r="P111" s="9">
        <v>80</v>
      </c>
      <c r="Q111" s="10">
        <v>44883</v>
      </c>
      <c r="R111" s="6">
        <v>48733</v>
      </c>
      <c r="S111" s="1" t="s">
        <v>178</v>
      </c>
      <c r="T111" s="1" t="s">
        <v>511</v>
      </c>
    </row>
    <row r="112" spans="1:20" x14ac:dyDescent="0.25">
      <c r="A112" s="1" t="s">
        <v>512</v>
      </c>
      <c r="B112" s="1" t="s">
        <v>127</v>
      </c>
      <c r="C112" s="1" t="s">
        <v>128</v>
      </c>
      <c r="D112" s="1" t="s">
        <v>445</v>
      </c>
      <c r="E112" s="1" t="s">
        <v>513</v>
      </c>
      <c r="F112" s="1" t="s">
        <v>125</v>
      </c>
      <c r="G112" s="1" t="s">
        <v>191</v>
      </c>
      <c r="H112" s="1" t="s">
        <v>175</v>
      </c>
      <c r="I112" s="1" t="s">
        <v>176</v>
      </c>
      <c r="J112" s="8">
        <v>0</v>
      </c>
      <c r="K112" s="8">
        <v>1</v>
      </c>
      <c r="L112" s="8">
        <f t="shared" si="1"/>
        <v>0</v>
      </c>
      <c r="M112" s="8">
        <v>0</v>
      </c>
      <c r="N112" s="1" t="s">
        <v>217</v>
      </c>
      <c r="O112" s="1" t="s">
        <v>176</v>
      </c>
      <c r="P112" s="9">
        <v>12.6</v>
      </c>
      <c r="Q112" s="10">
        <v>45021</v>
      </c>
      <c r="R112" s="6">
        <v>2069</v>
      </c>
      <c r="S112" s="1" t="s">
        <v>194</v>
      </c>
      <c r="T112" s="1" t="s">
        <v>514</v>
      </c>
    </row>
    <row r="113" spans="1:20" x14ac:dyDescent="0.25">
      <c r="A113" s="1" t="s">
        <v>515</v>
      </c>
      <c r="B113" s="1" t="s">
        <v>127</v>
      </c>
      <c r="C113" s="1" t="s">
        <v>128</v>
      </c>
      <c r="D113" s="1" t="s">
        <v>435</v>
      </c>
      <c r="E113" s="1" t="s">
        <v>493</v>
      </c>
      <c r="F113" s="1" t="s">
        <v>130</v>
      </c>
      <c r="G113" s="1" t="s">
        <v>191</v>
      </c>
      <c r="H113" s="1" t="s">
        <v>175</v>
      </c>
      <c r="I113" s="1" t="s">
        <v>176</v>
      </c>
      <c r="J113" s="8">
        <v>0</v>
      </c>
      <c r="K113" s="8">
        <v>1</v>
      </c>
      <c r="L113" s="8">
        <f t="shared" si="1"/>
        <v>0</v>
      </c>
      <c r="M113" s="8">
        <v>0</v>
      </c>
      <c r="N113" s="1" t="s">
        <v>217</v>
      </c>
      <c r="O113" s="1" t="s">
        <v>176</v>
      </c>
      <c r="P113" s="9">
        <v>48</v>
      </c>
      <c r="Q113" s="10">
        <v>44915</v>
      </c>
      <c r="R113" s="6">
        <v>2499</v>
      </c>
      <c r="S113" s="1" t="s">
        <v>178</v>
      </c>
      <c r="T113" s="1" t="s">
        <v>516</v>
      </c>
    </row>
    <row r="114" spans="1:20" x14ac:dyDescent="0.25">
      <c r="A114" s="1" t="s">
        <v>517</v>
      </c>
      <c r="B114" s="1" t="s">
        <v>127</v>
      </c>
      <c r="C114" s="1" t="s">
        <v>128</v>
      </c>
      <c r="D114" s="1" t="s">
        <v>435</v>
      </c>
      <c r="E114" s="1" t="s">
        <v>467</v>
      </c>
      <c r="F114" s="1" t="s">
        <v>451</v>
      </c>
      <c r="G114" s="1" t="s">
        <v>207</v>
      </c>
      <c r="H114" s="1" t="s">
        <v>183</v>
      </c>
      <c r="I114" s="1" t="s">
        <v>231</v>
      </c>
      <c r="J114" s="8">
        <v>32</v>
      </c>
      <c r="K114" s="8">
        <v>24</v>
      </c>
      <c r="L114" s="8">
        <f t="shared" si="1"/>
        <v>768</v>
      </c>
      <c r="M114" s="8">
        <v>1536</v>
      </c>
      <c r="N114" s="1" t="s">
        <v>217</v>
      </c>
      <c r="O114" s="1" t="s">
        <v>186</v>
      </c>
      <c r="P114" s="9">
        <v>52.3</v>
      </c>
      <c r="Q114" s="10">
        <v>45834</v>
      </c>
      <c r="R114" s="6">
        <v>22063</v>
      </c>
      <c r="S114" s="1" t="s">
        <v>178</v>
      </c>
      <c r="T114" s="1" t="s">
        <v>518</v>
      </c>
    </row>
    <row r="115" spans="1:20" x14ac:dyDescent="0.25">
      <c r="A115" s="1" t="s">
        <v>519</v>
      </c>
      <c r="B115" s="1" t="s">
        <v>127</v>
      </c>
      <c r="C115" s="1" t="s">
        <v>128</v>
      </c>
      <c r="D115" s="1" t="s">
        <v>435</v>
      </c>
      <c r="E115" s="1" t="s">
        <v>479</v>
      </c>
      <c r="F115" s="1" t="s">
        <v>130</v>
      </c>
      <c r="G115" s="1" t="s">
        <v>174</v>
      </c>
      <c r="H115" s="1" t="s">
        <v>183</v>
      </c>
      <c r="I115" s="1" t="s">
        <v>184</v>
      </c>
      <c r="J115" s="8">
        <v>8</v>
      </c>
      <c r="K115" s="8">
        <v>4</v>
      </c>
      <c r="L115" s="8">
        <f t="shared" si="1"/>
        <v>32</v>
      </c>
      <c r="M115" s="8">
        <v>128</v>
      </c>
      <c r="N115" s="1" t="s">
        <v>185</v>
      </c>
      <c r="O115" s="1" t="s">
        <v>186</v>
      </c>
      <c r="P115" s="9">
        <v>69.8</v>
      </c>
      <c r="Q115" s="10">
        <v>44664</v>
      </c>
      <c r="R115" s="6">
        <v>1736</v>
      </c>
      <c r="S115" s="1" t="s">
        <v>187</v>
      </c>
      <c r="T115" s="1" t="s">
        <v>520</v>
      </c>
    </row>
    <row r="116" spans="1:20" x14ac:dyDescent="0.25">
      <c r="A116" s="1" t="s">
        <v>521</v>
      </c>
      <c r="B116" s="1" t="s">
        <v>127</v>
      </c>
      <c r="C116" s="1" t="s">
        <v>128</v>
      </c>
      <c r="D116" s="1" t="s">
        <v>435</v>
      </c>
      <c r="E116" s="1" t="s">
        <v>522</v>
      </c>
      <c r="F116" s="1" t="s">
        <v>451</v>
      </c>
      <c r="G116" s="1" t="s">
        <v>174</v>
      </c>
      <c r="H116" s="1" t="s">
        <v>198</v>
      </c>
      <c r="I116" s="1" t="s">
        <v>176</v>
      </c>
      <c r="J116" s="8">
        <v>0</v>
      </c>
      <c r="K116" s="8">
        <v>1</v>
      </c>
      <c r="L116" s="8">
        <f t="shared" si="1"/>
        <v>0</v>
      </c>
      <c r="M116" s="8">
        <v>0</v>
      </c>
      <c r="N116" s="1" t="s">
        <v>185</v>
      </c>
      <c r="O116" s="1" t="s">
        <v>176</v>
      </c>
      <c r="P116" s="9">
        <v>44.1</v>
      </c>
      <c r="Q116" s="10">
        <v>44538</v>
      </c>
      <c r="R116" s="6">
        <v>4835</v>
      </c>
      <c r="S116" s="1" t="s">
        <v>178</v>
      </c>
      <c r="T116" s="1" t="s">
        <v>523</v>
      </c>
    </row>
    <row r="117" spans="1:20" x14ac:dyDescent="0.25">
      <c r="A117" s="1" t="s">
        <v>524</v>
      </c>
      <c r="B117" s="1" t="s">
        <v>127</v>
      </c>
      <c r="C117" s="1" t="s">
        <v>128</v>
      </c>
      <c r="D117" s="1" t="s">
        <v>435</v>
      </c>
      <c r="E117" s="1" t="s">
        <v>503</v>
      </c>
      <c r="F117" s="1" t="s">
        <v>130</v>
      </c>
      <c r="G117" s="1" t="s">
        <v>207</v>
      </c>
      <c r="H117" s="1" t="s">
        <v>183</v>
      </c>
      <c r="I117" s="1" t="s">
        <v>452</v>
      </c>
      <c r="J117" s="8">
        <v>176</v>
      </c>
      <c r="K117" s="8">
        <v>6</v>
      </c>
      <c r="L117" s="8">
        <f t="shared" si="1"/>
        <v>1056</v>
      </c>
      <c r="M117" s="8">
        <v>4608</v>
      </c>
      <c r="N117" s="1" t="s">
        <v>185</v>
      </c>
      <c r="O117" s="1" t="s">
        <v>186</v>
      </c>
      <c r="P117" s="9">
        <v>80.599999999999994</v>
      </c>
      <c r="Q117" s="10">
        <v>45251</v>
      </c>
      <c r="R117" s="6">
        <v>67330</v>
      </c>
      <c r="S117" s="1" t="s">
        <v>194</v>
      </c>
      <c r="T117" s="1" t="s">
        <v>525</v>
      </c>
    </row>
    <row r="118" spans="1:20" x14ac:dyDescent="0.25">
      <c r="A118" s="1" t="s">
        <v>526</v>
      </c>
      <c r="B118" s="1" t="s">
        <v>127</v>
      </c>
      <c r="C118" s="1" t="s">
        <v>128</v>
      </c>
      <c r="D118" s="1" t="s">
        <v>435</v>
      </c>
      <c r="E118" s="1" t="s">
        <v>527</v>
      </c>
      <c r="F118" s="1" t="s">
        <v>451</v>
      </c>
      <c r="G118" s="1" t="s">
        <v>191</v>
      </c>
      <c r="H118" s="1" t="s">
        <v>183</v>
      </c>
      <c r="I118" s="1" t="s">
        <v>208</v>
      </c>
      <c r="J118" s="8">
        <v>128</v>
      </c>
      <c r="K118" s="8">
        <v>4</v>
      </c>
      <c r="L118" s="8">
        <f t="shared" si="1"/>
        <v>512</v>
      </c>
      <c r="M118" s="8">
        <v>15568</v>
      </c>
      <c r="N118" s="1" t="s">
        <v>185</v>
      </c>
      <c r="O118" s="1" t="s">
        <v>186</v>
      </c>
      <c r="P118" s="9">
        <v>37.799999999999997</v>
      </c>
      <c r="Q118" s="10">
        <v>44731</v>
      </c>
      <c r="R118" s="6">
        <v>36867</v>
      </c>
      <c r="S118" s="1" t="s">
        <v>178</v>
      </c>
      <c r="T118" s="1" t="s">
        <v>528</v>
      </c>
    </row>
    <row r="119" spans="1:20" x14ac:dyDescent="0.25">
      <c r="A119" s="1" t="s">
        <v>529</v>
      </c>
      <c r="B119" s="1" t="s">
        <v>127</v>
      </c>
      <c r="C119" s="1" t="s">
        <v>128</v>
      </c>
      <c r="D119" s="1" t="s">
        <v>449</v>
      </c>
      <c r="E119" s="1" t="s">
        <v>530</v>
      </c>
      <c r="F119" s="1" t="s">
        <v>130</v>
      </c>
      <c r="G119" s="1" t="s">
        <v>191</v>
      </c>
      <c r="H119" s="1" t="s">
        <v>175</v>
      </c>
      <c r="I119" s="1" t="s">
        <v>176</v>
      </c>
      <c r="J119" s="8">
        <v>0</v>
      </c>
      <c r="K119" s="8">
        <v>2</v>
      </c>
      <c r="L119" s="8">
        <f t="shared" si="1"/>
        <v>0</v>
      </c>
      <c r="M119" s="8">
        <v>0</v>
      </c>
      <c r="N119" s="1" t="s">
        <v>217</v>
      </c>
      <c r="O119" s="1" t="s">
        <v>176</v>
      </c>
      <c r="P119" s="9">
        <v>11.8</v>
      </c>
      <c r="Q119" s="10">
        <v>44767</v>
      </c>
      <c r="R119" s="6">
        <v>728</v>
      </c>
      <c r="S119" s="1" t="s">
        <v>187</v>
      </c>
      <c r="T119" s="1" t="s">
        <v>531</v>
      </c>
    </row>
    <row r="120" spans="1:20" x14ac:dyDescent="0.25">
      <c r="A120" s="1" t="s">
        <v>532</v>
      </c>
      <c r="B120" s="1" t="s">
        <v>127</v>
      </c>
      <c r="C120" s="1" t="s">
        <v>128</v>
      </c>
      <c r="D120" s="1" t="s">
        <v>445</v>
      </c>
      <c r="E120" s="1" t="s">
        <v>533</v>
      </c>
      <c r="F120" s="1" t="s">
        <v>130</v>
      </c>
      <c r="G120" s="1" t="s">
        <v>174</v>
      </c>
      <c r="H120" s="1" t="s">
        <v>175</v>
      </c>
      <c r="I120" s="1" t="s">
        <v>176</v>
      </c>
      <c r="J120" s="8">
        <v>0</v>
      </c>
      <c r="K120" s="8">
        <v>1</v>
      </c>
      <c r="L120" s="8">
        <f t="shared" si="1"/>
        <v>0</v>
      </c>
      <c r="M120" s="8">
        <v>0</v>
      </c>
      <c r="N120" s="1" t="s">
        <v>217</v>
      </c>
      <c r="O120" s="1" t="s">
        <v>176</v>
      </c>
      <c r="P120" s="9">
        <v>33.9</v>
      </c>
      <c r="Q120" s="10">
        <v>45289</v>
      </c>
      <c r="R120" s="6">
        <v>1893</v>
      </c>
      <c r="S120" s="1" t="s">
        <v>194</v>
      </c>
      <c r="T120" s="1" t="s">
        <v>534</v>
      </c>
    </row>
    <row r="121" spans="1:20" x14ac:dyDescent="0.25">
      <c r="A121" s="1" t="s">
        <v>535</v>
      </c>
      <c r="B121" s="1" t="s">
        <v>127</v>
      </c>
      <c r="C121" s="1" t="s">
        <v>128</v>
      </c>
      <c r="D121" s="1" t="s">
        <v>435</v>
      </c>
      <c r="E121" s="1" t="s">
        <v>503</v>
      </c>
      <c r="F121" s="1" t="s">
        <v>130</v>
      </c>
      <c r="G121" s="1" t="s">
        <v>207</v>
      </c>
      <c r="H121" s="1" t="s">
        <v>183</v>
      </c>
      <c r="I121" s="1" t="s">
        <v>362</v>
      </c>
      <c r="J121" s="8">
        <v>24</v>
      </c>
      <c r="K121" s="8">
        <v>2</v>
      </c>
      <c r="L121" s="8">
        <f t="shared" si="1"/>
        <v>48</v>
      </c>
      <c r="M121" s="8">
        <v>440</v>
      </c>
      <c r="N121" s="1" t="s">
        <v>185</v>
      </c>
      <c r="O121" s="1" t="s">
        <v>186</v>
      </c>
      <c r="P121" s="9">
        <v>38.4</v>
      </c>
      <c r="Q121" s="10">
        <v>45751</v>
      </c>
      <c r="R121" s="6">
        <v>14713</v>
      </c>
      <c r="S121" s="1" t="s">
        <v>187</v>
      </c>
      <c r="T121" s="1" t="s">
        <v>536</v>
      </c>
    </row>
    <row r="122" spans="1:20" x14ac:dyDescent="0.25">
      <c r="A122" s="1" t="s">
        <v>537</v>
      </c>
      <c r="B122" s="1" t="s">
        <v>127</v>
      </c>
      <c r="C122" s="1" t="s">
        <v>128</v>
      </c>
      <c r="D122" s="1" t="s">
        <v>435</v>
      </c>
      <c r="E122" s="1" t="s">
        <v>538</v>
      </c>
      <c r="F122" s="1" t="s">
        <v>451</v>
      </c>
      <c r="G122" s="1" t="s">
        <v>207</v>
      </c>
      <c r="H122" s="1" t="s">
        <v>202</v>
      </c>
      <c r="I122" s="1" t="s">
        <v>226</v>
      </c>
      <c r="J122" s="8">
        <v>16</v>
      </c>
      <c r="K122" s="8">
        <v>4</v>
      </c>
      <c r="L122" s="8">
        <f t="shared" si="1"/>
        <v>64</v>
      </c>
      <c r="M122" s="8">
        <v>256</v>
      </c>
      <c r="N122" s="1" t="s">
        <v>177</v>
      </c>
      <c r="O122" s="1" t="s">
        <v>186</v>
      </c>
      <c r="P122" s="9">
        <v>15.5</v>
      </c>
      <c r="Q122" s="10">
        <v>45795</v>
      </c>
      <c r="R122" s="6">
        <v>3030</v>
      </c>
      <c r="S122" s="1" t="s">
        <v>194</v>
      </c>
      <c r="T122" s="1" t="s">
        <v>539</v>
      </c>
    </row>
    <row r="123" spans="1:20" x14ac:dyDescent="0.25">
      <c r="A123" s="1" t="s">
        <v>540</v>
      </c>
      <c r="B123" s="1" t="s">
        <v>127</v>
      </c>
      <c r="C123" s="1" t="s">
        <v>128</v>
      </c>
      <c r="D123" s="1" t="s">
        <v>449</v>
      </c>
      <c r="E123" s="1" t="s">
        <v>541</v>
      </c>
      <c r="F123" s="1" t="s">
        <v>130</v>
      </c>
      <c r="G123" s="1" t="s">
        <v>191</v>
      </c>
      <c r="H123" s="1" t="s">
        <v>198</v>
      </c>
      <c r="I123" s="1" t="s">
        <v>176</v>
      </c>
      <c r="J123" s="8">
        <v>0</v>
      </c>
      <c r="K123" s="8">
        <v>2</v>
      </c>
      <c r="L123" s="8">
        <f t="shared" si="1"/>
        <v>0</v>
      </c>
      <c r="M123" s="8">
        <v>0</v>
      </c>
      <c r="N123" s="1" t="s">
        <v>177</v>
      </c>
      <c r="O123" s="1" t="s">
        <v>176</v>
      </c>
      <c r="P123" s="9">
        <v>10.7</v>
      </c>
      <c r="Q123" s="10">
        <v>45116</v>
      </c>
      <c r="R123" s="6">
        <v>2475</v>
      </c>
      <c r="S123" s="1" t="s">
        <v>194</v>
      </c>
      <c r="T123" s="1" t="s">
        <v>542</v>
      </c>
    </row>
    <row r="124" spans="1:20" x14ac:dyDescent="0.25">
      <c r="A124" s="1" t="s">
        <v>543</v>
      </c>
      <c r="B124" s="1" t="s">
        <v>127</v>
      </c>
      <c r="C124" s="1" t="s">
        <v>128</v>
      </c>
      <c r="D124" s="1" t="s">
        <v>449</v>
      </c>
      <c r="E124" s="1" t="s">
        <v>476</v>
      </c>
      <c r="F124" s="1" t="s">
        <v>130</v>
      </c>
      <c r="G124" s="1" t="s">
        <v>191</v>
      </c>
      <c r="H124" s="1" t="s">
        <v>230</v>
      </c>
      <c r="I124" s="1" t="s">
        <v>276</v>
      </c>
      <c r="J124" s="8">
        <v>64</v>
      </c>
      <c r="K124" s="8">
        <v>16</v>
      </c>
      <c r="L124" s="8">
        <f t="shared" si="1"/>
        <v>1024</v>
      </c>
      <c r="M124" s="8">
        <v>4096</v>
      </c>
      <c r="N124" s="1" t="s">
        <v>185</v>
      </c>
      <c r="O124" s="1" t="s">
        <v>186</v>
      </c>
      <c r="P124" s="9">
        <v>29.8</v>
      </c>
      <c r="Q124" s="10">
        <v>44521</v>
      </c>
      <c r="R124" s="6">
        <v>57282</v>
      </c>
      <c r="S124" s="1" t="s">
        <v>178</v>
      </c>
      <c r="T124" s="1" t="s">
        <v>544</v>
      </c>
    </row>
    <row r="125" spans="1:20" x14ac:dyDescent="0.25">
      <c r="A125" s="1" t="s">
        <v>545</v>
      </c>
      <c r="B125" s="1" t="s">
        <v>127</v>
      </c>
      <c r="C125" s="1" t="s">
        <v>128</v>
      </c>
      <c r="D125" s="1" t="s">
        <v>445</v>
      </c>
      <c r="E125" s="1" t="s">
        <v>470</v>
      </c>
      <c r="F125" s="1" t="s">
        <v>130</v>
      </c>
      <c r="G125" s="1" t="s">
        <v>174</v>
      </c>
      <c r="H125" s="1" t="s">
        <v>230</v>
      </c>
      <c r="I125" s="1" t="s">
        <v>330</v>
      </c>
      <c r="J125" s="8">
        <v>32</v>
      </c>
      <c r="K125" s="8">
        <v>2</v>
      </c>
      <c r="L125" s="8">
        <f t="shared" si="1"/>
        <v>64</v>
      </c>
      <c r="M125" s="8">
        <v>512</v>
      </c>
      <c r="N125" s="1" t="s">
        <v>185</v>
      </c>
      <c r="O125" s="1" t="s">
        <v>186</v>
      </c>
      <c r="P125" s="9">
        <v>63.1</v>
      </c>
      <c r="Q125" s="10">
        <v>45063</v>
      </c>
      <c r="R125" s="6">
        <v>4747</v>
      </c>
      <c r="S125" s="1" t="s">
        <v>194</v>
      </c>
      <c r="T125" s="1" t="s">
        <v>546</v>
      </c>
    </row>
    <row r="126" spans="1:20" x14ac:dyDescent="0.25">
      <c r="A126" s="1" t="s">
        <v>547</v>
      </c>
      <c r="B126" s="1" t="s">
        <v>127</v>
      </c>
      <c r="C126" s="1" t="s">
        <v>128</v>
      </c>
      <c r="D126" s="1" t="s">
        <v>435</v>
      </c>
      <c r="E126" s="1" t="s">
        <v>503</v>
      </c>
      <c r="F126" s="1" t="s">
        <v>130</v>
      </c>
      <c r="G126" s="1" t="s">
        <v>207</v>
      </c>
      <c r="H126" s="1" t="s">
        <v>183</v>
      </c>
      <c r="I126" s="1" t="s">
        <v>548</v>
      </c>
      <c r="J126" s="8">
        <v>40</v>
      </c>
      <c r="K126" s="8">
        <v>20</v>
      </c>
      <c r="L126" s="8">
        <f t="shared" si="1"/>
        <v>800</v>
      </c>
      <c r="M126" s="8">
        <v>6400</v>
      </c>
      <c r="N126" s="1" t="s">
        <v>177</v>
      </c>
      <c r="O126" s="1" t="s">
        <v>186</v>
      </c>
      <c r="P126" s="9">
        <v>7.6</v>
      </c>
      <c r="Q126" s="10">
        <v>44648</v>
      </c>
      <c r="R126" s="6">
        <v>128748</v>
      </c>
      <c r="S126" s="1" t="s">
        <v>194</v>
      </c>
      <c r="T126" s="1" t="s">
        <v>549</v>
      </c>
    </row>
    <row r="127" spans="1:20" x14ac:dyDescent="0.25">
      <c r="A127" s="1" t="s">
        <v>550</v>
      </c>
      <c r="B127" s="1" t="s">
        <v>127</v>
      </c>
      <c r="C127" s="1" t="s">
        <v>128</v>
      </c>
      <c r="D127" s="1" t="s">
        <v>435</v>
      </c>
      <c r="E127" s="1" t="s">
        <v>490</v>
      </c>
      <c r="F127" s="1" t="s">
        <v>130</v>
      </c>
      <c r="G127" s="1" t="s">
        <v>207</v>
      </c>
      <c r="H127" s="1" t="s">
        <v>183</v>
      </c>
      <c r="I127" s="1" t="s">
        <v>208</v>
      </c>
      <c r="J127" s="8">
        <v>128</v>
      </c>
      <c r="K127" s="8">
        <v>4</v>
      </c>
      <c r="L127" s="8">
        <f t="shared" si="1"/>
        <v>512</v>
      </c>
      <c r="M127" s="8">
        <v>15568</v>
      </c>
      <c r="N127" s="1" t="s">
        <v>185</v>
      </c>
      <c r="O127" s="1" t="s">
        <v>186</v>
      </c>
      <c r="P127" s="9">
        <v>77.7</v>
      </c>
      <c r="Q127" s="10">
        <v>44909</v>
      </c>
      <c r="R127" s="6">
        <v>34385</v>
      </c>
      <c r="S127" s="1" t="s">
        <v>187</v>
      </c>
      <c r="T127" s="1" t="s">
        <v>551</v>
      </c>
    </row>
    <row r="128" spans="1:20" x14ac:dyDescent="0.25">
      <c r="A128" s="1" t="s">
        <v>552</v>
      </c>
      <c r="B128" s="1" t="s">
        <v>127</v>
      </c>
      <c r="C128" s="1" t="s">
        <v>128</v>
      </c>
      <c r="D128" s="1" t="s">
        <v>449</v>
      </c>
      <c r="E128" s="1" t="s">
        <v>553</v>
      </c>
      <c r="F128" s="1" t="s">
        <v>451</v>
      </c>
      <c r="G128" s="1" t="s">
        <v>174</v>
      </c>
      <c r="H128" s="1" t="s">
        <v>235</v>
      </c>
      <c r="I128" s="1" t="s">
        <v>176</v>
      </c>
      <c r="J128" s="8">
        <v>0</v>
      </c>
      <c r="K128" s="8">
        <v>2</v>
      </c>
      <c r="L128" s="8">
        <f t="shared" si="1"/>
        <v>0</v>
      </c>
      <c r="M128" s="8">
        <v>0</v>
      </c>
      <c r="N128" s="1" t="s">
        <v>217</v>
      </c>
      <c r="O128" s="1" t="s">
        <v>176</v>
      </c>
      <c r="P128" s="9">
        <v>14.6</v>
      </c>
      <c r="Q128" s="10">
        <v>45401</v>
      </c>
      <c r="R128" s="6">
        <v>2759</v>
      </c>
      <c r="S128" s="1" t="s">
        <v>178</v>
      </c>
      <c r="T128" s="1" t="s">
        <v>554</v>
      </c>
    </row>
    <row r="129" spans="1:20" x14ac:dyDescent="0.25">
      <c r="A129" s="1" t="s">
        <v>555</v>
      </c>
      <c r="B129" s="1" t="s">
        <v>127</v>
      </c>
      <c r="C129" s="1" t="s">
        <v>128</v>
      </c>
      <c r="D129" s="1" t="s">
        <v>445</v>
      </c>
      <c r="E129" s="1" t="s">
        <v>556</v>
      </c>
      <c r="F129" s="1" t="s">
        <v>451</v>
      </c>
      <c r="G129" s="1" t="s">
        <v>207</v>
      </c>
      <c r="H129" s="1" t="s">
        <v>183</v>
      </c>
      <c r="I129" s="1" t="s">
        <v>192</v>
      </c>
      <c r="J129" s="8">
        <v>16</v>
      </c>
      <c r="K129" s="8">
        <v>10</v>
      </c>
      <c r="L129" s="8">
        <f t="shared" si="1"/>
        <v>160</v>
      </c>
      <c r="M129" s="8">
        <v>1280</v>
      </c>
      <c r="N129" s="1" t="s">
        <v>217</v>
      </c>
      <c r="O129" s="1" t="s">
        <v>186</v>
      </c>
      <c r="P129" s="9">
        <v>54.7</v>
      </c>
      <c r="Q129" s="10">
        <v>45403</v>
      </c>
      <c r="R129" s="6">
        <v>5740</v>
      </c>
      <c r="S129" s="1" t="s">
        <v>194</v>
      </c>
      <c r="T129" s="1" t="s">
        <v>557</v>
      </c>
    </row>
    <row r="130" spans="1:20" x14ac:dyDescent="0.25">
      <c r="A130" s="1" t="s">
        <v>558</v>
      </c>
      <c r="B130" s="1" t="s">
        <v>131</v>
      </c>
      <c r="C130" s="1" t="s">
        <v>132</v>
      </c>
      <c r="D130" s="1" t="s">
        <v>559</v>
      </c>
      <c r="E130" s="1" t="s">
        <v>560</v>
      </c>
      <c r="F130" s="1" t="s">
        <v>134</v>
      </c>
      <c r="G130" s="1" t="s">
        <v>174</v>
      </c>
      <c r="H130" s="1" t="s">
        <v>230</v>
      </c>
      <c r="I130" s="1" t="s">
        <v>208</v>
      </c>
      <c r="J130" s="8">
        <v>128</v>
      </c>
      <c r="K130" s="8">
        <v>6</v>
      </c>
      <c r="L130" s="8">
        <f t="shared" ref="L130:L193" si="2">J130*K130</f>
        <v>768</v>
      </c>
      <c r="M130" s="8">
        <v>23352</v>
      </c>
      <c r="N130" s="1" t="s">
        <v>177</v>
      </c>
      <c r="O130" s="1" t="s">
        <v>186</v>
      </c>
      <c r="P130" s="9">
        <v>11.7</v>
      </c>
      <c r="Q130" s="10">
        <v>44235</v>
      </c>
      <c r="R130" s="6">
        <v>34421</v>
      </c>
      <c r="S130" s="1" t="s">
        <v>194</v>
      </c>
      <c r="T130" s="1" t="s">
        <v>561</v>
      </c>
    </row>
    <row r="131" spans="1:20" x14ac:dyDescent="0.25">
      <c r="A131" s="1" t="s">
        <v>562</v>
      </c>
      <c r="B131" s="1" t="s">
        <v>131</v>
      </c>
      <c r="C131" s="1" t="s">
        <v>132</v>
      </c>
      <c r="D131" s="1" t="s">
        <v>559</v>
      </c>
      <c r="E131" s="1" t="s">
        <v>563</v>
      </c>
      <c r="F131" s="1" t="s">
        <v>134</v>
      </c>
      <c r="G131" s="1" t="s">
        <v>174</v>
      </c>
      <c r="H131" s="1" t="s">
        <v>183</v>
      </c>
      <c r="I131" s="1" t="s">
        <v>208</v>
      </c>
      <c r="J131" s="8">
        <v>128</v>
      </c>
      <c r="K131" s="8">
        <v>2</v>
      </c>
      <c r="L131" s="8">
        <f t="shared" si="2"/>
        <v>256</v>
      </c>
      <c r="M131" s="8">
        <v>7784</v>
      </c>
      <c r="N131" s="1" t="s">
        <v>217</v>
      </c>
      <c r="O131" s="1" t="s">
        <v>186</v>
      </c>
      <c r="P131" s="9">
        <v>38.9</v>
      </c>
      <c r="Q131" s="10">
        <v>45088</v>
      </c>
      <c r="R131" s="6">
        <v>9694</v>
      </c>
      <c r="S131" s="1" t="s">
        <v>187</v>
      </c>
      <c r="T131" s="1" t="s">
        <v>564</v>
      </c>
    </row>
    <row r="132" spans="1:20" x14ac:dyDescent="0.25">
      <c r="A132" s="1" t="s">
        <v>565</v>
      </c>
      <c r="B132" s="1" t="s">
        <v>131</v>
      </c>
      <c r="C132" s="1" t="s">
        <v>132</v>
      </c>
      <c r="D132" s="1" t="s">
        <v>559</v>
      </c>
      <c r="E132" s="1" t="s">
        <v>566</v>
      </c>
      <c r="F132" s="1" t="s">
        <v>134</v>
      </c>
      <c r="G132" s="1" t="s">
        <v>191</v>
      </c>
      <c r="H132" s="1" t="s">
        <v>242</v>
      </c>
      <c r="I132" s="1" t="s">
        <v>330</v>
      </c>
      <c r="J132" s="8">
        <v>32</v>
      </c>
      <c r="K132" s="8">
        <v>4</v>
      </c>
      <c r="L132" s="8">
        <f t="shared" si="2"/>
        <v>128</v>
      </c>
      <c r="M132" s="8">
        <v>1024</v>
      </c>
      <c r="N132" s="1" t="s">
        <v>185</v>
      </c>
      <c r="O132" s="1" t="s">
        <v>193</v>
      </c>
      <c r="P132" s="9">
        <v>70.2</v>
      </c>
      <c r="Q132" s="10">
        <v>45169</v>
      </c>
      <c r="R132" s="6">
        <v>8148</v>
      </c>
      <c r="S132" s="1" t="s">
        <v>187</v>
      </c>
      <c r="T132" s="1" t="s">
        <v>567</v>
      </c>
    </row>
    <row r="133" spans="1:20" x14ac:dyDescent="0.25">
      <c r="A133" s="1" t="s">
        <v>568</v>
      </c>
      <c r="B133" s="1" t="s">
        <v>131</v>
      </c>
      <c r="C133" s="1" t="s">
        <v>132</v>
      </c>
      <c r="D133" s="1" t="s">
        <v>559</v>
      </c>
      <c r="E133" s="1" t="s">
        <v>569</v>
      </c>
      <c r="F133" s="1" t="s">
        <v>134</v>
      </c>
      <c r="G133" s="1" t="s">
        <v>174</v>
      </c>
      <c r="H133" s="1" t="s">
        <v>175</v>
      </c>
      <c r="I133" s="1" t="s">
        <v>176</v>
      </c>
      <c r="J133" s="8">
        <v>0</v>
      </c>
      <c r="K133" s="8">
        <v>1</v>
      </c>
      <c r="L133" s="8">
        <f t="shared" si="2"/>
        <v>0</v>
      </c>
      <c r="M133" s="8">
        <v>0</v>
      </c>
      <c r="N133" s="1" t="s">
        <v>185</v>
      </c>
      <c r="O133" s="1" t="s">
        <v>176</v>
      </c>
      <c r="P133" s="9">
        <v>20.6</v>
      </c>
      <c r="Q133" s="10">
        <v>45510</v>
      </c>
      <c r="R133" s="6">
        <v>2422</v>
      </c>
      <c r="S133" s="1" t="s">
        <v>178</v>
      </c>
      <c r="T133" s="1" t="s">
        <v>570</v>
      </c>
    </row>
    <row r="134" spans="1:20" x14ac:dyDescent="0.25">
      <c r="A134" s="1" t="s">
        <v>571</v>
      </c>
      <c r="B134" s="1" t="s">
        <v>131</v>
      </c>
      <c r="C134" s="1" t="s">
        <v>132</v>
      </c>
      <c r="D134" s="1" t="s">
        <v>572</v>
      </c>
      <c r="E134" s="1" t="s">
        <v>573</v>
      </c>
      <c r="F134" s="1" t="s">
        <v>120</v>
      </c>
      <c r="G134" s="1" t="s">
        <v>191</v>
      </c>
      <c r="H134" s="1" t="s">
        <v>230</v>
      </c>
      <c r="I134" s="1" t="s">
        <v>216</v>
      </c>
      <c r="J134" s="8">
        <v>16</v>
      </c>
      <c r="K134" s="8">
        <v>2</v>
      </c>
      <c r="L134" s="8">
        <f t="shared" si="2"/>
        <v>32</v>
      </c>
      <c r="M134" s="8">
        <v>256</v>
      </c>
      <c r="N134" s="1" t="s">
        <v>217</v>
      </c>
      <c r="O134" s="1" t="s">
        <v>186</v>
      </c>
      <c r="P134" s="9">
        <v>74</v>
      </c>
      <c r="Q134" s="10">
        <v>45622</v>
      </c>
      <c r="R134" s="6">
        <v>1045</v>
      </c>
      <c r="S134" s="1" t="s">
        <v>194</v>
      </c>
      <c r="T134" s="1" t="s">
        <v>574</v>
      </c>
    </row>
    <row r="135" spans="1:20" x14ac:dyDescent="0.25">
      <c r="A135" s="1" t="s">
        <v>575</v>
      </c>
      <c r="B135" s="1" t="s">
        <v>131</v>
      </c>
      <c r="C135" s="1" t="s">
        <v>132</v>
      </c>
      <c r="D135" s="1" t="s">
        <v>559</v>
      </c>
      <c r="E135" s="1" t="s">
        <v>576</v>
      </c>
      <c r="F135" s="1" t="s">
        <v>134</v>
      </c>
      <c r="G135" s="1" t="s">
        <v>174</v>
      </c>
      <c r="H135" s="1" t="s">
        <v>183</v>
      </c>
      <c r="I135" s="1" t="s">
        <v>276</v>
      </c>
      <c r="J135" s="8">
        <v>64</v>
      </c>
      <c r="K135" s="8">
        <v>24</v>
      </c>
      <c r="L135" s="8">
        <f t="shared" si="2"/>
        <v>1536</v>
      </c>
      <c r="M135" s="8">
        <v>6144</v>
      </c>
      <c r="N135" s="1" t="s">
        <v>185</v>
      </c>
      <c r="O135" s="1" t="s">
        <v>186</v>
      </c>
      <c r="P135" s="9">
        <v>34.1</v>
      </c>
      <c r="Q135" s="10">
        <v>44416</v>
      </c>
      <c r="R135" s="6">
        <v>82819</v>
      </c>
      <c r="S135" s="1" t="s">
        <v>187</v>
      </c>
      <c r="T135" s="1" t="s">
        <v>577</v>
      </c>
    </row>
    <row r="136" spans="1:20" x14ac:dyDescent="0.25">
      <c r="A136" s="1" t="s">
        <v>578</v>
      </c>
      <c r="B136" s="1" t="s">
        <v>131</v>
      </c>
      <c r="C136" s="1" t="s">
        <v>132</v>
      </c>
      <c r="D136" s="1" t="s">
        <v>559</v>
      </c>
      <c r="E136" s="1" t="s">
        <v>579</v>
      </c>
      <c r="F136" s="1" t="s">
        <v>134</v>
      </c>
      <c r="G136" s="1" t="s">
        <v>191</v>
      </c>
      <c r="H136" s="1" t="s">
        <v>230</v>
      </c>
      <c r="I136" s="1" t="s">
        <v>259</v>
      </c>
      <c r="J136" s="8">
        <v>64</v>
      </c>
      <c r="K136" s="8">
        <v>24</v>
      </c>
      <c r="L136" s="8">
        <f t="shared" si="2"/>
        <v>1536</v>
      </c>
      <c r="M136" s="8">
        <v>12288</v>
      </c>
      <c r="N136" s="1" t="s">
        <v>185</v>
      </c>
      <c r="O136" s="1" t="s">
        <v>186</v>
      </c>
      <c r="P136" s="9">
        <v>54.1</v>
      </c>
      <c r="Q136" s="10">
        <v>44260</v>
      </c>
      <c r="R136" s="6">
        <v>118011</v>
      </c>
      <c r="S136" s="1" t="s">
        <v>187</v>
      </c>
      <c r="T136" s="1" t="s">
        <v>580</v>
      </c>
    </row>
    <row r="137" spans="1:20" x14ac:dyDescent="0.25">
      <c r="A137" s="1" t="s">
        <v>581</v>
      </c>
      <c r="B137" s="1" t="s">
        <v>131</v>
      </c>
      <c r="C137" s="1" t="s">
        <v>132</v>
      </c>
      <c r="D137" s="1" t="s">
        <v>559</v>
      </c>
      <c r="E137" s="1" t="s">
        <v>582</v>
      </c>
      <c r="F137" s="1" t="s">
        <v>120</v>
      </c>
      <c r="G137" s="1" t="s">
        <v>191</v>
      </c>
      <c r="H137" s="1" t="s">
        <v>235</v>
      </c>
      <c r="I137" s="1" t="s">
        <v>176</v>
      </c>
      <c r="J137" s="8">
        <v>0</v>
      </c>
      <c r="K137" s="8">
        <v>1</v>
      </c>
      <c r="L137" s="8">
        <f t="shared" si="2"/>
        <v>0</v>
      </c>
      <c r="M137" s="8">
        <v>0</v>
      </c>
      <c r="N137" s="1" t="s">
        <v>217</v>
      </c>
      <c r="O137" s="1" t="s">
        <v>176</v>
      </c>
      <c r="P137" s="9">
        <v>12.8</v>
      </c>
      <c r="Q137" s="10">
        <v>45647</v>
      </c>
      <c r="R137" s="6">
        <v>1879</v>
      </c>
      <c r="S137" s="1" t="s">
        <v>194</v>
      </c>
      <c r="T137" s="1" t="s">
        <v>583</v>
      </c>
    </row>
    <row r="138" spans="1:20" x14ac:dyDescent="0.25">
      <c r="A138" s="1" t="s">
        <v>584</v>
      </c>
      <c r="B138" s="1" t="s">
        <v>131</v>
      </c>
      <c r="C138" s="1" t="s">
        <v>132</v>
      </c>
      <c r="D138" s="1" t="s">
        <v>559</v>
      </c>
      <c r="E138" s="1" t="s">
        <v>585</v>
      </c>
      <c r="F138" s="1" t="s">
        <v>120</v>
      </c>
      <c r="G138" s="1" t="s">
        <v>191</v>
      </c>
      <c r="H138" s="1" t="s">
        <v>230</v>
      </c>
      <c r="I138" s="1" t="s">
        <v>231</v>
      </c>
      <c r="J138" s="8">
        <v>32</v>
      </c>
      <c r="K138" s="8">
        <v>8</v>
      </c>
      <c r="L138" s="8">
        <f t="shared" si="2"/>
        <v>256</v>
      </c>
      <c r="M138" s="8">
        <v>512</v>
      </c>
      <c r="N138" s="1" t="s">
        <v>217</v>
      </c>
      <c r="O138" s="1" t="s">
        <v>186</v>
      </c>
      <c r="P138" s="9">
        <v>62.1</v>
      </c>
      <c r="Q138" s="10">
        <v>44493</v>
      </c>
      <c r="R138" s="6">
        <v>8860</v>
      </c>
      <c r="S138" s="1" t="s">
        <v>194</v>
      </c>
      <c r="T138" s="1" t="s">
        <v>586</v>
      </c>
    </row>
    <row r="139" spans="1:20" x14ac:dyDescent="0.25">
      <c r="A139" s="1" t="s">
        <v>587</v>
      </c>
      <c r="B139" s="1" t="s">
        <v>131</v>
      </c>
      <c r="C139" s="1" t="s">
        <v>132</v>
      </c>
      <c r="D139" s="1" t="s">
        <v>559</v>
      </c>
      <c r="E139" s="1" t="s">
        <v>588</v>
      </c>
      <c r="F139" s="1" t="s">
        <v>120</v>
      </c>
      <c r="G139" s="1" t="s">
        <v>174</v>
      </c>
      <c r="H139" s="1" t="s">
        <v>202</v>
      </c>
      <c r="I139" s="1" t="s">
        <v>289</v>
      </c>
      <c r="J139" s="8">
        <v>32</v>
      </c>
      <c r="K139" s="8">
        <v>4</v>
      </c>
      <c r="L139" s="8">
        <f t="shared" si="2"/>
        <v>128</v>
      </c>
      <c r="M139" s="8">
        <v>512</v>
      </c>
      <c r="N139" s="1" t="s">
        <v>185</v>
      </c>
      <c r="O139" s="1" t="s">
        <v>186</v>
      </c>
      <c r="P139" s="9">
        <v>68.8</v>
      </c>
      <c r="Q139" s="10">
        <v>45111</v>
      </c>
      <c r="R139" s="6">
        <v>7845</v>
      </c>
      <c r="S139" s="1" t="s">
        <v>178</v>
      </c>
      <c r="T139" s="1" t="s">
        <v>589</v>
      </c>
    </row>
    <row r="140" spans="1:20" x14ac:dyDescent="0.25">
      <c r="A140" s="1" t="s">
        <v>590</v>
      </c>
      <c r="B140" s="1" t="s">
        <v>131</v>
      </c>
      <c r="C140" s="1" t="s">
        <v>132</v>
      </c>
      <c r="D140" s="1" t="s">
        <v>572</v>
      </c>
      <c r="E140" s="1" t="s">
        <v>591</v>
      </c>
      <c r="F140" s="1" t="s">
        <v>134</v>
      </c>
      <c r="G140" s="1" t="s">
        <v>174</v>
      </c>
      <c r="H140" s="1" t="s">
        <v>198</v>
      </c>
      <c r="I140" s="1" t="s">
        <v>176</v>
      </c>
      <c r="J140" s="8">
        <v>0</v>
      </c>
      <c r="K140" s="8">
        <v>1</v>
      </c>
      <c r="L140" s="8">
        <f t="shared" si="2"/>
        <v>0</v>
      </c>
      <c r="M140" s="8">
        <v>0</v>
      </c>
      <c r="N140" s="1" t="s">
        <v>217</v>
      </c>
      <c r="O140" s="1" t="s">
        <v>176</v>
      </c>
      <c r="P140" s="9">
        <v>34.4</v>
      </c>
      <c r="Q140" s="10">
        <v>45550</v>
      </c>
      <c r="R140" s="6">
        <v>2436</v>
      </c>
      <c r="S140" s="1" t="s">
        <v>194</v>
      </c>
      <c r="T140" s="1" t="s">
        <v>592</v>
      </c>
    </row>
    <row r="141" spans="1:20" x14ac:dyDescent="0.25">
      <c r="A141" s="1" t="s">
        <v>593</v>
      </c>
      <c r="B141" s="1" t="s">
        <v>131</v>
      </c>
      <c r="C141" s="1" t="s">
        <v>132</v>
      </c>
      <c r="D141" s="1" t="s">
        <v>572</v>
      </c>
      <c r="E141" s="1" t="s">
        <v>594</v>
      </c>
      <c r="F141" s="1" t="s">
        <v>134</v>
      </c>
      <c r="G141" s="1" t="s">
        <v>174</v>
      </c>
      <c r="H141" s="1" t="s">
        <v>235</v>
      </c>
      <c r="I141" s="1" t="s">
        <v>176</v>
      </c>
      <c r="J141" s="8">
        <v>0</v>
      </c>
      <c r="K141" s="8">
        <v>2</v>
      </c>
      <c r="L141" s="8">
        <f t="shared" si="2"/>
        <v>0</v>
      </c>
      <c r="M141" s="8">
        <v>0</v>
      </c>
      <c r="N141" s="1" t="s">
        <v>185</v>
      </c>
      <c r="O141" s="1" t="s">
        <v>176</v>
      </c>
      <c r="P141" s="9">
        <v>36.200000000000003</v>
      </c>
      <c r="Q141" s="10">
        <v>44974</v>
      </c>
      <c r="R141" s="6">
        <v>348</v>
      </c>
      <c r="S141" s="1" t="s">
        <v>187</v>
      </c>
      <c r="T141" s="1" t="s">
        <v>595</v>
      </c>
    </row>
    <row r="142" spans="1:20" x14ac:dyDescent="0.25">
      <c r="A142" s="1" t="s">
        <v>596</v>
      </c>
      <c r="B142" s="1" t="s">
        <v>131</v>
      </c>
      <c r="C142" s="1" t="s">
        <v>132</v>
      </c>
      <c r="D142" s="1" t="s">
        <v>572</v>
      </c>
      <c r="E142" s="1" t="s">
        <v>597</v>
      </c>
      <c r="F142" s="1" t="s">
        <v>134</v>
      </c>
      <c r="G142" s="1" t="s">
        <v>191</v>
      </c>
      <c r="H142" s="1" t="s">
        <v>183</v>
      </c>
      <c r="I142" s="1" t="s">
        <v>192</v>
      </c>
      <c r="J142" s="8">
        <v>16</v>
      </c>
      <c r="K142" s="8">
        <v>8</v>
      </c>
      <c r="L142" s="8">
        <f t="shared" si="2"/>
        <v>128</v>
      </c>
      <c r="M142" s="8">
        <v>1024</v>
      </c>
      <c r="N142" s="1" t="s">
        <v>217</v>
      </c>
      <c r="O142" s="1" t="s">
        <v>186</v>
      </c>
      <c r="P142" s="9">
        <v>47.4</v>
      </c>
      <c r="Q142" s="10">
        <v>45561</v>
      </c>
      <c r="R142" s="6">
        <v>5080</v>
      </c>
      <c r="S142" s="1" t="s">
        <v>194</v>
      </c>
      <c r="T142" s="1" t="s">
        <v>598</v>
      </c>
    </row>
    <row r="143" spans="1:20" x14ac:dyDescent="0.25">
      <c r="A143" s="1" t="s">
        <v>599</v>
      </c>
      <c r="B143" s="1" t="s">
        <v>131</v>
      </c>
      <c r="C143" s="1" t="s">
        <v>132</v>
      </c>
      <c r="D143" s="1" t="s">
        <v>559</v>
      </c>
      <c r="E143" s="1" t="s">
        <v>600</v>
      </c>
      <c r="F143" s="1" t="s">
        <v>120</v>
      </c>
      <c r="G143" s="1" t="s">
        <v>207</v>
      </c>
      <c r="H143" s="1" t="s">
        <v>175</v>
      </c>
      <c r="I143" s="1" t="s">
        <v>176</v>
      </c>
      <c r="J143" s="8">
        <v>0</v>
      </c>
      <c r="K143" s="8">
        <v>2</v>
      </c>
      <c r="L143" s="8">
        <f t="shared" si="2"/>
        <v>0</v>
      </c>
      <c r="M143" s="8">
        <v>0</v>
      </c>
      <c r="N143" s="1" t="s">
        <v>185</v>
      </c>
      <c r="O143" s="1" t="s">
        <v>176</v>
      </c>
      <c r="P143" s="9">
        <v>45.1</v>
      </c>
      <c r="Q143" s="10">
        <v>45667</v>
      </c>
      <c r="R143" s="6">
        <v>5151</v>
      </c>
      <c r="S143" s="1" t="s">
        <v>194</v>
      </c>
      <c r="T143" s="1" t="s">
        <v>601</v>
      </c>
    </row>
    <row r="144" spans="1:20" x14ac:dyDescent="0.25">
      <c r="A144" s="1" t="s">
        <v>602</v>
      </c>
      <c r="B144" s="1" t="s">
        <v>131</v>
      </c>
      <c r="C144" s="1" t="s">
        <v>132</v>
      </c>
      <c r="D144" s="1" t="s">
        <v>572</v>
      </c>
      <c r="E144" s="1" t="s">
        <v>603</v>
      </c>
      <c r="F144" s="1" t="s">
        <v>120</v>
      </c>
      <c r="G144" s="1" t="s">
        <v>191</v>
      </c>
      <c r="H144" s="1" t="s">
        <v>175</v>
      </c>
      <c r="I144" s="1" t="s">
        <v>176</v>
      </c>
      <c r="J144" s="8">
        <v>0</v>
      </c>
      <c r="K144" s="8">
        <v>2</v>
      </c>
      <c r="L144" s="8">
        <f t="shared" si="2"/>
        <v>0</v>
      </c>
      <c r="M144" s="8">
        <v>0</v>
      </c>
      <c r="N144" s="1" t="s">
        <v>185</v>
      </c>
      <c r="O144" s="1" t="s">
        <v>176</v>
      </c>
      <c r="P144" s="9">
        <v>19.5</v>
      </c>
      <c r="Q144" s="10">
        <v>45612</v>
      </c>
      <c r="R144" s="6">
        <v>664</v>
      </c>
      <c r="S144" s="1" t="s">
        <v>178</v>
      </c>
      <c r="T144" s="1" t="s">
        <v>604</v>
      </c>
    </row>
    <row r="145" spans="1:20" x14ac:dyDescent="0.25">
      <c r="A145" s="1" t="s">
        <v>605</v>
      </c>
      <c r="B145" s="1" t="s">
        <v>131</v>
      </c>
      <c r="C145" s="1" t="s">
        <v>132</v>
      </c>
      <c r="D145" s="1" t="s">
        <v>559</v>
      </c>
      <c r="E145" s="1" t="s">
        <v>606</v>
      </c>
      <c r="F145" s="1" t="s">
        <v>120</v>
      </c>
      <c r="G145" s="1" t="s">
        <v>191</v>
      </c>
      <c r="H145" s="1" t="s">
        <v>230</v>
      </c>
      <c r="I145" s="1" t="s">
        <v>330</v>
      </c>
      <c r="J145" s="8">
        <v>32</v>
      </c>
      <c r="K145" s="8">
        <v>2</v>
      </c>
      <c r="L145" s="8">
        <f t="shared" si="2"/>
        <v>64</v>
      </c>
      <c r="M145" s="8">
        <v>512</v>
      </c>
      <c r="N145" s="1" t="s">
        <v>177</v>
      </c>
      <c r="O145" s="1" t="s">
        <v>186</v>
      </c>
      <c r="P145" s="9">
        <v>17.7</v>
      </c>
      <c r="Q145" s="10">
        <v>44900</v>
      </c>
      <c r="R145" s="6">
        <v>2444</v>
      </c>
      <c r="S145" s="1" t="s">
        <v>187</v>
      </c>
      <c r="T145" s="1" t="s">
        <v>607</v>
      </c>
    </row>
    <row r="146" spans="1:20" x14ac:dyDescent="0.25">
      <c r="A146" s="1" t="s">
        <v>608</v>
      </c>
      <c r="B146" s="1" t="s">
        <v>131</v>
      </c>
      <c r="C146" s="1" t="s">
        <v>132</v>
      </c>
      <c r="D146" s="1" t="s">
        <v>559</v>
      </c>
      <c r="E146" s="1" t="s">
        <v>569</v>
      </c>
      <c r="F146" s="1" t="s">
        <v>134</v>
      </c>
      <c r="G146" s="1" t="s">
        <v>191</v>
      </c>
      <c r="H146" s="1" t="s">
        <v>175</v>
      </c>
      <c r="I146" s="1" t="s">
        <v>176</v>
      </c>
      <c r="J146" s="8">
        <v>0</v>
      </c>
      <c r="K146" s="8">
        <v>1</v>
      </c>
      <c r="L146" s="8">
        <f t="shared" si="2"/>
        <v>0</v>
      </c>
      <c r="M146" s="8">
        <v>0</v>
      </c>
      <c r="N146" s="1" t="s">
        <v>185</v>
      </c>
      <c r="O146" s="1" t="s">
        <v>176</v>
      </c>
      <c r="P146" s="9">
        <v>17.7</v>
      </c>
      <c r="Q146" s="10">
        <v>45814</v>
      </c>
      <c r="R146" s="6">
        <v>501</v>
      </c>
      <c r="S146" s="1" t="s">
        <v>187</v>
      </c>
      <c r="T146" s="1" t="s">
        <v>609</v>
      </c>
    </row>
    <row r="147" spans="1:20" x14ac:dyDescent="0.25">
      <c r="A147" s="1" t="s">
        <v>610</v>
      </c>
      <c r="B147" s="1" t="s">
        <v>131</v>
      </c>
      <c r="C147" s="1" t="s">
        <v>132</v>
      </c>
      <c r="D147" s="1" t="s">
        <v>572</v>
      </c>
      <c r="E147" s="1" t="s">
        <v>611</v>
      </c>
      <c r="F147" s="1" t="s">
        <v>120</v>
      </c>
      <c r="G147" s="1" t="s">
        <v>191</v>
      </c>
      <c r="H147" s="1" t="s">
        <v>183</v>
      </c>
      <c r="I147" s="1" t="s">
        <v>330</v>
      </c>
      <c r="J147" s="8">
        <v>32</v>
      </c>
      <c r="K147" s="8">
        <v>12</v>
      </c>
      <c r="L147" s="8">
        <f t="shared" si="2"/>
        <v>384</v>
      </c>
      <c r="M147" s="8">
        <v>3072</v>
      </c>
      <c r="N147" s="1" t="s">
        <v>185</v>
      </c>
      <c r="O147" s="1" t="s">
        <v>186</v>
      </c>
      <c r="P147" s="9">
        <v>66.7</v>
      </c>
      <c r="Q147" s="10">
        <v>44632</v>
      </c>
      <c r="R147" s="6">
        <v>20156</v>
      </c>
      <c r="S147" s="1" t="s">
        <v>187</v>
      </c>
      <c r="T147" s="1" t="s">
        <v>612</v>
      </c>
    </row>
    <row r="148" spans="1:20" x14ac:dyDescent="0.25">
      <c r="A148" s="1" t="s">
        <v>613</v>
      </c>
      <c r="B148" s="1" t="s">
        <v>131</v>
      </c>
      <c r="C148" s="1" t="s">
        <v>132</v>
      </c>
      <c r="D148" s="1" t="s">
        <v>559</v>
      </c>
      <c r="E148" s="1" t="s">
        <v>614</v>
      </c>
      <c r="F148" s="1" t="s">
        <v>134</v>
      </c>
      <c r="G148" s="1" t="s">
        <v>191</v>
      </c>
      <c r="H148" s="1" t="s">
        <v>202</v>
      </c>
      <c r="I148" s="1" t="s">
        <v>216</v>
      </c>
      <c r="J148" s="8">
        <v>16</v>
      </c>
      <c r="K148" s="8">
        <v>16</v>
      </c>
      <c r="L148" s="8">
        <f t="shared" si="2"/>
        <v>256</v>
      </c>
      <c r="M148" s="8">
        <v>2048</v>
      </c>
      <c r="N148" s="1" t="s">
        <v>185</v>
      </c>
      <c r="O148" s="1" t="s">
        <v>186</v>
      </c>
      <c r="P148" s="9">
        <v>34.299999999999997</v>
      </c>
      <c r="Q148" s="10">
        <v>45277</v>
      </c>
      <c r="R148" s="6">
        <v>15578</v>
      </c>
      <c r="S148" s="1" t="s">
        <v>187</v>
      </c>
      <c r="T148" s="1" t="s">
        <v>615</v>
      </c>
    </row>
    <row r="149" spans="1:20" x14ac:dyDescent="0.25">
      <c r="A149" s="1" t="s">
        <v>616</v>
      </c>
      <c r="B149" s="1" t="s">
        <v>131</v>
      </c>
      <c r="C149" s="1" t="s">
        <v>132</v>
      </c>
      <c r="D149" s="1" t="s">
        <v>572</v>
      </c>
      <c r="E149" s="1" t="s">
        <v>617</v>
      </c>
      <c r="F149" s="1" t="s">
        <v>120</v>
      </c>
      <c r="G149" s="1" t="s">
        <v>191</v>
      </c>
      <c r="H149" s="1" t="s">
        <v>242</v>
      </c>
      <c r="I149" s="1" t="s">
        <v>192</v>
      </c>
      <c r="J149" s="8">
        <v>16</v>
      </c>
      <c r="K149" s="8">
        <v>16</v>
      </c>
      <c r="L149" s="8">
        <f t="shared" si="2"/>
        <v>256</v>
      </c>
      <c r="M149" s="8">
        <v>2048</v>
      </c>
      <c r="N149" s="1" t="s">
        <v>185</v>
      </c>
      <c r="O149" s="1" t="s">
        <v>193</v>
      </c>
      <c r="P149" s="9">
        <v>29.6</v>
      </c>
      <c r="Q149" s="10">
        <v>45606</v>
      </c>
      <c r="R149" s="6">
        <v>14488</v>
      </c>
      <c r="S149" s="1" t="s">
        <v>187</v>
      </c>
      <c r="T149" s="1" t="s">
        <v>618</v>
      </c>
    </row>
    <row r="150" spans="1:20" x14ac:dyDescent="0.25">
      <c r="A150" s="1" t="s">
        <v>619</v>
      </c>
      <c r="B150" s="1" t="s">
        <v>131</v>
      </c>
      <c r="C150" s="1" t="s">
        <v>132</v>
      </c>
      <c r="D150" s="1" t="s">
        <v>572</v>
      </c>
      <c r="E150" s="1" t="s">
        <v>620</v>
      </c>
      <c r="F150" s="1" t="s">
        <v>134</v>
      </c>
      <c r="G150" s="1" t="s">
        <v>207</v>
      </c>
      <c r="H150" s="1" t="s">
        <v>221</v>
      </c>
      <c r="I150" s="1" t="s">
        <v>259</v>
      </c>
      <c r="J150" s="8">
        <v>64</v>
      </c>
      <c r="K150" s="8">
        <v>8</v>
      </c>
      <c r="L150" s="8">
        <f t="shared" si="2"/>
        <v>512</v>
      </c>
      <c r="M150" s="8">
        <v>4096</v>
      </c>
      <c r="N150" s="1" t="s">
        <v>185</v>
      </c>
      <c r="O150" s="1" t="s">
        <v>186</v>
      </c>
      <c r="P150" s="9">
        <v>59.7</v>
      </c>
      <c r="Q150" s="10">
        <v>44476</v>
      </c>
      <c r="R150" s="6">
        <v>35088</v>
      </c>
      <c r="S150" s="1" t="s">
        <v>178</v>
      </c>
      <c r="T150" s="1" t="s">
        <v>621</v>
      </c>
    </row>
    <row r="151" spans="1:20" x14ac:dyDescent="0.25">
      <c r="A151" s="1" t="s">
        <v>622</v>
      </c>
      <c r="B151" s="1" t="s">
        <v>131</v>
      </c>
      <c r="C151" s="1" t="s">
        <v>132</v>
      </c>
      <c r="D151" s="1" t="s">
        <v>572</v>
      </c>
      <c r="E151" s="1" t="s">
        <v>623</v>
      </c>
      <c r="F151" s="1" t="s">
        <v>120</v>
      </c>
      <c r="G151" s="1" t="s">
        <v>207</v>
      </c>
      <c r="H151" s="1" t="s">
        <v>202</v>
      </c>
      <c r="I151" s="1" t="s">
        <v>208</v>
      </c>
      <c r="J151" s="8">
        <v>128</v>
      </c>
      <c r="K151" s="8">
        <v>4</v>
      </c>
      <c r="L151" s="8">
        <f t="shared" si="2"/>
        <v>512</v>
      </c>
      <c r="M151" s="8">
        <v>15568</v>
      </c>
      <c r="N151" s="1" t="s">
        <v>185</v>
      </c>
      <c r="O151" s="1" t="s">
        <v>186</v>
      </c>
      <c r="P151" s="9">
        <v>34.5</v>
      </c>
      <c r="Q151" s="10">
        <v>44778</v>
      </c>
      <c r="R151" s="6">
        <v>29767</v>
      </c>
      <c r="S151" s="1" t="s">
        <v>187</v>
      </c>
      <c r="T151" s="1" t="s">
        <v>624</v>
      </c>
    </row>
    <row r="152" spans="1:20" x14ac:dyDescent="0.25">
      <c r="A152" s="1" t="s">
        <v>625</v>
      </c>
      <c r="B152" s="1" t="s">
        <v>131</v>
      </c>
      <c r="C152" s="1" t="s">
        <v>132</v>
      </c>
      <c r="D152" s="1" t="s">
        <v>572</v>
      </c>
      <c r="E152" s="1" t="s">
        <v>626</v>
      </c>
      <c r="F152" s="1" t="s">
        <v>134</v>
      </c>
      <c r="G152" s="1" t="s">
        <v>207</v>
      </c>
      <c r="H152" s="1" t="s">
        <v>183</v>
      </c>
      <c r="I152" s="1" t="s">
        <v>184</v>
      </c>
      <c r="J152" s="8">
        <v>8</v>
      </c>
      <c r="K152" s="8">
        <v>8</v>
      </c>
      <c r="L152" s="8">
        <f t="shared" si="2"/>
        <v>64</v>
      </c>
      <c r="M152" s="8">
        <v>256</v>
      </c>
      <c r="N152" s="1" t="s">
        <v>177</v>
      </c>
      <c r="O152" s="1" t="s">
        <v>186</v>
      </c>
      <c r="P152" s="9">
        <v>6.5</v>
      </c>
      <c r="Q152" s="10">
        <v>45819</v>
      </c>
      <c r="R152" s="6">
        <v>2795</v>
      </c>
      <c r="S152" s="1" t="s">
        <v>194</v>
      </c>
      <c r="T152" s="1" t="s">
        <v>627</v>
      </c>
    </row>
    <row r="153" spans="1:20" x14ac:dyDescent="0.25">
      <c r="A153" s="1" t="s">
        <v>628</v>
      </c>
      <c r="B153" s="1" t="s">
        <v>131</v>
      </c>
      <c r="C153" s="1" t="s">
        <v>132</v>
      </c>
      <c r="D153" s="1" t="s">
        <v>559</v>
      </c>
      <c r="E153" s="1" t="s">
        <v>629</v>
      </c>
      <c r="F153" s="1" t="s">
        <v>120</v>
      </c>
      <c r="G153" s="1" t="s">
        <v>191</v>
      </c>
      <c r="H153" s="1" t="s">
        <v>221</v>
      </c>
      <c r="I153" s="1" t="s">
        <v>192</v>
      </c>
      <c r="J153" s="8">
        <v>16</v>
      </c>
      <c r="K153" s="8">
        <v>16</v>
      </c>
      <c r="L153" s="8">
        <f t="shared" si="2"/>
        <v>256</v>
      </c>
      <c r="M153" s="8">
        <v>2048</v>
      </c>
      <c r="N153" s="1" t="s">
        <v>217</v>
      </c>
      <c r="O153" s="1" t="s">
        <v>186</v>
      </c>
      <c r="P153" s="9">
        <v>72.599999999999994</v>
      </c>
      <c r="Q153" s="10">
        <v>44951</v>
      </c>
      <c r="R153" s="6">
        <v>10200</v>
      </c>
      <c r="S153" s="1" t="s">
        <v>178</v>
      </c>
      <c r="T153" s="1" t="s">
        <v>630</v>
      </c>
    </row>
    <row r="154" spans="1:20" x14ac:dyDescent="0.25">
      <c r="A154" s="1" t="s">
        <v>631</v>
      </c>
      <c r="B154" s="1" t="s">
        <v>131</v>
      </c>
      <c r="C154" s="1" t="s">
        <v>132</v>
      </c>
      <c r="D154" s="1" t="s">
        <v>572</v>
      </c>
      <c r="E154" s="1" t="s">
        <v>563</v>
      </c>
      <c r="F154" s="1" t="s">
        <v>134</v>
      </c>
      <c r="G154" s="1" t="s">
        <v>191</v>
      </c>
      <c r="H154" s="1" t="s">
        <v>183</v>
      </c>
      <c r="I154" s="1" t="s">
        <v>216</v>
      </c>
      <c r="J154" s="8">
        <v>16</v>
      </c>
      <c r="K154" s="8">
        <v>8</v>
      </c>
      <c r="L154" s="8">
        <f t="shared" si="2"/>
        <v>128</v>
      </c>
      <c r="M154" s="8">
        <v>1024</v>
      </c>
      <c r="N154" s="1" t="s">
        <v>185</v>
      </c>
      <c r="O154" s="1" t="s">
        <v>186</v>
      </c>
      <c r="P154" s="9">
        <v>50.8</v>
      </c>
      <c r="Q154" s="10">
        <v>44213</v>
      </c>
      <c r="R154" s="6">
        <v>8395</v>
      </c>
      <c r="S154" s="1" t="s">
        <v>187</v>
      </c>
      <c r="T154" s="1" t="s">
        <v>632</v>
      </c>
    </row>
    <row r="155" spans="1:20" x14ac:dyDescent="0.25">
      <c r="A155" s="1" t="s">
        <v>633</v>
      </c>
      <c r="B155" s="1" t="s">
        <v>131</v>
      </c>
      <c r="C155" s="1" t="s">
        <v>132</v>
      </c>
      <c r="D155" s="1" t="s">
        <v>559</v>
      </c>
      <c r="E155" s="1" t="s">
        <v>634</v>
      </c>
      <c r="F155" s="1" t="s">
        <v>120</v>
      </c>
      <c r="G155" s="1" t="s">
        <v>207</v>
      </c>
      <c r="H155" s="1" t="s">
        <v>242</v>
      </c>
      <c r="I155" s="1" t="s">
        <v>192</v>
      </c>
      <c r="J155" s="8">
        <v>16</v>
      </c>
      <c r="K155" s="8">
        <v>3</v>
      </c>
      <c r="L155" s="8">
        <f t="shared" si="2"/>
        <v>48</v>
      </c>
      <c r="M155" s="8">
        <v>384</v>
      </c>
      <c r="N155" s="1" t="s">
        <v>185</v>
      </c>
      <c r="O155" s="1" t="s">
        <v>193</v>
      </c>
      <c r="P155" s="9">
        <v>25.7</v>
      </c>
      <c r="Q155" s="10">
        <v>44576</v>
      </c>
      <c r="R155" s="6">
        <v>3495</v>
      </c>
      <c r="S155" s="1" t="s">
        <v>194</v>
      </c>
      <c r="T155" s="1" t="s">
        <v>635</v>
      </c>
    </row>
    <row r="156" spans="1:20" x14ac:dyDescent="0.25">
      <c r="A156" s="1" t="s">
        <v>636</v>
      </c>
      <c r="B156" s="1" t="s">
        <v>131</v>
      </c>
      <c r="C156" s="1" t="s">
        <v>132</v>
      </c>
      <c r="D156" s="1" t="s">
        <v>572</v>
      </c>
      <c r="E156" s="1" t="s">
        <v>576</v>
      </c>
      <c r="F156" s="1" t="s">
        <v>134</v>
      </c>
      <c r="G156" s="1" t="s">
        <v>191</v>
      </c>
      <c r="H156" s="1" t="s">
        <v>183</v>
      </c>
      <c r="I156" s="1" t="s">
        <v>259</v>
      </c>
      <c r="J156" s="8">
        <v>64</v>
      </c>
      <c r="K156" s="8">
        <v>8</v>
      </c>
      <c r="L156" s="8">
        <f t="shared" si="2"/>
        <v>512</v>
      </c>
      <c r="M156" s="8">
        <v>4096</v>
      </c>
      <c r="N156" s="1" t="s">
        <v>217</v>
      </c>
      <c r="O156" s="1" t="s">
        <v>186</v>
      </c>
      <c r="P156" s="9">
        <v>49.8</v>
      </c>
      <c r="Q156" s="10">
        <v>45387</v>
      </c>
      <c r="R156" s="6">
        <v>19398</v>
      </c>
      <c r="S156" s="1" t="s">
        <v>178</v>
      </c>
      <c r="T156" s="1" t="s">
        <v>637</v>
      </c>
    </row>
    <row r="157" spans="1:20" x14ac:dyDescent="0.25">
      <c r="A157" s="1" t="s">
        <v>638</v>
      </c>
      <c r="B157" s="1" t="s">
        <v>131</v>
      </c>
      <c r="C157" s="1" t="s">
        <v>132</v>
      </c>
      <c r="D157" s="1" t="s">
        <v>572</v>
      </c>
      <c r="E157" s="1" t="s">
        <v>566</v>
      </c>
      <c r="F157" s="1" t="s">
        <v>134</v>
      </c>
      <c r="G157" s="1" t="s">
        <v>207</v>
      </c>
      <c r="H157" s="1" t="s">
        <v>242</v>
      </c>
      <c r="I157" s="1" t="s">
        <v>330</v>
      </c>
      <c r="J157" s="8">
        <v>32</v>
      </c>
      <c r="K157" s="8">
        <v>2</v>
      </c>
      <c r="L157" s="8">
        <f t="shared" si="2"/>
        <v>64</v>
      </c>
      <c r="M157" s="8">
        <v>512</v>
      </c>
      <c r="N157" s="1" t="s">
        <v>177</v>
      </c>
      <c r="O157" s="1" t="s">
        <v>193</v>
      </c>
      <c r="P157" s="9">
        <v>19.399999999999999</v>
      </c>
      <c r="Q157" s="10">
        <v>45742</v>
      </c>
      <c r="R157" s="6">
        <v>2730</v>
      </c>
      <c r="S157" s="1" t="s">
        <v>178</v>
      </c>
      <c r="T157" s="1" t="s">
        <v>639</v>
      </c>
    </row>
    <row r="158" spans="1:20" x14ac:dyDescent="0.25">
      <c r="A158" s="1" t="s">
        <v>640</v>
      </c>
      <c r="B158" s="1" t="s">
        <v>131</v>
      </c>
      <c r="C158" s="1" t="s">
        <v>132</v>
      </c>
      <c r="D158" s="1" t="s">
        <v>559</v>
      </c>
      <c r="E158" s="1" t="s">
        <v>641</v>
      </c>
      <c r="F158" s="1" t="s">
        <v>134</v>
      </c>
      <c r="G158" s="1" t="s">
        <v>174</v>
      </c>
      <c r="H158" s="1" t="s">
        <v>175</v>
      </c>
      <c r="I158" s="1" t="s">
        <v>176</v>
      </c>
      <c r="J158" s="8">
        <v>0</v>
      </c>
      <c r="K158" s="8">
        <v>1</v>
      </c>
      <c r="L158" s="8">
        <f t="shared" si="2"/>
        <v>0</v>
      </c>
      <c r="M158" s="8">
        <v>0</v>
      </c>
      <c r="N158" s="1" t="s">
        <v>185</v>
      </c>
      <c r="O158" s="1" t="s">
        <v>176</v>
      </c>
      <c r="P158" s="9">
        <v>43.7</v>
      </c>
      <c r="Q158" s="10">
        <v>45520</v>
      </c>
      <c r="R158" s="6">
        <v>2530</v>
      </c>
      <c r="S158" s="1" t="s">
        <v>187</v>
      </c>
      <c r="T158" s="1" t="s">
        <v>642</v>
      </c>
    </row>
    <row r="159" spans="1:20" x14ac:dyDescent="0.25">
      <c r="A159" s="1" t="s">
        <v>643</v>
      </c>
      <c r="B159" s="1" t="s">
        <v>131</v>
      </c>
      <c r="C159" s="1" t="s">
        <v>132</v>
      </c>
      <c r="D159" s="1" t="s">
        <v>572</v>
      </c>
      <c r="E159" s="1" t="s">
        <v>644</v>
      </c>
      <c r="F159" s="1" t="s">
        <v>134</v>
      </c>
      <c r="G159" s="1" t="s">
        <v>191</v>
      </c>
      <c r="H159" s="1" t="s">
        <v>230</v>
      </c>
      <c r="I159" s="1" t="s">
        <v>208</v>
      </c>
      <c r="J159" s="8">
        <v>128</v>
      </c>
      <c r="K159" s="8">
        <v>2</v>
      </c>
      <c r="L159" s="8">
        <f t="shared" si="2"/>
        <v>256</v>
      </c>
      <c r="M159" s="8">
        <v>7784</v>
      </c>
      <c r="N159" s="1" t="s">
        <v>185</v>
      </c>
      <c r="O159" s="1" t="s">
        <v>186</v>
      </c>
      <c r="P159" s="9">
        <v>28.2</v>
      </c>
      <c r="Q159" s="10">
        <v>45116</v>
      </c>
      <c r="R159" s="6">
        <v>18599</v>
      </c>
      <c r="S159" s="1" t="s">
        <v>187</v>
      </c>
      <c r="T159" s="1" t="s">
        <v>645</v>
      </c>
    </row>
    <row r="160" spans="1:20" x14ac:dyDescent="0.25">
      <c r="A160" s="1" t="s">
        <v>646</v>
      </c>
      <c r="B160" s="1" t="s">
        <v>131</v>
      </c>
      <c r="C160" s="1" t="s">
        <v>132</v>
      </c>
      <c r="D160" s="1" t="s">
        <v>572</v>
      </c>
      <c r="E160" s="1" t="s">
        <v>647</v>
      </c>
      <c r="F160" s="1" t="s">
        <v>120</v>
      </c>
      <c r="G160" s="1" t="s">
        <v>207</v>
      </c>
      <c r="H160" s="1" t="s">
        <v>221</v>
      </c>
      <c r="I160" s="1" t="s">
        <v>231</v>
      </c>
      <c r="J160" s="8">
        <v>32</v>
      </c>
      <c r="K160" s="8">
        <v>4</v>
      </c>
      <c r="L160" s="8">
        <f t="shared" si="2"/>
        <v>128</v>
      </c>
      <c r="M160" s="8">
        <v>256</v>
      </c>
      <c r="N160" s="1" t="s">
        <v>217</v>
      </c>
      <c r="O160" s="1" t="s">
        <v>186</v>
      </c>
      <c r="P160" s="9">
        <v>41.8</v>
      </c>
      <c r="Q160" s="10">
        <v>45022</v>
      </c>
      <c r="R160" s="6">
        <v>4942</v>
      </c>
      <c r="S160" s="1" t="s">
        <v>178</v>
      </c>
      <c r="T160" s="1" t="s">
        <v>648</v>
      </c>
    </row>
    <row r="161" spans="1:20" x14ac:dyDescent="0.25">
      <c r="A161" s="1" t="s">
        <v>649</v>
      </c>
      <c r="B161" s="1" t="s">
        <v>135</v>
      </c>
      <c r="C161" s="1" t="s">
        <v>136</v>
      </c>
      <c r="D161" s="1" t="s">
        <v>650</v>
      </c>
      <c r="E161" s="1" t="s">
        <v>651</v>
      </c>
      <c r="F161" s="1" t="s">
        <v>652</v>
      </c>
      <c r="G161" s="1" t="s">
        <v>207</v>
      </c>
      <c r="H161" s="1" t="s">
        <v>230</v>
      </c>
      <c r="I161" s="1" t="s">
        <v>282</v>
      </c>
      <c r="J161" s="8">
        <v>32</v>
      </c>
      <c r="K161" s="8">
        <v>12</v>
      </c>
      <c r="L161" s="8">
        <f t="shared" si="2"/>
        <v>384</v>
      </c>
      <c r="M161" s="8">
        <v>3072</v>
      </c>
      <c r="N161" s="1" t="s">
        <v>185</v>
      </c>
      <c r="O161" s="1" t="s">
        <v>186</v>
      </c>
      <c r="P161" s="9">
        <v>85.3</v>
      </c>
      <c r="Q161" s="10">
        <v>45827</v>
      </c>
      <c r="R161" s="6">
        <v>23315</v>
      </c>
      <c r="S161" s="1" t="s">
        <v>187</v>
      </c>
      <c r="T161" s="1" t="s">
        <v>653</v>
      </c>
    </row>
    <row r="162" spans="1:20" x14ac:dyDescent="0.25">
      <c r="A162" s="1" t="s">
        <v>654</v>
      </c>
      <c r="B162" s="1" t="s">
        <v>135</v>
      </c>
      <c r="C162" s="1" t="s">
        <v>136</v>
      </c>
      <c r="D162" s="1" t="s">
        <v>655</v>
      </c>
      <c r="E162" s="1" t="s">
        <v>656</v>
      </c>
      <c r="F162" s="1" t="s">
        <v>138</v>
      </c>
      <c r="G162" s="1" t="s">
        <v>191</v>
      </c>
      <c r="H162" s="1" t="s">
        <v>230</v>
      </c>
      <c r="I162" s="1" t="s">
        <v>208</v>
      </c>
      <c r="J162" s="8">
        <v>128</v>
      </c>
      <c r="K162" s="8">
        <v>4</v>
      </c>
      <c r="L162" s="8">
        <f t="shared" si="2"/>
        <v>512</v>
      </c>
      <c r="M162" s="8">
        <v>15568</v>
      </c>
      <c r="N162" s="1" t="s">
        <v>185</v>
      </c>
      <c r="O162" s="1" t="s">
        <v>186</v>
      </c>
      <c r="P162" s="9">
        <v>37.200000000000003</v>
      </c>
      <c r="Q162" s="10">
        <v>45316</v>
      </c>
      <c r="R162" s="6">
        <v>34165</v>
      </c>
      <c r="S162" s="1" t="s">
        <v>194</v>
      </c>
      <c r="T162" s="1" t="s">
        <v>657</v>
      </c>
    </row>
    <row r="163" spans="1:20" x14ac:dyDescent="0.25">
      <c r="A163" s="1" t="s">
        <v>658</v>
      </c>
      <c r="B163" s="1" t="s">
        <v>135</v>
      </c>
      <c r="C163" s="1" t="s">
        <v>136</v>
      </c>
      <c r="D163" s="1" t="s">
        <v>659</v>
      </c>
      <c r="E163" s="1" t="s">
        <v>660</v>
      </c>
      <c r="F163" s="1" t="s">
        <v>120</v>
      </c>
      <c r="G163" s="1" t="s">
        <v>191</v>
      </c>
      <c r="H163" s="1" t="s">
        <v>198</v>
      </c>
      <c r="I163" s="1" t="s">
        <v>176</v>
      </c>
      <c r="J163" s="8">
        <v>0</v>
      </c>
      <c r="K163" s="8">
        <v>2</v>
      </c>
      <c r="L163" s="8">
        <f t="shared" si="2"/>
        <v>0</v>
      </c>
      <c r="M163" s="8">
        <v>0</v>
      </c>
      <c r="N163" s="1" t="s">
        <v>185</v>
      </c>
      <c r="O163" s="1" t="s">
        <v>176</v>
      </c>
      <c r="P163" s="9">
        <v>35.299999999999997</v>
      </c>
      <c r="Q163" s="10">
        <v>45333</v>
      </c>
      <c r="R163" s="6">
        <v>3718</v>
      </c>
      <c r="S163" s="1" t="s">
        <v>194</v>
      </c>
      <c r="T163" s="1" t="s">
        <v>661</v>
      </c>
    </row>
    <row r="164" spans="1:20" x14ac:dyDescent="0.25">
      <c r="A164" s="1" t="s">
        <v>662</v>
      </c>
      <c r="B164" s="1" t="s">
        <v>135</v>
      </c>
      <c r="C164" s="1" t="s">
        <v>136</v>
      </c>
      <c r="D164" s="1" t="s">
        <v>655</v>
      </c>
      <c r="E164" s="1" t="s">
        <v>663</v>
      </c>
      <c r="F164" s="1" t="s">
        <v>120</v>
      </c>
      <c r="G164" s="1" t="s">
        <v>207</v>
      </c>
      <c r="H164" s="1" t="s">
        <v>230</v>
      </c>
      <c r="I164" s="1" t="s">
        <v>330</v>
      </c>
      <c r="J164" s="8">
        <v>32</v>
      </c>
      <c r="K164" s="8">
        <v>2</v>
      </c>
      <c r="L164" s="8">
        <f t="shared" si="2"/>
        <v>64</v>
      </c>
      <c r="M164" s="8">
        <v>512</v>
      </c>
      <c r="N164" s="1" t="s">
        <v>217</v>
      </c>
      <c r="O164" s="1" t="s">
        <v>186</v>
      </c>
      <c r="P164" s="9">
        <v>52.3</v>
      </c>
      <c r="Q164" s="10">
        <v>45804</v>
      </c>
      <c r="R164" s="6">
        <v>2257</v>
      </c>
      <c r="S164" s="1" t="s">
        <v>178</v>
      </c>
      <c r="T164" s="1" t="s">
        <v>664</v>
      </c>
    </row>
    <row r="165" spans="1:20" x14ac:dyDescent="0.25">
      <c r="A165" s="1" t="s">
        <v>665</v>
      </c>
      <c r="B165" s="1" t="s">
        <v>135</v>
      </c>
      <c r="C165" s="1" t="s">
        <v>136</v>
      </c>
      <c r="D165" s="1" t="s">
        <v>659</v>
      </c>
      <c r="E165" s="1" t="s">
        <v>666</v>
      </c>
      <c r="F165" s="1" t="s">
        <v>120</v>
      </c>
      <c r="G165" s="1" t="s">
        <v>207</v>
      </c>
      <c r="H165" s="1" t="s">
        <v>183</v>
      </c>
      <c r="I165" s="1" t="s">
        <v>203</v>
      </c>
      <c r="J165" s="8">
        <v>16</v>
      </c>
      <c r="K165" s="8">
        <v>2</v>
      </c>
      <c r="L165" s="8">
        <f t="shared" si="2"/>
        <v>32</v>
      </c>
      <c r="M165" s="8">
        <v>128</v>
      </c>
      <c r="N165" s="1" t="s">
        <v>185</v>
      </c>
      <c r="O165" s="1" t="s">
        <v>186</v>
      </c>
      <c r="P165" s="9">
        <v>67.099999999999994</v>
      </c>
      <c r="Q165" s="10">
        <v>45296</v>
      </c>
      <c r="R165" s="6">
        <v>2339</v>
      </c>
      <c r="S165" s="1" t="s">
        <v>187</v>
      </c>
      <c r="T165" s="1" t="s">
        <v>667</v>
      </c>
    </row>
    <row r="166" spans="1:20" x14ac:dyDescent="0.25">
      <c r="A166" s="1" t="s">
        <v>668</v>
      </c>
      <c r="B166" s="1" t="s">
        <v>135</v>
      </c>
      <c r="C166" s="1" t="s">
        <v>136</v>
      </c>
      <c r="D166" s="1" t="s">
        <v>650</v>
      </c>
      <c r="E166" s="1" t="s">
        <v>669</v>
      </c>
      <c r="F166" s="1" t="s">
        <v>120</v>
      </c>
      <c r="G166" s="1" t="s">
        <v>191</v>
      </c>
      <c r="H166" s="1" t="s">
        <v>230</v>
      </c>
      <c r="I166" s="1" t="s">
        <v>359</v>
      </c>
      <c r="J166" s="8">
        <v>96</v>
      </c>
      <c r="K166" s="8">
        <v>2</v>
      </c>
      <c r="L166" s="8">
        <f t="shared" si="2"/>
        <v>192</v>
      </c>
      <c r="M166" s="8">
        <v>3800</v>
      </c>
      <c r="N166" s="1" t="s">
        <v>217</v>
      </c>
      <c r="O166" s="1" t="s">
        <v>186</v>
      </c>
      <c r="P166" s="9">
        <v>80.900000000000006</v>
      </c>
      <c r="Q166" s="10">
        <v>45544</v>
      </c>
      <c r="R166" s="6">
        <v>33668</v>
      </c>
      <c r="S166" s="1" t="s">
        <v>194</v>
      </c>
      <c r="T166" s="1" t="s">
        <v>670</v>
      </c>
    </row>
    <row r="167" spans="1:20" x14ac:dyDescent="0.25">
      <c r="A167" s="1" t="s">
        <v>671</v>
      </c>
      <c r="B167" s="1" t="s">
        <v>135</v>
      </c>
      <c r="C167" s="1" t="s">
        <v>136</v>
      </c>
      <c r="D167" s="1" t="s">
        <v>655</v>
      </c>
      <c r="E167" s="1" t="s">
        <v>666</v>
      </c>
      <c r="F167" s="1" t="s">
        <v>120</v>
      </c>
      <c r="G167" s="1" t="s">
        <v>174</v>
      </c>
      <c r="H167" s="1" t="s">
        <v>183</v>
      </c>
      <c r="I167" s="1" t="s">
        <v>359</v>
      </c>
      <c r="J167" s="8">
        <v>96</v>
      </c>
      <c r="K167" s="8">
        <v>4</v>
      </c>
      <c r="L167" s="8">
        <f t="shared" si="2"/>
        <v>384</v>
      </c>
      <c r="M167" s="8">
        <v>7600</v>
      </c>
      <c r="N167" s="1" t="s">
        <v>185</v>
      </c>
      <c r="O167" s="1" t="s">
        <v>186</v>
      </c>
      <c r="P167" s="9">
        <v>55.9</v>
      </c>
      <c r="Q167" s="10">
        <v>44252</v>
      </c>
      <c r="R167" s="6">
        <v>96543</v>
      </c>
      <c r="S167" s="1" t="s">
        <v>187</v>
      </c>
      <c r="T167" s="1" t="s">
        <v>672</v>
      </c>
    </row>
    <row r="168" spans="1:20" x14ac:dyDescent="0.25">
      <c r="A168" s="1" t="s">
        <v>673</v>
      </c>
      <c r="B168" s="1" t="s">
        <v>135</v>
      </c>
      <c r="C168" s="1" t="s">
        <v>136</v>
      </c>
      <c r="D168" s="1" t="s">
        <v>655</v>
      </c>
      <c r="E168" s="1" t="s">
        <v>669</v>
      </c>
      <c r="F168" s="1" t="s">
        <v>120</v>
      </c>
      <c r="G168" s="1" t="s">
        <v>191</v>
      </c>
      <c r="H168" s="1" t="s">
        <v>230</v>
      </c>
      <c r="I168" s="1" t="s">
        <v>362</v>
      </c>
      <c r="J168" s="8">
        <v>24</v>
      </c>
      <c r="K168" s="8">
        <v>8</v>
      </c>
      <c r="L168" s="8">
        <f t="shared" si="2"/>
        <v>192</v>
      </c>
      <c r="M168" s="8">
        <v>1760</v>
      </c>
      <c r="N168" s="1" t="s">
        <v>185</v>
      </c>
      <c r="O168" s="1" t="s">
        <v>186</v>
      </c>
      <c r="P168" s="9">
        <v>33.700000000000003</v>
      </c>
      <c r="Q168" s="10">
        <v>44934</v>
      </c>
      <c r="R168" s="6">
        <v>44599</v>
      </c>
      <c r="S168" s="1" t="s">
        <v>178</v>
      </c>
      <c r="T168" s="1" t="s">
        <v>674</v>
      </c>
    </row>
    <row r="169" spans="1:20" x14ac:dyDescent="0.25">
      <c r="A169" s="1" t="s">
        <v>675</v>
      </c>
      <c r="B169" s="1" t="s">
        <v>135</v>
      </c>
      <c r="C169" s="1" t="s">
        <v>136</v>
      </c>
      <c r="D169" s="1" t="s">
        <v>659</v>
      </c>
      <c r="E169" s="1" t="s">
        <v>676</v>
      </c>
      <c r="F169" s="1" t="s">
        <v>120</v>
      </c>
      <c r="G169" s="1" t="s">
        <v>174</v>
      </c>
      <c r="H169" s="1" t="s">
        <v>242</v>
      </c>
      <c r="I169" s="1" t="s">
        <v>208</v>
      </c>
      <c r="J169" s="8">
        <v>128</v>
      </c>
      <c r="K169" s="8">
        <v>4</v>
      </c>
      <c r="L169" s="8">
        <f t="shared" si="2"/>
        <v>512</v>
      </c>
      <c r="M169" s="8">
        <v>15568</v>
      </c>
      <c r="N169" s="1" t="s">
        <v>185</v>
      </c>
      <c r="O169" s="1" t="s">
        <v>193</v>
      </c>
      <c r="P169" s="9">
        <v>77.099999999999994</v>
      </c>
      <c r="Q169" s="10">
        <v>45507</v>
      </c>
      <c r="R169" s="6">
        <v>35009</v>
      </c>
      <c r="S169" s="1" t="s">
        <v>187</v>
      </c>
      <c r="T169" s="1" t="s">
        <v>677</v>
      </c>
    </row>
    <row r="170" spans="1:20" x14ac:dyDescent="0.25">
      <c r="A170" s="1" t="s">
        <v>678</v>
      </c>
      <c r="B170" s="1" t="s">
        <v>135</v>
      </c>
      <c r="C170" s="1" t="s">
        <v>136</v>
      </c>
      <c r="D170" s="1" t="s">
        <v>659</v>
      </c>
      <c r="E170" s="1" t="s">
        <v>679</v>
      </c>
      <c r="F170" s="1" t="s">
        <v>138</v>
      </c>
      <c r="G170" s="1" t="s">
        <v>191</v>
      </c>
      <c r="H170" s="1" t="s">
        <v>175</v>
      </c>
      <c r="I170" s="1" t="s">
        <v>176</v>
      </c>
      <c r="J170" s="8">
        <v>0</v>
      </c>
      <c r="K170" s="8">
        <v>1</v>
      </c>
      <c r="L170" s="8">
        <f t="shared" si="2"/>
        <v>0</v>
      </c>
      <c r="M170" s="8">
        <v>0</v>
      </c>
      <c r="N170" s="1" t="s">
        <v>185</v>
      </c>
      <c r="O170" s="1" t="s">
        <v>176</v>
      </c>
      <c r="P170" s="9">
        <v>33.4</v>
      </c>
      <c r="Q170" s="10">
        <v>44977</v>
      </c>
      <c r="R170" s="6">
        <v>843</v>
      </c>
      <c r="S170" s="1" t="s">
        <v>178</v>
      </c>
      <c r="T170" s="1" t="s">
        <v>680</v>
      </c>
    </row>
    <row r="171" spans="1:20" x14ac:dyDescent="0.25">
      <c r="A171" s="1" t="s">
        <v>681</v>
      </c>
      <c r="B171" s="1" t="s">
        <v>135</v>
      </c>
      <c r="C171" s="1" t="s">
        <v>136</v>
      </c>
      <c r="D171" s="1" t="s">
        <v>655</v>
      </c>
      <c r="E171" s="1" t="s">
        <v>682</v>
      </c>
      <c r="F171" s="1" t="s">
        <v>138</v>
      </c>
      <c r="G171" s="1" t="s">
        <v>191</v>
      </c>
      <c r="H171" s="1" t="s">
        <v>230</v>
      </c>
      <c r="I171" s="1" t="s">
        <v>184</v>
      </c>
      <c r="J171" s="8">
        <v>8</v>
      </c>
      <c r="K171" s="8">
        <v>4</v>
      </c>
      <c r="L171" s="8">
        <f t="shared" si="2"/>
        <v>32</v>
      </c>
      <c r="M171" s="8">
        <v>128</v>
      </c>
      <c r="N171" s="1" t="s">
        <v>185</v>
      </c>
      <c r="O171" s="1" t="s">
        <v>186</v>
      </c>
      <c r="P171" s="9">
        <v>73.400000000000006</v>
      </c>
      <c r="Q171" s="10">
        <v>45258</v>
      </c>
      <c r="R171" s="6">
        <v>1715</v>
      </c>
      <c r="S171" s="1" t="s">
        <v>194</v>
      </c>
      <c r="T171" s="1" t="s">
        <v>683</v>
      </c>
    </row>
    <row r="172" spans="1:20" x14ac:dyDescent="0.25">
      <c r="A172" s="1" t="s">
        <v>684</v>
      </c>
      <c r="B172" s="1" t="s">
        <v>135</v>
      </c>
      <c r="C172" s="1" t="s">
        <v>136</v>
      </c>
      <c r="D172" s="1" t="s">
        <v>655</v>
      </c>
      <c r="E172" s="1" t="s">
        <v>651</v>
      </c>
      <c r="F172" s="1" t="s">
        <v>652</v>
      </c>
      <c r="G172" s="1" t="s">
        <v>191</v>
      </c>
      <c r="H172" s="1" t="s">
        <v>230</v>
      </c>
      <c r="I172" s="1" t="s">
        <v>276</v>
      </c>
      <c r="J172" s="8">
        <v>64</v>
      </c>
      <c r="K172" s="8">
        <v>2</v>
      </c>
      <c r="L172" s="8">
        <f t="shared" si="2"/>
        <v>128</v>
      </c>
      <c r="M172" s="8">
        <v>512</v>
      </c>
      <c r="N172" s="1" t="s">
        <v>177</v>
      </c>
      <c r="O172" s="1" t="s">
        <v>186</v>
      </c>
      <c r="P172" s="9">
        <v>16.2</v>
      </c>
      <c r="Q172" s="10">
        <v>44524</v>
      </c>
      <c r="R172" s="6">
        <v>5878</v>
      </c>
      <c r="S172" s="1" t="s">
        <v>187</v>
      </c>
      <c r="T172" s="1" t="s">
        <v>685</v>
      </c>
    </row>
    <row r="173" spans="1:20" x14ac:dyDescent="0.25">
      <c r="A173" s="1" t="s">
        <v>686</v>
      </c>
      <c r="B173" s="1" t="s">
        <v>135</v>
      </c>
      <c r="C173" s="1" t="s">
        <v>136</v>
      </c>
      <c r="D173" s="1" t="s">
        <v>650</v>
      </c>
      <c r="E173" s="1" t="s">
        <v>687</v>
      </c>
      <c r="F173" s="1" t="s">
        <v>138</v>
      </c>
      <c r="G173" s="1" t="s">
        <v>174</v>
      </c>
      <c r="H173" s="1" t="s">
        <v>198</v>
      </c>
      <c r="I173" s="1" t="s">
        <v>176</v>
      </c>
      <c r="J173" s="8">
        <v>0</v>
      </c>
      <c r="K173" s="8">
        <v>1</v>
      </c>
      <c r="L173" s="8">
        <f t="shared" si="2"/>
        <v>0</v>
      </c>
      <c r="M173" s="8">
        <v>0</v>
      </c>
      <c r="N173" s="1" t="s">
        <v>217</v>
      </c>
      <c r="O173" s="1" t="s">
        <v>176</v>
      </c>
      <c r="P173" s="9">
        <v>22.6</v>
      </c>
      <c r="Q173" s="10">
        <v>44284</v>
      </c>
      <c r="R173" s="6">
        <v>1558</v>
      </c>
      <c r="S173" s="1" t="s">
        <v>194</v>
      </c>
      <c r="T173" s="1" t="s">
        <v>688</v>
      </c>
    </row>
    <row r="174" spans="1:20" x14ac:dyDescent="0.25">
      <c r="A174" s="1" t="s">
        <v>689</v>
      </c>
      <c r="B174" s="1" t="s">
        <v>135</v>
      </c>
      <c r="C174" s="1" t="s">
        <v>136</v>
      </c>
      <c r="D174" s="1" t="s">
        <v>659</v>
      </c>
      <c r="E174" s="1" t="s">
        <v>690</v>
      </c>
      <c r="F174" s="1" t="s">
        <v>138</v>
      </c>
      <c r="G174" s="1" t="s">
        <v>191</v>
      </c>
      <c r="H174" s="1" t="s">
        <v>202</v>
      </c>
      <c r="I174" s="1" t="s">
        <v>359</v>
      </c>
      <c r="J174" s="8">
        <v>96</v>
      </c>
      <c r="K174" s="8">
        <v>4</v>
      </c>
      <c r="L174" s="8">
        <f t="shared" si="2"/>
        <v>384</v>
      </c>
      <c r="M174" s="8">
        <v>7600</v>
      </c>
      <c r="N174" s="1" t="s">
        <v>185</v>
      </c>
      <c r="O174" s="1" t="s">
        <v>186</v>
      </c>
      <c r="P174" s="9">
        <v>35.200000000000003</v>
      </c>
      <c r="Q174" s="10">
        <v>45473</v>
      </c>
      <c r="R174" s="6">
        <v>122277</v>
      </c>
      <c r="S174" s="1" t="s">
        <v>187</v>
      </c>
      <c r="T174" s="1" t="s">
        <v>691</v>
      </c>
    </row>
    <row r="175" spans="1:20" x14ac:dyDescent="0.25">
      <c r="A175" s="1" t="s">
        <v>692</v>
      </c>
      <c r="B175" s="1" t="s">
        <v>135</v>
      </c>
      <c r="C175" s="1" t="s">
        <v>136</v>
      </c>
      <c r="D175" s="1" t="s">
        <v>650</v>
      </c>
      <c r="E175" s="1" t="s">
        <v>693</v>
      </c>
      <c r="F175" s="1" t="s">
        <v>652</v>
      </c>
      <c r="G175" s="1" t="s">
        <v>191</v>
      </c>
      <c r="H175" s="1" t="s">
        <v>183</v>
      </c>
      <c r="I175" s="1" t="s">
        <v>226</v>
      </c>
      <c r="J175" s="8">
        <v>16</v>
      </c>
      <c r="K175" s="8">
        <v>3</v>
      </c>
      <c r="L175" s="8">
        <f t="shared" si="2"/>
        <v>48</v>
      </c>
      <c r="M175" s="8">
        <v>192</v>
      </c>
      <c r="N175" s="1" t="s">
        <v>217</v>
      </c>
      <c r="O175" s="1" t="s">
        <v>186</v>
      </c>
      <c r="P175" s="9">
        <v>34.799999999999997</v>
      </c>
      <c r="Q175" s="10">
        <v>45200</v>
      </c>
      <c r="R175" s="6">
        <v>1832</v>
      </c>
      <c r="S175" s="1" t="s">
        <v>194</v>
      </c>
      <c r="T175" s="1" t="s">
        <v>694</v>
      </c>
    </row>
    <row r="176" spans="1:20" x14ac:dyDescent="0.25">
      <c r="A176" s="1" t="s">
        <v>695</v>
      </c>
      <c r="B176" s="1" t="s">
        <v>135</v>
      </c>
      <c r="C176" s="1" t="s">
        <v>136</v>
      </c>
      <c r="D176" s="1" t="s">
        <v>655</v>
      </c>
      <c r="E176" s="1" t="s">
        <v>656</v>
      </c>
      <c r="F176" s="1" t="s">
        <v>138</v>
      </c>
      <c r="G176" s="1" t="s">
        <v>191</v>
      </c>
      <c r="H176" s="1" t="s">
        <v>230</v>
      </c>
      <c r="I176" s="1" t="s">
        <v>259</v>
      </c>
      <c r="J176" s="8">
        <v>64</v>
      </c>
      <c r="K176" s="8">
        <v>16</v>
      </c>
      <c r="L176" s="8">
        <f t="shared" si="2"/>
        <v>1024</v>
      </c>
      <c r="M176" s="8">
        <v>8192</v>
      </c>
      <c r="N176" s="1" t="s">
        <v>185</v>
      </c>
      <c r="O176" s="1" t="s">
        <v>186</v>
      </c>
      <c r="P176" s="9">
        <v>53.3</v>
      </c>
      <c r="Q176" s="10">
        <v>44225</v>
      </c>
      <c r="R176" s="6">
        <v>62198</v>
      </c>
      <c r="S176" s="1" t="s">
        <v>178</v>
      </c>
      <c r="T176" s="1" t="s">
        <v>696</v>
      </c>
    </row>
    <row r="177" spans="1:20" x14ac:dyDescent="0.25">
      <c r="A177" s="1" t="s">
        <v>697</v>
      </c>
      <c r="B177" s="1" t="s">
        <v>135</v>
      </c>
      <c r="C177" s="1" t="s">
        <v>136</v>
      </c>
      <c r="D177" s="1" t="s">
        <v>650</v>
      </c>
      <c r="E177" s="1" t="s">
        <v>666</v>
      </c>
      <c r="F177" s="1" t="s">
        <v>120</v>
      </c>
      <c r="G177" s="1" t="s">
        <v>207</v>
      </c>
      <c r="H177" s="1" t="s">
        <v>183</v>
      </c>
      <c r="I177" s="1" t="s">
        <v>276</v>
      </c>
      <c r="J177" s="8">
        <v>64</v>
      </c>
      <c r="K177" s="8">
        <v>3</v>
      </c>
      <c r="L177" s="8">
        <f t="shared" si="2"/>
        <v>192</v>
      </c>
      <c r="M177" s="8">
        <v>768</v>
      </c>
      <c r="N177" s="1" t="s">
        <v>217</v>
      </c>
      <c r="O177" s="1" t="s">
        <v>186</v>
      </c>
      <c r="P177" s="9">
        <v>39.9</v>
      </c>
      <c r="Q177" s="10">
        <v>45014</v>
      </c>
      <c r="R177" s="6">
        <v>6885</v>
      </c>
      <c r="S177" s="1" t="s">
        <v>178</v>
      </c>
      <c r="T177" s="1" t="s">
        <v>698</v>
      </c>
    </row>
    <row r="178" spans="1:20" x14ac:dyDescent="0.25">
      <c r="A178" s="1" t="s">
        <v>699</v>
      </c>
      <c r="B178" s="1" t="s">
        <v>135</v>
      </c>
      <c r="C178" s="1" t="s">
        <v>136</v>
      </c>
      <c r="D178" s="1" t="s">
        <v>659</v>
      </c>
      <c r="E178" s="1" t="s">
        <v>700</v>
      </c>
      <c r="F178" s="1" t="s">
        <v>652</v>
      </c>
      <c r="G178" s="1" t="s">
        <v>174</v>
      </c>
      <c r="H178" s="1" t="s">
        <v>183</v>
      </c>
      <c r="I178" s="1" t="s">
        <v>289</v>
      </c>
      <c r="J178" s="8">
        <v>32</v>
      </c>
      <c r="K178" s="8">
        <v>12</v>
      </c>
      <c r="L178" s="8">
        <f t="shared" si="2"/>
        <v>384</v>
      </c>
      <c r="M178" s="8">
        <v>1536</v>
      </c>
      <c r="N178" s="1" t="s">
        <v>217</v>
      </c>
      <c r="O178" s="1" t="s">
        <v>186</v>
      </c>
      <c r="P178" s="9">
        <v>44</v>
      </c>
      <c r="Q178" s="10">
        <v>44812</v>
      </c>
      <c r="R178" s="6">
        <v>12983</v>
      </c>
      <c r="S178" s="1" t="s">
        <v>187</v>
      </c>
      <c r="T178" s="1" t="s">
        <v>701</v>
      </c>
    </row>
    <row r="179" spans="1:20" x14ac:dyDescent="0.25">
      <c r="A179" s="1" t="s">
        <v>702</v>
      </c>
      <c r="B179" s="1" t="s">
        <v>135</v>
      </c>
      <c r="C179" s="1" t="s">
        <v>136</v>
      </c>
      <c r="D179" s="1" t="s">
        <v>655</v>
      </c>
      <c r="E179" s="1" t="s">
        <v>656</v>
      </c>
      <c r="F179" s="1" t="s">
        <v>138</v>
      </c>
      <c r="G179" s="1" t="s">
        <v>191</v>
      </c>
      <c r="H179" s="1" t="s">
        <v>230</v>
      </c>
      <c r="I179" s="1" t="s">
        <v>184</v>
      </c>
      <c r="J179" s="8">
        <v>8</v>
      </c>
      <c r="K179" s="8">
        <v>6</v>
      </c>
      <c r="L179" s="8">
        <f t="shared" si="2"/>
        <v>48</v>
      </c>
      <c r="M179" s="8">
        <v>192</v>
      </c>
      <c r="N179" s="1" t="s">
        <v>185</v>
      </c>
      <c r="O179" s="1" t="s">
        <v>186</v>
      </c>
      <c r="P179" s="9">
        <v>71</v>
      </c>
      <c r="Q179" s="10">
        <v>45029</v>
      </c>
      <c r="R179" s="6">
        <v>3392</v>
      </c>
      <c r="S179" s="1" t="s">
        <v>187</v>
      </c>
      <c r="T179" s="1" t="s">
        <v>703</v>
      </c>
    </row>
    <row r="180" spans="1:20" x14ac:dyDescent="0.25">
      <c r="A180" s="1" t="s">
        <v>704</v>
      </c>
      <c r="B180" s="1" t="s">
        <v>135</v>
      </c>
      <c r="C180" s="1" t="s">
        <v>136</v>
      </c>
      <c r="D180" s="1" t="s">
        <v>659</v>
      </c>
      <c r="E180" s="1" t="s">
        <v>705</v>
      </c>
      <c r="F180" s="1" t="s">
        <v>138</v>
      </c>
      <c r="G180" s="1" t="s">
        <v>174</v>
      </c>
      <c r="H180" s="1" t="s">
        <v>198</v>
      </c>
      <c r="I180" s="1" t="s">
        <v>176</v>
      </c>
      <c r="J180" s="8">
        <v>0</v>
      </c>
      <c r="K180" s="8">
        <v>3</v>
      </c>
      <c r="L180" s="8">
        <f t="shared" si="2"/>
        <v>0</v>
      </c>
      <c r="M180" s="8">
        <v>0</v>
      </c>
      <c r="N180" s="1" t="s">
        <v>185</v>
      </c>
      <c r="O180" s="1" t="s">
        <v>176</v>
      </c>
      <c r="P180" s="9">
        <v>36.6</v>
      </c>
      <c r="Q180" s="10">
        <v>45434</v>
      </c>
      <c r="R180" s="6">
        <v>1787</v>
      </c>
      <c r="S180" s="1" t="s">
        <v>187</v>
      </c>
      <c r="T180" s="1" t="s">
        <v>706</v>
      </c>
    </row>
    <row r="181" spans="1:20" x14ac:dyDescent="0.25">
      <c r="A181" s="1" t="s">
        <v>707</v>
      </c>
      <c r="B181" s="1" t="s">
        <v>135</v>
      </c>
      <c r="C181" s="1" t="s">
        <v>136</v>
      </c>
      <c r="D181" s="1" t="s">
        <v>650</v>
      </c>
      <c r="E181" s="1" t="s">
        <v>708</v>
      </c>
      <c r="F181" s="1" t="s">
        <v>138</v>
      </c>
      <c r="G181" s="1" t="s">
        <v>191</v>
      </c>
      <c r="H181" s="1" t="s">
        <v>183</v>
      </c>
      <c r="I181" s="1" t="s">
        <v>184</v>
      </c>
      <c r="J181" s="8">
        <v>8</v>
      </c>
      <c r="K181" s="8">
        <v>10</v>
      </c>
      <c r="L181" s="8">
        <f t="shared" si="2"/>
        <v>80</v>
      </c>
      <c r="M181" s="8">
        <v>320</v>
      </c>
      <c r="N181" s="1" t="s">
        <v>177</v>
      </c>
      <c r="O181" s="1" t="s">
        <v>186</v>
      </c>
      <c r="P181" s="9">
        <v>16.5</v>
      </c>
      <c r="Q181" s="10">
        <v>44463</v>
      </c>
      <c r="R181" s="6">
        <v>3086</v>
      </c>
      <c r="S181" s="1" t="s">
        <v>194</v>
      </c>
      <c r="T181" s="1" t="s">
        <v>709</v>
      </c>
    </row>
    <row r="182" spans="1:20" x14ac:dyDescent="0.25">
      <c r="A182" s="1" t="s">
        <v>710</v>
      </c>
      <c r="B182" s="1" t="s">
        <v>135</v>
      </c>
      <c r="C182" s="1" t="s">
        <v>136</v>
      </c>
      <c r="D182" s="1" t="s">
        <v>655</v>
      </c>
      <c r="E182" s="1" t="s">
        <v>711</v>
      </c>
      <c r="F182" s="1" t="s">
        <v>652</v>
      </c>
      <c r="G182" s="1" t="s">
        <v>207</v>
      </c>
      <c r="H182" s="1" t="s">
        <v>230</v>
      </c>
      <c r="I182" s="1" t="s">
        <v>203</v>
      </c>
      <c r="J182" s="8">
        <v>16</v>
      </c>
      <c r="K182" s="8">
        <v>20</v>
      </c>
      <c r="L182" s="8">
        <f t="shared" si="2"/>
        <v>320</v>
      </c>
      <c r="M182" s="8">
        <v>1280</v>
      </c>
      <c r="N182" s="1" t="s">
        <v>177</v>
      </c>
      <c r="O182" s="1" t="s">
        <v>186</v>
      </c>
      <c r="P182" s="9">
        <v>18.5</v>
      </c>
      <c r="Q182" s="10">
        <v>45639</v>
      </c>
      <c r="R182" s="6">
        <v>10981</v>
      </c>
      <c r="S182" s="1" t="s">
        <v>178</v>
      </c>
      <c r="T182" s="1" t="s">
        <v>712</v>
      </c>
    </row>
    <row r="183" spans="1:20" x14ac:dyDescent="0.25">
      <c r="A183" s="1" t="s">
        <v>713</v>
      </c>
      <c r="B183" s="1" t="s">
        <v>135</v>
      </c>
      <c r="C183" s="1" t="s">
        <v>136</v>
      </c>
      <c r="D183" s="1" t="s">
        <v>659</v>
      </c>
      <c r="E183" s="1" t="s">
        <v>714</v>
      </c>
      <c r="F183" s="1" t="s">
        <v>138</v>
      </c>
      <c r="G183" s="1" t="s">
        <v>174</v>
      </c>
      <c r="H183" s="1" t="s">
        <v>175</v>
      </c>
      <c r="I183" s="1" t="s">
        <v>176</v>
      </c>
      <c r="J183" s="8">
        <v>0</v>
      </c>
      <c r="K183" s="8">
        <v>2</v>
      </c>
      <c r="L183" s="8">
        <f t="shared" si="2"/>
        <v>0</v>
      </c>
      <c r="M183" s="8">
        <v>0</v>
      </c>
      <c r="N183" s="1" t="s">
        <v>185</v>
      </c>
      <c r="O183" s="1" t="s">
        <v>176</v>
      </c>
      <c r="P183" s="9">
        <v>47</v>
      </c>
      <c r="Q183" s="10">
        <v>44519</v>
      </c>
      <c r="R183" s="6">
        <v>4276</v>
      </c>
      <c r="S183" s="1" t="s">
        <v>178</v>
      </c>
      <c r="T183" s="1" t="s">
        <v>715</v>
      </c>
    </row>
    <row r="184" spans="1:20" x14ac:dyDescent="0.25">
      <c r="A184" s="1" t="s">
        <v>716</v>
      </c>
      <c r="B184" s="1" t="s">
        <v>135</v>
      </c>
      <c r="C184" s="1" t="s">
        <v>136</v>
      </c>
      <c r="D184" s="1" t="s">
        <v>650</v>
      </c>
      <c r="E184" s="1" t="s">
        <v>717</v>
      </c>
      <c r="F184" s="1" t="s">
        <v>120</v>
      </c>
      <c r="G184" s="1" t="s">
        <v>191</v>
      </c>
      <c r="H184" s="1" t="s">
        <v>183</v>
      </c>
      <c r="I184" s="1" t="s">
        <v>282</v>
      </c>
      <c r="J184" s="8">
        <v>32</v>
      </c>
      <c r="K184" s="8">
        <v>2</v>
      </c>
      <c r="L184" s="8">
        <f t="shared" si="2"/>
        <v>64</v>
      </c>
      <c r="M184" s="8">
        <v>512</v>
      </c>
      <c r="N184" s="1" t="s">
        <v>217</v>
      </c>
      <c r="O184" s="1" t="s">
        <v>186</v>
      </c>
      <c r="P184" s="9">
        <v>45</v>
      </c>
      <c r="Q184" s="10">
        <v>44619</v>
      </c>
      <c r="R184" s="6">
        <v>2084</v>
      </c>
      <c r="S184" s="1" t="s">
        <v>187</v>
      </c>
      <c r="T184" s="1" t="s">
        <v>718</v>
      </c>
    </row>
    <row r="185" spans="1:20" x14ac:dyDescent="0.25">
      <c r="A185" s="1" t="s">
        <v>719</v>
      </c>
      <c r="B185" s="1" t="s">
        <v>135</v>
      </c>
      <c r="C185" s="1" t="s">
        <v>136</v>
      </c>
      <c r="D185" s="1" t="s">
        <v>650</v>
      </c>
      <c r="E185" s="1" t="s">
        <v>720</v>
      </c>
      <c r="F185" s="1" t="s">
        <v>652</v>
      </c>
      <c r="G185" s="1" t="s">
        <v>207</v>
      </c>
      <c r="H185" s="1" t="s">
        <v>230</v>
      </c>
      <c r="I185" s="1" t="s">
        <v>330</v>
      </c>
      <c r="J185" s="8">
        <v>32</v>
      </c>
      <c r="K185" s="8">
        <v>6</v>
      </c>
      <c r="L185" s="8">
        <f t="shared" si="2"/>
        <v>192</v>
      </c>
      <c r="M185" s="8">
        <v>1536</v>
      </c>
      <c r="N185" s="1" t="s">
        <v>177</v>
      </c>
      <c r="O185" s="1" t="s">
        <v>186</v>
      </c>
      <c r="P185" s="9">
        <v>8.1</v>
      </c>
      <c r="Q185" s="10">
        <v>45826</v>
      </c>
      <c r="R185" s="6">
        <v>7716</v>
      </c>
      <c r="S185" s="1" t="s">
        <v>178</v>
      </c>
      <c r="T185" s="1" t="s">
        <v>721</v>
      </c>
    </row>
    <row r="186" spans="1:20" x14ac:dyDescent="0.25">
      <c r="A186" s="1" t="s">
        <v>722</v>
      </c>
      <c r="B186" s="1" t="s">
        <v>135</v>
      </c>
      <c r="C186" s="1" t="s">
        <v>136</v>
      </c>
      <c r="D186" s="1" t="s">
        <v>659</v>
      </c>
      <c r="E186" s="1" t="s">
        <v>723</v>
      </c>
      <c r="F186" s="1" t="s">
        <v>120</v>
      </c>
      <c r="G186" s="1" t="s">
        <v>191</v>
      </c>
      <c r="H186" s="1" t="s">
        <v>221</v>
      </c>
      <c r="I186" s="1" t="s">
        <v>231</v>
      </c>
      <c r="J186" s="8">
        <v>32</v>
      </c>
      <c r="K186" s="8">
        <v>2</v>
      </c>
      <c r="L186" s="8">
        <f t="shared" si="2"/>
        <v>64</v>
      </c>
      <c r="M186" s="8">
        <v>128</v>
      </c>
      <c r="N186" s="1" t="s">
        <v>177</v>
      </c>
      <c r="O186" s="1" t="s">
        <v>186</v>
      </c>
      <c r="P186" s="9">
        <v>6.2</v>
      </c>
      <c r="Q186" s="10">
        <v>45162</v>
      </c>
      <c r="R186" s="6">
        <v>2277</v>
      </c>
      <c r="S186" s="1" t="s">
        <v>178</v>
      </c>
      <c r="T186" s="1" t="s">
        <v>724</v>
      </c>
    </row>
    <row r="187" spans="1:20" x14ac:dyDescent="0.25">
      <c r="A187" s="1" t="s">
        <v>725</v>
      </c>
      <c r="B187" s="1" t="s">
        <v>135</v>
      </c>
      <c r="C187" s="1" t="s">
        <v>136</v>
      </c>
      <c r="D187" s="1" t="s">
        <v>650</v>
      </c>
      <c r="E187" s="1" t="s">
        <v>714</v>
      </c>
      <c r="F187" s="1" t="s">
        <v>138</v>
      </c>
      <c r="G187" s="1" t="s">
        <v>191</v>
      </c>
      <c r="H187" s="1" t="s">
        <v>175</v>
      </c>
      <c r="I187" s="1" t="s">
        <v>176</v>
      </c>
      <c r="J187" s="8">
        <v>0</v>
      </c>
      <c r="K187" s="8">
        <v>3</v>
      </c>
      <c r="L187" s="8">
        <f t="shared" si="2"/>
        <v>0</v>
      </c>
      <c r="M187" s="8">
        <v>0</v>
      </c>
      <c r="N187" s="1" t="s">
        <v>217</v>
      </c>
      <c r="O187" s="1" t="s">
        <v>176</v>
      </c>
      <c r="P187" s="9">
        <v>29.8</v>
      </c>
      <c r="Q187" s="10">
        <v>45602</v>
      </c>
      <c r="R187" s="6">
        <v>2671</v>
      </c>
      <c r="S187" s="1" t="s">
        <v>178</v>
      </c>
      <c r="T187" s="1" t="s">
        <v>726</v>
      </c>
    </row>
    <row r="188" spans="1:20" x14ac:dyDescent="0.25">
      <c r="A188" s="1" t="s">
        <v>727</v>
      </c>
      <c r="B188" s="1" t="s">
        <v>135</v>
      </c>
      <c r="C188" s="1" t="s">
        <v>136</v>
      </c>
      <c r="D188" s="1" t="s">
        <v>659</v>
      </c>
      <c r="E188" s="1" t="s">
        <v>656</v>
      </c>
      <c r="F188" s="1" t="s">
        <v>138</v>
      </c>
      <c r="G188" s="1" t="s">
        <v>191</v>
      </c>
      <c r="H188" s="1" t="s">
        <v>230</v>
      </c>
      <c r="I188" s="1" t="s">
        <v>289</v>
      </c>
      <c r="J188" s="8">
        <v>32</v>
      </c>
      <c r="K188" s="8">
        <v>8</v>
      </c>
      <c r="L188" s="8">
        <f t="shared" si="2"/>
        <v>256</v>
      </c>
      <c r="M188" s="8">
        <v>1024</v>
      </c>
      <c r="N188" s="1" t="s">
        <v>177</v>
      </c>
      <c r="O188" s="1" t="s">
        <v>186</v>
      </c>
      <c r="P188" s="9">
        <v>14.6</v>
      </c>
      <c r="Q188" s="10">
        <v>44652</v>
      </c>
      <c r="R188" s="6">
        <v>10522</v>
      </c>
      <c r="S188" s="1" t="s">
        <v>187</v>
      </c>
      <c r="T188" s="1" t="s">
        <v>728</v>
      </c>
    </row>
    <row r="189" spans="1:20" x14ac:dyDescent="0.25">
      <c r="A189" s="1" t="s">
        <v>729</v>
      </c>
      <c r="B189" s="1" t="s">
        <v>135</v>
      </c>
      <c r="C189" s="1" t="s">
        <v>136</v>
      </c>
      <c r="D189" s="1" t="s">
        <v>655</v>
      </c>
      <c r="E189" s="1" t="s">
        <v>730</v>
      </c>
      <c r="F189" s="1" t="s">
        <v>138</v>
      </c>
      <c r="G189" s="1" t="s">
        <v>191</v>
      </c>
      <c r="H189" s="1" t="s">
        <v>235</v>
      </c>
      <c r="I189" s="1" t="s">
        <v>176</v>
      </c>
      <c r="J189" s="8">
        <v>0</v>
      </c>
      <c r="K189" s="8">
        <v>2</v>
      </c>
      <c r="L189" s="8">
        <f t="shared" si="2"/>
        <v>0</v>
      </c>
      <c r="M189" s="8">
        <v>0</v>
      </c>
      <c r="N189" s="1" t="s">
        <v>185</v>
      </c>
      <c r="O189" s="1" t="s">
        <v>176</v>
      </c>
      <c r="P189" s="9">
        <v>50.5</v>
      </c>
      <c r="Q189" s="10">
        <v>45447</v>
      </c>
      <c r="R189" s="6">
        <v>3370</v>
      </c>
      <c r="S189" s="1" t="s">
        <v>178</v>
      </c>
      <c r="T189" s="1" t="s">
        <v>731</v>
      </c>
    </row>
    <row r="190" spans="1:20" x14ac:dyDescent="0.25">
      <c r="A190" s="1" t="s">
        <v>732</v>
      </c>
      <c r="B190" s="1" t="s">
        <v>135</v>
      </c>
      <c r="C190" s="1" t="s">
        <v>136</v>
      </c>
      <c r="D190" s="1" t="s">
        <v>650</v>
      </c>
      <c r="E190" s="1" t="s">
        <v>679</v>
      </c>
      <c r="F190" s="1" t="s">
        <v>138</v>
      </c>
      <c r="G190" s="1" t="s">
        <v>191</v>
      </c>
      <c r="H190" s="1" t="s">
        <v>175</v>
      </c>
      <c r="I190" s="1" t="s">
        <v>176</v>
      </c>
      <c r="J190" s="8">
        <v>0</v>
      </c>
      <c r="K190" s="8">
        <v>1</v>
      </c>
      <c r="L190" s="8">
        <f t="shared" si="2"/>
        <v>0</v>
      </c>
      <c r="M190" s="8">
        <v>0</v>
      </c>
      <c r="N190" s="1" t="s">
        <v>177</v>
      </c>
      <c r="O190" s="1" t="s">
        <v>176</v>
      </c>
      <c r="P190" s="9">
        <v>9.4</v>
      </c>
      <c r="Q190" s="10">
        <v>44622</v>
      </c>
      <c r="R190" s="6">
        <v>3146</v>
      </c>
      <c r="S190" s="1" t="s">
        <v>178</v>
      </c>
      <c r="T190" s="1" t="s">
        <v>733</v>
      </c>
    </row>
    <row r="191" spans="1:20" x14ac:dyDescent="0.25">
      <c r="A191" s="1" t="s">
        <v>734</v>
      </c>
      <c r="B191" s="1" t="s">
        <v>135</v>
      </c>
      <c r="C191" s="1" t="s">
        <v>136</v>
      </c>
      <c r="D191" s="1" t="s">
        <v>650</v>
      </c>
      <c r="E191" s="1" t="s">
        <v>735</v>
      </c>
      <c r="F191" s="1" t="s">
        <v>138</v>
      </c>
      <c r="G191" s="1" t="s">
        <v>191</v>
      </c>
      <c r="H191" s="1" t="s">
        <v>183</v>
      </c>
      <c r="I191" s="1" t="s">
        <v>282</v>
      </c>
      <c r="J191" s="8">
        <v>32</v>
      </c>
      <c r="K191" s="8">
        <v>20</v>
      </c>
      <c r="L191" s="8">
        <f t="shared" si="2"/>
        <v>640</v>
      </c>
      <c r="M191" s="8">
        <v>5120</v>
      </c>
      <c r="N191" s="1" t="s">
        <v>185</v>
      </c>
      <c r="O191" s="1" t="s">
        <v>186</v>
      </c>
      <c r="P191" s="9">
        <v>86.4</v>
      </c>
      <c r="Q191" s="10">
        <v>45135</v>
      </c>
      <c r="R191" s="6">
        <v>36908</v>
      </c>
      <c r="S191" s="1" t="s">
        <v>178</v>
      </c>
      <c r="T191" s="1" t="s">
        <v>736</v>
      </c>
    </row>
    <row r="192" spans="1:20" x14ac:dyDescent="0.25">
      <c r="A192" s="1" t="s">
        <v>737</v>
      </c>
      <c r="B192" s="1" t="s">
        <v>135</v>
      </c>
      <c r="C192" s="1" t="s">
        <v>136</v>
      </c>
      <c r="D192" s="1" t="s">
        <v>659</v>
      </c>
      <c r="E192" s="1" t="s">
        <v>738</v>
      </c>
      <c r="F192" s="1" t="s">
        <v>138</v>
      </c>
      <c r="G192" s="1" t="s">
        <v>191</v>
      </c>
      <c r="H192" s="1" t="s">
        <v>183</v>
      </c>
      <c r="I192" s="1" t="s">
        <v>231</v>
      </c>
      <c r="J192" s="8">
        <v>32</v>
      </c>
      <c r="K192" s="8">
        <v>24</v>
      </c>
      <c r="L192" s="8">
        <f t="shared" si="2"/>
        <v>768</v>
      </c>
      <c r="M192" s="8">
        <v>1536</v>
      </c>
      <c r="N192" s="1" t="s">
        <v>217</v>
      </c>
      <c r="O192" s="1" t="s">
        <v>186</v>
      </c>
      <c r="P192" s="9">
        <v>52.5</v>
      </c>
      <c r="Q192" s="10">
        <v>44805</v>
      </c>
      <c r="R192" s="6">
        <v>30972</v>
      </c>
      <c r="S192" s="1" t="s">
        <v>194</v>
      </c>
      <c r="T192" s="1" t="s">
        <v>739</v>
      </c>
    </row>
    <row r="193" spans="1:20" x14ac:dyDescent="0.25">
      <c r="A193" s="1" t="s">
        <v>740</v>
      </c>
      <c r="B193" s="1" t="s">
        <v>135</v>
      </c>
      <c r="C193" s="1" t="s">
        <v>136</v>
      </c>
      <c r="D193" s="1" t="s">
        <v>655</v>
      </c>
      <c r="E193" s="1" t="s">
        <v>741</v>
      </c>
      <c r="F193" s="1" t="s">
        <v>652</v>
      </c>
      <c r="G193" s="1" t="s">
        <v>207</v>
      </c>
      <c r="H193" s="1" t="s">
        <v>175</v>
      </c>
      <c r="I193" s="1" t="s">
        <v>176</v>
      </c>
      <c r="J193" s="8">
        <v>0</v>
      </c>
      <c r="K193" s="8">
        <v>1</v>
      </c>
      <c r="L193" s="8">
        <f t="shared" si="2"/>
        <v>0</v>
      </c>
      <c r="M193" s="8">
        <v>0</v>
      </c>
      <c r="N193" s="1" t="s">
        <v>185</v>
      </c>
      <c r="O193" s="1" t="s">
        <v>176</v>
      </c>
      <c r="P193" s="9">
        <v>46.5</v>
      </c>
      <c r="Q193" s="10">
        <v>45367</v>
      </c>
      <c r="R193" s="6">
        <v>4416</v>
      </c>
      <c r="S193" s="1" t="s">
        <v>178</v>
      </c>
      <c r="T193" s="1" t="s">
        <v>742</v>
      </c>
    </row>
    <row r="194" spans="1:20" x14ac:dyDescent="0.25">
      <c r="A194" s="1" t="s">
        <v>743</v>
      </c>
      <c r="B194" s="1" t="s">
        <v>135</v>
      </c>
      <c r="C194" s="1" t="s">
        <v>136</v>
      </c>
      <c r="D194" s="1" t="s">
        <v>650</v>
      </c>
      <c r="E194" s="1" t="s">
        <v>676</v>
      </c>
      <c r="F194" s="1" t="s">
        <v>120</v>
      </c>
      <c r="G194" s="1" t="s">
        <v>191</v>
      </c>
      <c r="H194" s="1" t="s">
        <v>242</v>
      </c>
      <c r="I194" s="1" t="s">
        <v>548</v>
      </c>
      <c r="J194" s="8">
        <v>40</v>
      </c>
      <c r="K194" s="8">
        <v>8</v>
      </c>
      <c r="L194" s="8">
        <f t="shared" ref="L194:L257" si="3">J194*K194</f>
        <v>320</v>
      </c>
      <c r="M194" s="8">
        <v>2560</v>
      </c>
      <c r="N194" s="1" t="s">
        <v>217</v>
      </c>
      <c r="O194" s="1" t="s">
        <v>193</v>
      </c>
      <c r="P194" s="9">
        <v>64.3</v>
      </c>
      <c r="Q194" s="10">
        <v>45742</v>
      </c>
      <c r="R194" s="6">
        <v>40025</v>
      </c>
      <c r="S194" s="1" t="s">
        <v>187</v>
      </c>
      <c r="T194" s="1" t="s">
        <v>744</v>
      </c>
    </row>
    <row r="195" spans="1:20" x14ac:dyDescent="0.25">
      <c r="A195" s="1" t="s">
        <v>745</v>
      </c>
      <c r="B195" s="1" t="s">
        <v>135</v>
      </c>
      <c r="C195" s="1" t="s">
        <v>136</v>
      </c>
      <c r="D195" s="1" t="s">
        <v>655</v>
      </c>
      <c r="E195" s="1" t="s">
        <v>746</v>
      </c>
      <c r="F195" s="1" t="s">
        <v>120</v>
      </c>
      <c r="G195" s="1" t="s">
        <v>191</v>
      </c>
      <c r="H195" s="1" t="s">
        <v>242</v>
      </c>
      <c r="I195" s="1" t="s">
        <v>208</v>
      </c>
      <c r="J195" s="8">
        <v>128</v>
      </c>
      <c r="K195" s="8">
        <v>6</v>
      </c>
      <c r="L195" s="8">
        <f t="shared" si="3"/>
        <v>768</v>
      </c>
      <c r="M195" s="8">
        <v>23352</v>
      </c>
      <c r="N195" s="1" t="s">
        <v>185</v>
      </c>
      <c r="O195" s="1" t="s">
        <v>193</v>
      </c>
      <c r="P195" s="9">
        <v>62.2</v>
      </c>
      <c r="Q195" s="10">
        <v>44989</v>
      </c>
      <c r="R195" s="6">
        <v>55432</v>
      </c>
      <c r="S195" s="1" t="s">
        <v>178</v>
      </c>
      <c r="T195" s="1" t="s">
        <v>747</v>
      </c>
    </row>
    <row r="196" spans="1:20" x14ac:dyDescent="0.25">
      <c r="A196" s="1" t="s">
        <v>748</v>
      </c>
      <c r="B196" s="1" t="s">
        <v>135</v>
      </c>
      <c r="C196" s="1" t="s">
        <v>136</v>
      </c>
      <c r="D196" s="1" t="s">
        <v>650</v>
      </c>
      <c r="E196" s="1" t="s">
        <v>749</v>
      </c>
      <c r="F196" s="1" t="s">
        <v>138</v>
      </c>
      <c r="G196" s="1" t="s">
        <v>191</v>
      </c>
      <c r="H196" s="1" t="s">
        <v>235</v>
      </c>
      <c r="I196" s="1" t="s">
        <v>176</v>
      </c>
      <c r="J196" s="8">
        <v>0</v>
      </c>
      <c r="K196" s="8">
        <v>2</v>
      </c>
      <c r="L196" s="8">
        <f t="shared" si="3"/>
        <v>0</v>
      </c>
      <c r="M196" s="8">
        <v>0</v>
      </c>
      <c r="N196" s="1" t="s">
        <v>185</v>
      </c>
      <c r="O196" s="1" t="s">
        <v>176</v>
      </c>
      <c r="P196" s="9">
        <v>14.9</v>
      </c>
      <c r="Q196" s="10">
        <v>45088</v>
      </c>
      <c r="R196" s="6">
        <v>4686</v>
      </c>
      <c r="S196" s="1" t="s">
        <v>187</v>
      </c>
      <c r="T196" s="1" t="s">
        <v>750</v>
      </c>
    </row>
    <row r="197" spans="1:20" x14ac:dyDescent="0.25">
      <c r="A197" s="1" t="s">
        <v>751</v>
      </c>
      <c r="B197" s="1" t="s">
        <v>135</v>
      </c>
      <c r="C197" s="1" t="s">
        <v>136</v>
      </c>
      <c r="D197" s="1" t="s">
        <v>655</v>
      </c>
      <c r="E197" s="1" t="s">
        <v>752</v>
      </c>
      <c r="F197" s="1" t="s">
        <v>138</v>
      </c>
      <c r="G197" s="1" t="s">
        <v>191</v>
      </c>
      <c r="H197" s="1" t="s">
        <v>221</v>
      </c>
      <c r="I197" s="1" t="s">
        <v>231</v>
      </c>
      <c r="J197" s="8">
        <v>32</v>
      </c>
      <c r="K197" s="8">
        <v>12</v>
      </c>
      <c r="L197" s="8">
        <f t="shared" si="3"/>
        <v>384</v>
      </c>
      <c r="M197" s="8">
        <v>768</v>
      </c>
      <c r="N197" s="1" t="s">
        <v>185</v>
      </c>
      <c r="O197" s="1" t="s">
        <v>186</v>
      </c>
      <c r="P197" s="9">
        <v>72.099999999999994</v>
      </c>
      <c r="Q197" s="10">
        <v>45809</v>
      </c>
      <c r="R197" s="6">
        <v>24821</v>
      </c>
      <c r="S197" s="1" t="s">
        <v>194</v>
      </c>
      <c r="T197" s="1" t="s">
        <v>753</v>
      </c>
    </row>
    <row r="198" spans="1:20" x14ac:dyDescent="0.25">
      <c r="A198" s="1" t="s">
        <v>754</v>
      </c>
      <c r="B198" s="1" t="s">
        <v>135</v>
      </c>
      <c r="C198" s="1" t="s">
        <v>136</v>
      </c>
      <c r="D198" s="1" t="s">
        <v>655</v>
      </c>
      <c r="E198" s="1" t="s">
        <v>717</v>
      </c>
      <c r="F198" s="1" t="s">
        <v>120</v>
      </c>
      <c r="G198" s="1" t="s">
        <v>191</v>
      </c>
      <c r="H198" s="1" t="s">
        <v>183</v>
      </c>
      <c r="I198" s="1" t="s">
        <v>259</v>
      </c>
      <c r="J198" s="8">
        <v>64</v>
      </c>
      <c r="K198" s="8">
        <v>10</v>
      </c>
      <c r="L198" s="8">
        <f t="shared" si="3"/>
        <v>640</v>
      </c>
      <c r="M198" s="8">
        <v>5120</v>
      </c>
      <c r="N198" s="1" t="s">
        <v>217</v>
      </c>
      <c r="O198" s="1" t="s">
        <v>186</v>
      </c>
      <c r="P198" s="9">
        <v>78.5</v>
      </c>
      <c r="Q198" s="10">
        <v>45294</v>
      </c>
      <c r="R198" s="6">
        <v>24190</v>
      </c>
      <c r="S198" s="1" t="s">
        <v>178</v>
      </c>
      <c r="T198" s="1" t="s">
        <v>755</v>
      </c>
    </row>
    <row r="199" spans="1:20" x14ac:dyDescent="0.25">
      <c r="A199" s="1" t="s">
        <v>756</v>
      </c>
      <c r="B199" s="1" t="s">
        <v>135</v>
      </c>
      <c r="C199" s="1" t="s">
        <v>136</v>
      </c>
      <c r="D199" s="1" t="s">
        <v>650</v>
      </c>
      <c r="E199" s="1" t="s">
        <v>752</v>
      </c>
      <c r="F199" s="1" t="s">
        <v>138</v>
      </c>
      <c r="G199" s="1" t="s">
        <v>191</v>
      </c>
      <c r="H199" s="1" t="s">
        <v>221</v>
      </c>
      <c r="I199" s="1" t="s">
        <v>282</v>
      </c>
      <c r="J199" s="8">
        <v>32</v>
      </c>
      <c r="K199" s="8">
        <v>3</v>
      </c>
      <c r="L199" s="8">
        <f t="shared" si="3"/>
        <v>96</v>
      </c>
      <c r="M199" s="8">
        <v>768</v>
      </c>
      <c r="N199" s="1" t="s">
        <v>177</v>
      </c>
      <c r="O199" s="1" t="s">
        <v>186</v>
      </c>
      <c r="P199" s="9">
        <v>6.5</v>
      </c>
      <c r="Q199" s="10">
        <v>45698</v>
      </c>
      <c r="R199" s="6">
        <v>4710</v>
      </c>
      <c r="S199" s="1" t="s">
        <v>194</v>
      </c>
      <c r="T199" s="1" t="s">
        <v>757</v>
      </c>
    </row>
    <row r="200" spans="1:20" x14ac:dyDescent="0.25">
      <c r="A200" s="1" t="s">
        <v>758</v>
      </c>
      <c r="B200" s="1" t="s">
        <v>135</v>
      </c>
      <c r="C200" s="1" t="s">
        <v>136</v>
      </c>
      <c r="D200" s="1" t="s">
        <v>655</v>
      </c>
      <c r="E200" s="1" t="s">
        <v>759</v>
      </c>
      <c r="F200" s="1" t="s">
        <v>138</v>
      </c>
      <c r="G200" s="1" t="s">
        <v>191</v>
      </c>
      <c r="H200" s="1" t="s">
        <v>230</v>
      </c>
      <c r="I200" s="1" t="s">
        <v>276</v>
      </c>
      <c r="J200" s="8">
        <v>64</v>
      </c>
      <c r="K200" s="8">
        <v>12</v>
      </c>
      <c r="L200" s="8">
        <f t="shared" si="3"/>
        <v>768</v>
      </c>
      <c r="M200" s="8">
        <v>3072</v>
      </c>
      <c r="N200" s="1" t="s">
        <v>185</v>
      </c>
      <c r="O200" s="1" t="s">
        <v>186</v>
      </c>
      <c r="P200" s="9">
        <v>82.3</v>
      </c>
      <c r="Q200" s="10">
        <v>45389</v>
      </c>
      <c r="R200" s="6">
        <v>41651</v>
      </c>
      <c r="S200" s="1" t="s">
        <v>187</v>
      </c>
      <c r="T200" s="1" t="s">
        <v>760</v>
      </c>
    </row>
    <row r="201" spans="1:20" x14ac:dyDescent="0.25">
      <c r="A201" s="1" t="s">
        <v>761</v>
      </c>
      <c r="B201" s="1" t="s">
        <v>135</v>
      </c>
      <c r="C201" s="1" t="s">
        <v>136</v>
      </c>
      <c r="D201" s="1" t="s">
        <v>655</v>
      </c>
      <c r="E201" s="1" t="s">
        <v>762</v>
      </c>
      <c r="F201" s="1" t="s">
        <v>120</v>
      </c>
      <c r="G201" s="1" t="s">
        <v>207</v>
      </c>
      <c r="H201" s="1" t="s">
        <v>183</v>
      </c>
      <c r="I201" s="1" t="s">
        <v>276</v>
      </c>
      <c r="J201" s="8">
        <v>64</v>
      </c>
      <c r="K201" s="8">
        <v>4</v>
      </c>
      <c r="L201" s="8">
        <f t="shared" si="3"/>
        <v>256</v>
      </c>
      <c r="M201" s="8">
        <v>1024</v>
      </c>
      <c r="N201" s="1" t="s">
        <v>217</v>
      </c>
      <c r="O201" s="1" t="s">
        <v>186</v>
      </c>
      <c r="P201" s="9">
        <v>31.5</v>
      </c>
      <c r="Q201" s="10">
        <v>44228</v>
      </c>
      <c r="R201" s="6">
        <v>8418</v>
      </c>
      <c r="S201" s="1" t="s">
        <v>178</v>
      </c>
      <c r="T201" s="1" t="s">
        <v>763</v>
      </c>
    </row>
    <row r="202" spans="1:20" x14ac:dyDescent="0.25">
      <c r="A202" s="1" t="s">
        <v>764</v>
      </c>
      <c r="B202" s="1" t="s">
        <v>135</v>
      </c>
      <c r="C202" s="1" t="s">
        <v>136</v>
      </c>
      <c r="D202" s="1" t="s">
        <v>650</v>
      </c>
      <c r="E202" s="1" t="s">
        <v>720</v>
      </c>
      <c r="F202" s="1" t="s">
        <v>652</v>
      </c>
      <c r="G202" s="1" t="s">
        <v>191</v>
      </c>
      <c r="H202" s="1" t="s">
        <v>230</v>
      </c>
      <c r="I202" s="1" t="s">
        <v>330</v>
      </c>
      <c r="J202" s="8">
        <v>32</v>
      </c>
      <c r="K202" s="8">
        <v>24</v>
      </c>
      <c r="L202" s="8">
        <f t="shared" si="3"/>
        <v>768</v>
      </c>
      <c r="M202" s="8">
        <v>6144</v>
      </c>
      <c r="N202" s="1" t="s">
        <v>177</v>
      </c>
      <c r="O202" s="1" t="s">
        <v>186</v>
      </c>
      <c r="P202" s="9">
        <v>14</v>
      </c>
      <c r="Q202" s="10">
        <v>44569</v>
      </c>
      <c r="R202" s="6">
        <v>27533</v>
      </c>
      <c r="S202" s="1" t="s">
        <v>194</v>
      </c>
      <c r="T202" s="1" t="s">
        <v>765</v>
      </c>
    </row>
    <row r="203" spans="1:20" x14ac:dyDescent="0.25">
      <c r="A203" s="1" t="s">
        <v>766</v>
      </c>
      <c r="B203" s="1" t="s">
        <v>135</v>
      </c>
      <c r="C203" s="1" t="s">
        <v>136</v>
      </c>
      <c r="D203" s="1" t="s">
        <v>659</v>
      </c>
      <c r="E203" s="1" t="s">
        <v>738</v>
      </c>
      <c r="F203" s="1" t="s">
        <v>138</v>
      </c>
      <c r="G203" s="1" t="s">
        <v>191</v>
      </c>
      <c r="H203" s="1" t="s">
        <v>183</v>
      </c>
      <c r="I203" s="1" t="s">
        <v>548</v>
      </c>
      <c r="J203" s="8">
        <v>40</v>
      </c>
      <c r="K203" s="8">
        <v>10</v>
      </c>
      <c r="L203" s="8">
        <f t="shared" si="3"/>
        <v>400</v>
      </c>
      <c r="M203" s="8">
        <v>3200</v>
      </c>
      <c r="N203" s="1" t="s">
        <v>177</v>
      </c>
      <c r="O203" s="1" t="s">
        <v>186</v>
      </c>
      <c r="P203" s="9">
        <v>20.7</v>
      </c>
      <c r="Q203" s="10">
        <v>45340</v>
      </c>
      <c r="R203" s="6">
        <v>82481</v>
      </c>
      <c r="S203" s="1" t="s">
        <v>187</v>
      </c>
      <c r="T203" s="1" t="s">
        <v>767</v>
      </c>
    </row>
    <row r="204" spans="1:20" x14ac:dyDescent="0.25">
      <c r="A204" s="1" t="s">
        <v>768</v>
      </c>
      <c r="B204" s="1" t="s">
        <v>135</v>
      </c>
      <c r="C204" s="1" t="s">
        <v>136</v>
      </c>
      <c r="D204" s="1" t="s">
        <v>659</v>
      </c>
      <c r="E204" s="1" t="s">
        <v>708</v>
      </c>
      <c r="F204" s="1" t="s">
        <v>138</v>
      </c>
      <c r="G204" s="1" t="s">
        <v>191</v>
      </c>
      <c r="H204" s="1" t="s">
        <v>183</v>
      </c>
      <c r="I204" s="1" t="s">
        <v>203</v>
      </c>
      <c r="J204" s="8">
        <v>16</v>
      </c>
      <c r="K204" s="8">
        <v>2</v>
      </c>
      <c r="L204" s="8">
        <f t="shared" si="3"/>
        <v>32</v>
      </c>
      <c r="M204" s="8">
        <v>128</v>
      </c>
      <c r="N204" s="1" t="s">
        <v>217</v>
      </c>
      <c r="O204" s="1" t="s">
        <v>186</v>
      </c>
      <c r="P204" s="9">
        <v>19</v>
      </c>
      <c r="Q204" s="10">
        <v>45087</v>
      </c>
      <c r="R204" s="6">
        <v>1293</v>
      </c>
      <c r="S204" s="1" t="s">
        <v>194</v>
      </c>
      <c r="T204" s="1" t="s">
        <v>769</v>
      </c>
    </row>
    <row r="205" spans="1:20" x14ac:dyDescent="0.25">
      <c r="A205" s="1" t="s">
        <v>770</v>
      </c>
      <c r="B205" s="1" t="s">
        <v>135</v>
      </c>
      <c r="C205" s="1" t="s">
        <v>136</v>
      </c>
      <c r="D205" s="1" t="s">
        <v>659</v>
      </c>
      <c r="E205" s="1" t="s">
        <v>708</v>
      </c>
      <c r="F205" s="1" t="s">
        <v>138</v>
      </c>
      <c r="G205" s="1" t="s">
        <v>191</v>
      </c>
      <c r="H205" s="1" t="s">
        <v>183</v>
      </c>
      <c r="I205" s="1" t="s">
        <v>282</v>
      </c>
      <c r="J205" s="8">
        <v>32</v>
      </c>
      <c r="K205" s="8">
        <v>3</v>
      </c>
      <c r="L205" s="8">
        <f t="shared" si="3"/>
        <v>96</v>
      </c>
      <c r="M205" s="8">
        <v>768</v>
      </c>
      <c r="N205" s="1" t="s">
        <v>217</v>
      </c>
      <c r="O205" s="1" t="s">
        <v>186</v>
      </c>
      <c r="P205" s="9">
        <v>80.2</v>
      </c>
      <c r="Q205" s="10">
        <v>45088</v>
      </c>
      <c r="R205" s="6">
        <v>3285</v>
      </c>
      <c r="S205" s="1" t="s">
        <v>187</v>
      </c>
      <c r="T205" s="1" t="s">
        <v>771</v>
      </c>
    </row>
    <row r="206" spans="1:20" x14ac:dyDescent="0.25">
      <c r="A206" s="1" t="s">
        <v>772</v>
      </c>
      <c r="B206" s="1" t="s">
        <v>135</v>
      </c>
      <c r="C206" s="1" t="s">
        <v>136</v>
      </c>
      <c r="D206" s="1" t="s">
        <v>650</v>
      </c>
      <c r="E206" s="1" t="s">
        <v>682</v>
      </c>
      <c r="F206" s="1" t="s">
        <v>138</v>
      </c>
      <c r="G206" s="1" t="s">
        <v>191</v>
      </c>
      <c r="H206" s="1" t="s">
        <v>230</v>
      </c>
      <c r="I206" s="1" t="s">
        <v>203</v>
      </c>
      <c r="J206" s="8">
        <v>16</v>
      </c>
      <c r="K206" s="8">
        <v>8</v>
      </c>
      <c r="L206" s="8">
        <f t="shared" si="3"/>
        <v>128</v>
      </c>
      <c r="M206" s="8">
        <v>512</v>
      </c>
      <c r="N206" s="1" t="s">
        <v>185</v>
      </c>
      <c r="O206" s="1" t="s">
        <v>186</v>
      </c>
      <c r="P206" s="9">
        <v>69.7</v>
      </c>
      <c r="Q206" s="10">
        <v>45432</v>
      </c>
      <c r="R206" s="6">
        <v>6999</v>
      </c>
      <c r="S206" s="1" t="s">
        <v>187</v>
      </c>
      <c r="T206" s="1" t="s">
        <v>773</v>
      </c>
    </row>
    <row r="207" spans="1:20" x14ac:dyDescent="0.25">
      <c r="A207" s="1" t="s">
        <v>774</v>
      </c>
      <c r="B207" s="1" t="s">
        <v>135</v>
      </c>
      <c r="C207" s="1" t="s">
        <v>136</v>
      </c>
      <c r="D207" s="1" t="s">
        <v>655</v>
      </c>
      <c r="E207" s="1" t="s">
        <v>775</v>
      </c>
      <c r="F207" s="1" t="s">
        <v>138</v>
      </c>
      <c r="G207" s="1" t="s">
        <v>191</v>
      </c>
      <c r="H207" s="1" t="s">
        <v>183</v>
      </c>
      <c r="I207" s="1" t="s">
        <v>192</v>
      </c>
      <c r="J207" s="8">
        <v>16</v>
      </c>
      <c r="K207" s="8">
        <v>4</v>
      </c>
      <c r="L207" s="8">
        <f t="shared" si="3"/>
        <v>64</v>
      </c>
      <c r="M207" s="8">
        <v>512</v>
      </c>
      <c r="N207" s="1" t="s">
        <v>185</v>
      </c>
      <c r="O207" s="1" t="s">
        <v>186</v>
      </c>
      <c r="P207" s="9">
        <v>32.6</v>
      </c>
      <c r="Q207" s="10">
        <v>44504</v>
      </c>
      <c r="R207" s="6">
        <v>3936</v>
      </c>
      <c r="S207" s="1" t="s">
        <v>187</v>
      </c>
      <c r="T207" s="1" t="s">
        <v>776</v>
      </c>
    </row>
    <row r="208" spans="1:20" x14ac:dyDescent="0.25">
      <c r="A208" s="1" t="s">
        <v>777</v>
      </c>
      <c r="B208" s="1" t="s">
        <v>135</v>
      </c>
      <c r="C208" s="1" t="s">
        <v>136</v>
      </c>
      <c r="D208" s="1" t="s">
        <v>655</v>
      </c>
      <c r="E208" s="1" t="s">
        <v>738</v>
      </c>
      <c r="F208" s="1" t="s">
        <v>138</v>
      </c>
      <c r="G208" s="1" t="s">
        <v>174</v>
      </c>
      <c r="H208" s="1" t="s">
        <v>183</v>
      </c>
      <c r="I208" s="1" t="s">
        <v>282</v>
      </c>
      <c r="J208" s="8">
        <v>32</v>
      </c>
      <c r="K208" s="8">
        <v>16</v>
      </c>
      <c r="L208" s="8">
        <f t="shared" si="3"/>
        <v>512</v>
      </c>
      <c r="M208" s="8">
        <v>4096</v>
      </c>
      <c r="N208" s="1" t="s">
        <v>185</v>
      </c>
      <c r="O208" s="1" t="s">
        <v>186</v>
      </c>
      <c r="P208" s="9">
        <v>87.1</v>
      </c>
      <c r="Q208" s="10">
        <v>45584</v>
      </c>
      <c r="R208" s="6">
        <v>30995</v>
      </c>
      <c r="S208" s="1" t="s">
        <v>187</v>
      </c>
      <c r="T208" s="1" t="s">
        <v>778</v>
      </c>
    </row>
    <row r="209" spans="1:20" x14ac:dyDescent="0.25">
      <c r="A209" s="1" t="s">
        <v>779</v>
      </c>
      <c r="B209" s="1" t="s">
        <v>135</v>
      </c>
      <c r="C209" s="1" t="s">
        <v>136</v>
      </c>
      <c r="D209" s="1" t="s">
        <v>650</v>
      </c>
      <c r="E209" s="1" t="s">
        <v>780</v>
      </c>
      <c r="F209" s="1" t="s">
        <v>120</v>
      </c>
      <c r="G209" s="1" t="s">
        <v>174</v>
      </c>
      <c r="H209" s="1" t="s">
        <v>230</v>
      </c>
      <c r="I209" s="1" t="s">
        <v>203</v>
      </c>
      <c r="J209" s="8">
        <v>16</v>
      </c>
      <c r="K209" s="8">
        <v>12</v>
      </c>
      <c r="L209" s="8">
        <f t="shared" si="3"/>
        <v>192</v>
      </c>
      <c r="M209" s="8">
        <v>768</v>
      </c>
      <c r="N209" s="1" t="s">
        <v>177</v>
      </c>
      <c r="O209" s="1" t="s">
        <v>186</v>
      </c>
      <c r="P209" s="9">
        <v>13.7</v>
      </c>
      <c r="Q209" s="10">
        <v>44866</v>
      </c>
      <c r="R209" s="6">
        <v>7725</v>
      </c>
      <c r="S209" s="1" t="s">
        <v>194</v>
      </c>
      <c r="T209" s="1" t="s">
        <v>781</v>
      </c>
    </row>
    <row r="210" spans="1:20" x14ac:dyDescent="0.25">
      <c r="A210" s="1" t="s">
        <v>782</v>
      </c>
      <c r="B210" s="1" t="s">
        <v>139</v>
      </c>
      <c r="C210" s="1" t="s">
        <v>140</v>
      </c>
      <c r="D210" s="1" t="s">
        <v>783</v>
      </c>
      <c r="E210" s="1" t="s">
        <v>784</v>
      </c>
      <c r="F210" s="1" t="s">
        <v>142</v>
      </c>
      <c r="G210" s="1" t="s">
        <v>191</v>
      </c>
      <c r="H210" s="1" t="s">
        <v>221</v>
      </c>
      <c r="I210" s="1" t="s">
        <v>203</v>
      </c>
      <c r="J210" s="8">
        <v>16</v>
      </c>
      <c r="K210" s="8">
        <v>8</v>
      </c>
      <c r="L210" s="8">
        <f t="shared" si="3"/>
        <v>128</v>
      </c>
      <c r="M210" s="8">
        <v>512</v>
      </c>
      <c r="N210" s="1" t="s">
        <v>217</v>
      </c>
      <c r="O210" s="1" t="s">
        <v>186</v>
      </c>
      <c r="P210" s="9">
        <v>29.8</v>
      </c>
      <c r="Q210" s="10">
        <v>44228</v>
      </c>
      <c r="R210" s="6">
        <v>5252</v>
      </c>
      <c r="S210" s="1" t="s">
        <v>194</v>
      </c>
      <c r="T210" s="1" t="s">
        <v>785</v>
      </c>
    </row>
    <row r="211" spans="1:20" x14ac:dyDescent="0.25">
      <c r="A211" s="1" t="s">
        <v>786</v>
      </c>
      <c r="B211" s="1" t="s">
        <v>139</v>
      </c>
      <c r="C211" s="1" t="s">
        <v>140</v>
      </c>
      <c r="D211" s="1" t="s">
        <v>787</v>
      </c>
      <c r="E211" s="1" t="s">
        <v>788</v>
      </c>
      <c r="F211" s="1" t="s">
        <v>451</v>
      </c>
      <c r="G211" s="1" t="s">
        <v>174</v>
      </c>
      <c r="H211" s="1" t="s">
        <v>202</v>
      </c>
      <c r="I211" s="1" t="s">
        <v>282</v>
      </c>
      <c r="J211" s="8">
        <v>32</v>
      </c>
      <c r="K211" s="8">
        <v>4</v>
      </c>
      <c r="L211" s="8">
        <f t="shared" si="3"/>
        <v>128</v>
      </c>
      <c r="M211" s="8">
        <v>1024</v>
      </c>
      <c r="N211" s="1" t="s">
        <v>185</v>
      </c>
      <c r="O211" s="1" t="s">
        <v>186</v>
      </c>
      <c r="P211" s="9">
        <v>60.4</v>
      </c>
      <c r="Q211" s="10">
        <v>44585</v>
      </c>
      <c r="R211" s="6">
        <v>9899</v>
      </c>
      <c r="S211" s="1" t="s">
        <v>187</v>
      </c>
      <c r="T211" s="1" t="s">
        <v>789</v>
      </c>
    </row>
    <row r="212" spans="1:20" x14ac:dyDescent="0.25">
      <c r="A212" s="1" t="s">
        <v>790</v>
      </c>
      <c r="B212" s="1" t="s">
        <v>139</v>
      </c>
      <c r="C212" s="1" t="s">
        <v>140</v>
      </c>
      <c r="D212" s="1" t="s">
        <v>787</v>
      </c>
      <c r="E212" s="1" t="s">
        <v>791</v>
      </c>
      <c r="F212" s="1" t="s">
        <v>142</v>
      </c>
      <c r="G212" s="1" t="s">
        <v>191</v>
      </c>
      <c r="H212" s="1" t="s">
        <v>235</v>
      </c>
      <c r="I212" s="1" t="s">
        <v>176</v>
      </c>
      <c r="J212" s="8">
        <v>0</v>
      </c>
      <c r="K212" s="8">
        <v>3</v>
      </c>
      <c r="L212" s="8">
        <f t="shared" si="3"/>
        <v>0</v>
      </c>
      <c r="M212" s="8">
        <v>0</v>
      </c>
      <c r="N212" s="1" t="s">
        <v>185</v>
      </c>
      <c r="O212" s="1" t="s">
        <v>176</v>
      </c>
      <c r="P212" s="9">
        <v>24.8</v>
      </c>
      <c r="Q212" s="10">
        <v>44444</v>
      </c>
      <c r="R212" s="6">
        <v>2046</v>
      </c>
      <c r="S212" s="1" t="s">
        <v>194</v>
      </c>
      <c r="T212" s="1" t="s">
        <v>792</v>
      </c>
    </row>
    <row r="213" spans="1:20" x14ac:dyDescent="0.25">
      <c r="A213" s="1" t="s">
        <v>793</v>
      </c>
      <c r="B213" s="1" t="s">
        <v>139</v>
      </c>
      <c r="C213" s="1" t="s">
        <v>140</v>
      </c>
      <c r="D213" s="1" t="s">
        <v>783</v>
      </c>
      <c r="E213" s="1" t="s">
        <v>794</v>
      </c>
      <c r="F213" s="1" t="s">
        <v>142</v>
      </c>
      <c r="G213" s="1" t="s">
        <v>174</v>
      </c>
      <c r="H213" s="1" t="s">
        <v>183</v>
      </c>
      <c r="I213" s="1" t="s">
        <v>330</v>
      </c>
      <c r="J213" s="8">
        <v>32</v>
      </c>
      <c r="K213" s="8">
        <v>20</v>
      </c>
      <c r="L213" s="8">
        <f t="shared" si="3"/>
        <v>640</v>
      </c>
      <c r="M213" s="8">
        <v>5120</v>
      </c>
      <c r="N213" s="1" t="s">
        <v>185</v>
      </c>
      <c r="O213" s="1" t="s">
        <v>186</v>
      </c>
      <c r="P213" s="9">
        <v>42.6</v>
      </c>
      <c r="Q213" s="10">
        <v>45836</v>
      </c>
      <c r="R213" s="6">
        <v>38171</v>
      </c>
      <c r="S213" s="1" t="s">
        <v>187</v>
      </c>
      <c r="T213" s="1" t="s">
        <v>795</v>
      </c>
    </row>
    <row r="214" spans="1:20" x14ac:dyDescent="0.25">
      <c r="A214" s="1" t="s">
        <v>796</v>
      </c>
      <c r="B214" s="1" t="s">
        <v>139</v>
      </c>
      <c r="C214" s="1" t="s">
        <v>140</v>
      </c>
      <c r="D214" s="1" t="s">
        <v>783</v>
      </c>
      <c r="E214" s="1" t="s">
        <v>797</v>
      </c>
      <c r="F214" s="1" t="s">
        <v>142</v>
      </c>
      <c r="G214" s="1" t="s">
        <v>207</v>
      </c>
      <c r="H214" s="1" t="s">
        <v>183</v>
      </c>
      <c r="I214" s="1" t="s">
        <v>259</v>
      </c>
      <c r="J214" s="8">
        <v>64</v>
      </c>
      <c r="K214" s="8">
        <v>6</v>
      </c>
      <c r="L214" s="8">
        <f t="shared" si="3"/>
        <v>384</v>
      </c>
      <c r="M214" s="8">
        <v>3072</v>
      </c>
      <c r="N214" s="1" t="s">
        <v>185</v>
      </c>
      <c r="O214" s="1" t="s">
        <v>186</v>
      </c>
      <c r="P214" s="9">
        <v>64</v>
      </c>
      <c r="Q214" s="10">
        <v>44670</v>
      </c>
      <c r="R214" s="6">
        <v>28105</v>
      </c>
      <c r="S214" s="1" t="s">
        <v>178</v>
      </c>
      <c r="T214" s="1" t="s">
        <v>798</v>
      </c>
    </row>
    <row r="215" spans="1:20" x14ac:dyDescent="0.25">
      <c r="A215" s="1" t="s">
        <v>799</v>
      </c>
      <c r="B215" s="1" t="s">
        <v>139</v>
      </c>
      <c r="C215" s="1" t="s">
        <v>140</v>
      </c>
      <c r="D215" s="1" t="s">
        <v>787</v>
      </c>
      <c r="E215" s="1" t="s">
        <v>800</v>
      </c>
      <c r="F215" s="1" t="s">
        <v>451</v>
      </c>
      <c r="G215" s="1" t="s">
        <v>207</v>
      </c>
      <c r="H215" s="1" t="s">
        <v>183</v>
      </c>
      <c r="I215" s="1" t="s">
        <v>330</v>
      </c>
      <c r="J215" s="8">
        <v>32</v>
      </c>
      <c r="K215" s="8">
        <v>8</v>
      </c>
      <c r="L215" s="8">
        <f t="shared" si="3"/>
        <v>256</v>
      </c>
      <c r="M215" s="8">
        <v>2048</v>
      </c>
      <c r="N215" s="1" t="s">
        <v>185</v>
      </c>
      <c r="O215" s="1" t="s">
        <v>186</v>
      </c>
      <c r="P215" s="9">
        <v>56.7</v>
      </c>
      <c r="Q215" s="10">
        <v>45841</v>
      </c>
      <c r="R215" s="6">
        <v>14405</v>
      </c>
      <c r="S215" s="1" t="s">
        <v>187</v>
      </c>
      <c r="T215" s="1" t="s">
        <v>801</v>
      </c>
    </row>
    <row r="216" spans="1:20" x14ac:dyDescent="0.25">
      <c r="A216" s="1" t="s">
        <v>802</v>
      </c>
      <c r="B216" s="1" t="s">
        <v>139</v>
      </c>
      <c r="C216" s="1" t="s">
        <v>140</v>
      </c>
      <c r="D216" s="1" t="s">
        <v>783</v>
      </c>
      <c r="E216" s="1" t="s">
        <v>803</v>
      </c>
      <c r="F216" s="1" t="s">
        <v>142</v>
      </c>
      <c r="G216" s="1" t="s">
        <v>174</v>
      </c>
      <c r="H216" s="1" t="s">
        <v>235</v>
      </c>
      <c r="I216" s="1" t="s">
        <v>176</v>
      </c>
      <c r="J216" s="8">
        <v>0</v>
      </c>
      <c r="K216" s="8">
        <v>1</v>
      </c>
      <c r="L216" s="8">
        <f t="shared" si="3"/>
        <v>0</v>
      </c>
      <c r="M216" s="8">
        <v>0</v>
      </c>
      <c r="N216" s="1" t="s">
        <v>185</v>
      </c>
      <c r="O216" s="1" t="s">
        <v>176</v>
      </c>
      <c r="P216" s="9">
        <v>53.9</v>
      </c>
      <c r="Q216" s="10">
        <v>44569</v>
      </c>
      <c r="R216" s="6">
        <v>3162</v>
      </c>
      <c r="S216" s="1" t="s">
        <v>178</v>
      </c>
      <c r="T216" s="1" t="s">
        <v>804</v>
      </c>
    </row>
    <row r="217" spans="1:20" x14ac:dyDescent="0.25">
      <c r="A217" s="1" t="s">
        <v>805</v>
      </c>
      <c r="B217" s="1" t="s">
        <v>139</v>
      </c>
      <c r="C217" s="1" t="s">
        <v>140</v>
      </c>
      <c r="D217" s="1" t="s">
        <v>787</v>
      </c>
      <c r="E217" s="1" t="s">
        <v>806</v>
      </c>
      <c r="F217" s="1" t="s">
        <v>451</v>
      </c>
      <c r="G217" s="1" t="s">
        <v>207</v>
      </c>
      <c r="H217" s="1" t="s">
        <v>202</v>
      </c>
      <c r="I217" s="1" t="s">
        <v>231</v>
      </c>
      <c r="J217" s="8">
        <v>32</v>
      </c>
      <c r="K217" s="8">
        <v>3</v>
      </c>
      <c r="L217" s="8">
        <f t="shared" si="3"/>
        <v>96</v>
      </c>
      <c r="M217" s="8">
        <v>192</v>
      </c>
      <c r="N217" s="1" t="s">
        <v>185</v>
      </c>
      <c r="O217" s="1" t="s">
        <v>186</v>
      </c>
      <c r="P217" s="9">
        <v>41.1</v>
      </c>
      <c r="Q217" s="10">
        <v>45793</v>
      </c>
      <c r="R217" s="6">
        <v>5745</v>
      </c>
      <c r="S217" s="1" t="s">
        <v>187</v>
      </c>
      <c r="T217" s="1" t="s">
        <v>807</v>
      </c>
    </row>
    <row r="218" spans="1:20" x14ac:dyDescent="0.25">
      <c r="A218" s="1" t="s">
        <v>808</v>
      </c>
      <c r="B218" s="1" t="s">
        <v>139</v>
      </c>
      <c r="C218" s="1" t="s">
        <v>140</v>
      </c>
      <c r="D218" s="1" t="s">
        <v>787</v>
      </c>
      <c r="E218" s="1" t="s">
        <v>791</v>
      </c>
      <c r="F218" s="1" t="s">
        <v>142</v>
      </c>
      <c r="G218" s="1" t="s">
        <v>174</v>
      </c>
      <c r="H218" s="1" t="s">
        <v>235</v>
      </c>
      <c r="I218" s="1" t="s">
        <v>176</v>
      </c>
      <c r="J218" s="8">
        <v>0</v>
      </c>
      <c r="K218" s="8">
        <v>1</v>
      </c>
      <c r="L218" s="8">
        <f t="shared" si="3"/>
        <v>0</v>
      </c>
      <c r="M218" s="8">
        <v>0</v>
      </c>
      <c r="N218" s="1" t="s">
        <v>185</v>
      </c>
      <c r="O218" s="1" t="s">
        <v>176</v>
      </c>
      <c r="P218" s="9">
        <v>32.799999999999997</v>
      </c>
      <c r="Q218" s="10">
        <v>44235</v>
      </c>
      <c r="R218" s="6">
        <v>1263</v>
      </c>
      <c r="S218" s="1" t="s">
        <v>178</v>
      </c>
      <c r="T218" s="1" t="s">
        <v>809</v>
      </c>
    </row>
    <row r="219" spans="1:20" x14ac:dyDescent="0.25">
      <c r="A219" s="1" t="s">
        <v>810</v>
      </c>
      <c r="B219" s="1" t="s">
        <v>139</v>
      </c>
      <c r="C219" s="1" t="s">
        <v>140</v>
      </c>
      <c r="D219" s="1" t="s">
        <v>787</v>
      </c>
      <c r="E219" s="1" t="s">
        <v>811</v>
      </c>
      <c r="F219" s="1" t="s">
        <v>451</v>
      </c>
      <c r="G219" s="1" t="s">
        <v>207</v>
      </c>
      <c r="H219" s="1" t="s">
        <v>202</v>
      </c>
      <c r="I219" s="1" t="s">
        <v>259</v>
      </c>
      <c r="J219" s="8">
        <v>64</v>
      </c>
      <c r="K219" s="8">
        <v>2</v>
      </c>
      <c r="L219" s="8">
        <f t="shared" si="3"/>
        <v>128</v>
      </c>
      <c r="M219" s="8">
        <v>1024</v>
      </c>
      <c r="N219" s="1" t="s">
        <v>185</v>
      </c>
      <c r="O219" s="1" t="s">
        <v>186</v>
      </c>
      <c r="P219" s="9">
        <v>40.5</v>
      </c>
      <c r="Q219" s="10">
        <v>45045</v>
      </c>
      <c r="R219" s="6">
        <v>7208</v>
      </c>
      <c r="S219" s="1" t="s">
        <v>194</v>
      </c>
      <c r="T219" s="1" t="s">
        <v>812</v>
      </c>
    </row>
    <row r="220" spans="1:20" x14ac:dyDescent="0.25">
      <c r="A220" s="1" t="s">
        <v>813</v>
      </c>
      <c r="B220" s="1" t="s">
        <v>139</v>
      </c>
      <c r="C220" s="1" t="s">
        <v>140</v>
      </c>
      <c r="D220" s="1" t="s">
        <v>783</v>
      </c>
      <c r="E220" s="1" t="s">
        <v>814</v>
      </c>
      <c r="F220" s="1" t="s">
        <v>142</v>
      </c>
      <c r="G220" s="1" t="s">
        <v>207</v>
      </c>
      <c r="H220" s="1" t="s">
        <v>230</v>
      </c>
      <c r="I220" s="1" t="s">
        <v>208</v>
      </c>
      <c r="J220" s="8">
        <v>128</v>
      </c>
      <c r="K220" s="8">
        <v>4</v>
      </c>
      <c r="L220" s="8">
        <f t="shared" si="3"/>
        <v>512</v>
      </c>
      <c r="M220" s="8">
        <v>15568</v>
      </c>
      <c r="N220" s="1" t="s">
        <v>185</v>
      </c>
      <c r="O220" s="1" t="s">
        <v>186</v>
      </c>
      <c r="P220" s="9">
        <v>74.5</v>
      </c>
      <c r="Q220" s="10">
        <v>44328</v>
      </c>
      <c r="R220" s="6">
        <v>35926</v>
      </c>
      <c r="S220" s="1" t="s">
        <v>187</v>
      </c>
      <c r="T220" s="1" t="s">
        <v>815</v>
      </c>
    </row>
    <row r="221" spans="1:20" x14ac:dyDescent="0.25">
      <c r="A221" s="1" t="s">
        <v>816</v>
      </c>
      <c r="B221" s="1" t="s">
        <v>139</v>
      </c>
      <c r="C221" s="1" t="s">
        <v>140</v>
      </c>
      <c r="D221" s="1" t="s">
        <v>787</v>
      </c>
      <c r="E221" s="1" t="s">
        <v>817</v>
      </c>
      <c r="F221" s="1" t="s">
        <v>142</v>
      </c>
      <c r="G221" s="1" t="s">
        <v>207</v>
      </c>
      <c r="H221" s="1" t="s">
        <v>198</v>
      </c>
      <c r="I221" s="1" t="s">
        <v>176</v>
      </c>
      <c r="J221" s="8">
        <v>0</v>
      </c>
      <c r="K221" s="8">
        <v>2</v>
      </c>
      <c r="L221" s="8">
        <f t="shared" si="3"/>
        <v>0</v>
      </c>
      <c r="M221" s="8">
        <v>0</v>
      </c>
      <c r="N221" s="1" t="s">
        <v>177</v>
      </c>
      <c r="O221" s="1" t="s">
        <v>176</v>
      </c>
      <c r="P221" s="9">
        <v>6.4</v>
      </c>
      <c r="Q221" s="10">
        <v>44386</v>
      </c>
      <c r="R221" s="6">
        <v>2605</v>
      </c>
      <c r="S221" s="1" t="s">
        <v>194</v>
      </c>
      <c r="T221" s="1" t="s">
        <v>818</v>
      </c>
    </row>
    <row r="222" spans="1:20" x14ac:dyDescent="0.25">
      <c r="A222" s="1" t="s">
        <v>819</v>
      </c>
      <c r="B222" s="1" t="s">
        <v>139</v>
      </c>
      <c r="C222" s="1" t="s">
        <v>140</v>
      </c>
      <c r="D222" s="1" t="s">
        <v>783</v>
      </c>
      <c r="E222" s="1" t="s">
        <v>820</v>
      </c>
      <c r="F222" s="1" t="s">
        <v>451</v>
      </c>
      <c r="G222" s="1" t="s">
        <v>207</v>
      </c>
      <c r="H222" s="1" t="s">
        <v>175</v>
      </c>
      <c r="I222" s="1" t="s">
        <v>176</v>
      </c>
      <c r="J222" s="8">
        <v>0</v>
      </c>
      <c r="K222" s="8">
        <v>2</v>
      </c>
      <c r="L222" s="8">
        <f t="shared" si="3"/>
        <v>0</v>
      </c>
      <c r="M222" s="8">
        <v>0</v>
      </c>
      <c r="N222" s="1" t="s">
        <v>217</v>
      </c>
      <c r="O222" s="1" t="s">
        <v>176</v>
      </c>
      <c r="P222" s="9">
        <v>32.5</v>
      </c>
      <c r="Q222" s="10">
        <v>44270</v>
      </c>
      <c r="R222" s="6">
        <v>2272</v>
      </c>
      <c r="S222" s="1" t="s">
        <v>194</v>
      </c>
      <c r="T222" s="1" t="s">
        <v>821</v>
      </c>
    </row>
    <row r="223" spans="1:20" x14ac:dyDescent="0.25">
      <c r="A223" s="1" t="s">
        <v>822</v>
      </c>
      <c r="B223" s="1" t="s">
        <v>139</v>
      </c>
      <c r="C223" s="1" t="s">
        <v>140</v>
      </c>
      <c r="D223" s="1" t="s">
        <v>787</v>
      </c>
      <c r="E223" s="1" t="s">
        <v>797</v>
      </c>
      <c r="F223" s="1" t="s">
        <v>142</v>
      </c>
      <c r="G223" s="1" t="s">
        <v>191</v>
      </c>
      <c r="H223" s="1" t="s">
        <v>183</v>
      </c>
      <c r="I223" s="1" t="s">
        <v>192</v>
      </c>
      <c r="J223" s="8">
        <v>16</v>
      </c>
      <c r="K223" s="8">
        <v>2</v>
      </c>
      <c r="L223" s="8">
        <f t="shared" si="3"/>
        <v>32</v>
      </c>
      <c r="M223" s="8">
        <v>256</v>
      </c>
      <c r="N223" s="1" t="s">
        <v>217</v>
      </c>
      <c r="O223" s="1" t="s">
        <v>186</v>
      </c>
      <c r="P223" s="9">
        <v>56.1</v>
      </c>
      <c r="Q223" s="10">
        <v>45290</v>
      </c>
      <c r="R223" s="6">
        <v>1200</v>
      </c>
      <c r="S223" s="1" t="s">
        <v>178</v>
      </c>
      <c r="T223" s="1" t="s">
        <v>823</v>
      </c>
    </row>
    <row r="224" spans="1:20" x14ac:dyDescent="0.25">
      <c r="A224" s="1" t="s">
        <v>824</v>
      </c>
      <c r="B224" s="1" t="s">
        <v>139</v>
      </c>
      <c r="C224" s="1" t="s">
        <v>140</v>
      </c>
      <c r="D224" s="1" t="s">
        <v>783</v>
      </c>
      <c r="E224" s="1" t="s">
        <v>794</v>
      </c>
      <c r="F224" s="1" t="s">
        <v>142</v>
      </c>
      <c r="G224" s="1" t="s">
        <v>191</v>
      </c>
      <c r="H224" s="1" t="s">
        <v>183</v>
      </c>
      <c r="I224" s="1" t="s">
        <v>216</v>
      </c>
      <c r="J224" s="8">
        <v>16</v>
      </c>
      <c r="K224" s="8">
        <v>2</v>
      </c>
      <c r="L224" s="8">
        <f t="shared" si="3"/>
        <v>32</v>
      </c>
      <c r="M224" s="8">
        <v>256</v>
      </c>
      <c r="N224" s="1" t="s">
        <v>185</v>
      </c>
      <c r="O224" s="1" t="s">
        <v>186</v>
      </c>
      <c r="P224" s="9">
        <v>80.5</v>
      </c>
      <c r="Q224" s="10">
        <v>45192</v>
      </c>
      <c r="R224" s="6">
        <v>1994</v>
      </c>
      <c r="S224" s="1" t="s">
        <v>178</v>
      </c>
      <c r="T224" s="1" t="s">
        <v>825</v>
      </c>
    </row>
    <row r="225" spans="1:20" x14ac:dyDescent="0.25">
      <c r="A225" s="1" t="s">
        <v>826</v>
      </c>
      <c r="B225" s="1" t="s">
        <v>139</v>
      </c>
      <c r="C225" s="1" t="s">
        <v>140</v>
      </c>
      <c r="D225" s="1" t="s">
        <v>783</v>
      </c>
      <c r="E225" s="1" t="s">
        <v>827</v>
      </c>
      <c r="F225" s="1" t="s">
        <v>142</v>
      </c>
      <c r="G225" s="1" t="s">
        <v>174</v>
      </c>
      <c r="H225" s="1" t="s">
        <v>221</v>
      </c>
      <c r="I225" s="1" t="s">
        <v>289</v>
      </c>
      <c r="J225" s="8">
        <v>32</v>
      </c>
      <c r="K225" s="8">
        <v>2</v>
      </c>
      <c r="L225" s="8">
        <f t="shared" si="3"/>
        <v>64</v>
      </c>
      <c r="M225" s="8">
        <v>256</v>
      </c>
      <c r="N225" s="1" t="s">
        <v>177</v>
      </c>
      <c r="O225" s="1" t="s">
        <v>186</v>
      </c>
      <c r="P225" s="9">
        <v>21.5</v>
      </c>
      <c r="Q225" s="10">
        <v>45098</v>
      </c>
      <c r="R225" s="6">
        <v>2589</v>
      </c>
      <c r="S225" s="1" t="s">
        <v>178</v>
      </c>
      <c r="T225" s="1" t="s">
        <v>828</v>
      </c>
    </row>
    <row r="226" spans="1:20" x14ac:dyDescent="0.25">
      <c r="A226" s="1" t="s">
        <v>829</v>
      </c>
      <c r="B226" s="1" t="s">
        <v>139</v>
      </c>
      <c r="C226" s="1" t="s">
        <v>140</v>
      </c>
      <c r="D226" s="1" t="s">
        <v>783</v>
      </c>
      <c r="E226" s="1" t="s">
        <v>830</v>
      </c>
      <c r="F226" s="1" t="s">
        <v>142</v>
      </c>
      <c r="G226" s="1" t="s">
        <v>174</v>
      </c>
      <c r="H226" s="1" t="s">
        <v>183</v>
      </c>
      <c r="I226" s="1" t="s">
        <v>203</v>
      </c>
      <c r="J226" s="8">
        <v>16</v>
      </c>
      <c r="K226" s="8">
        <v>24</v>
      </c>
      <c r="L226" s="8">
        <f t="shared" si="3"/>
        <v>384</v>
      </c>
      <c r="M226" s="8">
        <v>1536</v>
      </c>
      <c r="N226" s="1" t="s">
        <v>177</v>
      </c>
      <c r="O226" s="1" t="s">
        <v>186</v>
      </c>
      <c r="P226" s="9">
        <v>4.2</v>
      </c>
      <c r="Q226" s="10">
        <v>44406</v>
      </c>
      <c r="R226" s="6">
        <v>12992</v>
      </c>
      <c r="S226" s="1" t="s">
        <v>194</v>
      </c>
      <c r="T226" s="1" t="s">
        <v>831</v>
      </c>
    </row>
    <row r="227" spans="1:20" x14ac:dyDescent="0.25">
      <c r="A227" s="1" t="s">
        <v>832</v>
      </c>
      <c r="B227" s="1" t="s">
        <v>139</v>
      </c>
      <c r="C227" s="1" t="s">
        <v>140</v>
      </c>
      <c r="D227" s="1" t="s">
        <v>787</v>
      </c>
      <c r="E227" s="1" t="s">
        <v>833</v>
      </c>
      <c r="F227" s="1" t="s">
        <v>142</v>
      </c>
      <c r="G227" s="1" t="s">
        <v>174</v>
      </c>
      <c r="H227" s="1" t="s">
        <v>175</v>
      </c>
      <c r="I227" s="1" t="s">
        <v>176</v>
      </c>
      <c r="J227" s="8">
        <v>0</v>
      </c>
      <c r="K227" s="8">
        <v>1</v>
      </c>
      <c r="L227" s="8">
        <f t="shared" si="3"/>
        <v>0</v>
      </c>
      <c r="M227" s="8">
        <v>0</v>
      </c>
      <c r="N227" s="1" t="s">
        <v>217</v>
      </c>
      <c r="O227" s="1" t="s">
        <v>176</v>
      </c>
      <c r="P227" s="9">
        <v>23.9</v>
      </c>
      <c r="Q227" s="10">
        <v>44319</v>
      </c>
      <c r="R227" s="6">
        <v>177</v>
      </c>
      <c r="S227" s="1" t="s">
        <v>194</v>
      </c>
      <c r="T227" s="1" t="s">
        <v>834</v>
      </c>
    </row>
    <row r="228" spans="1:20" x14ac:dyDescent="0.25">
      <c r="A228" s="1" t="s">
        <v>835</v>
      </c>
      <c r="B228" s="1" t="s">
        <v>139</v>
      </c>
      <c r="C228" s="1" t="s">
        <v>140</v>
      </c>
      <c r="D228" s="1" t="s">
        <v>787</v>
      </c>
      <c r="E228" s="1" t="s">
        <v>836</v>
      </c>
      <c r="F228" s="1" t="s">
        <v>142</v>
      </c>
      <c r="G228" s="1" t="s">
        <v>191</v>
      </c>
      <c r="H228" s="1" t="s">
        <v>230</v>
      </c>
      <c r="I228" s="1" t="s">
        <v>184</v>
      </c>
      <c r="J228" s="8">
        <v>8</v>
      </c>
      <c r="K228" s="8">
        <v>2</v>
      </c>
      <c r="L228" s="8">
        <f t="shared" si="3"/>
        <v>16</v>
      </c>
      <c r="M228" s="8">
        <v>64</v>
      </c>
      <c r="N228" s="1" t="s">
        <v>185</v>
      </c>
      <c r="O228" s="1" t="s">
        <v>186</v>
      </c>
      <c r="P228" s="9">
        <v>28.7</v>
      </c>
      <c r="Q228" s="10">
        <v>44201</v>
      </c>
      <c r="R228" s="6">
        <v>1142</v>
      </c>
      <c r="S228" s="1" t="s">
        <v>187</v>
      </c>
      <c r="T228" s="1" t="s">
        <v>837</v>
      </c>
    </row>
    <row r="229" spans="1:20" x14ac:dyDescent="0.25">
      <c r="A229" s="1" t="s">
        <v>838</v>
      </c>
      <c r="B229" s="1" t="s">
        <v>139</v>
      </c>
      <c r="C229" s="1" t="s">
        <v>140</v>
      </c>
      <c r="D229" s="1" t="s">
        <v>787</v>
      </c>
      <c r="E229" s="1" t="s">
        <v>839</v>
      </c>
      <c r="F229" s="1" t="s">
        <v>451</v>
      </c>
      <c r="G229" s="1" t="s">
        <v>207</v>
      </c>
      <c r="H229" s="1" t="s">
        <v>183</v>
      </c>
      <c r="I229" s="1" t="s">
        <v>208</v>
      </c>
      <c r="J229" s="8">
        <v>128</v>
      </c>
      <c r="K229" s="8">
        <v>8</v>
      </c>
      <c r="L229" s="8">
        <f t="shared" si="3"/>
        <v>1024</v>
      </c>
      <c r="M229" s="8">
        <v>31136</v>
      </c>
      <c r="N229" s="1" t="s">
        <v>217</v>
      </c>
      <c r="O229" s="1" t="s">
        <v>186</v>
      </c>
      <c r="P229" s="9">
        <v>35.4</v>
      </c>
      <c r="Q229" s="10">
        <v>44899</v>
      </c>
      <c r="R229" s="6">
        <v>43313</v>
      </c>
      <c r="S229" s="1" t="s">
        <v>178</v>
      </c>
      <c r="T229" s="1" t="s">
        <v>840</v>
      </c>
    </row>
    <row r="230" spans="1:20" x14ac:dyDescent="0.25">
      <c r="A230" s="1" t="s">
        <v>841</v>
      </c>
      <c r="B230" s="1" t="s">
        <v>139</v>
      </c>
      <c r="C230" s="1" t="s">
        <v>140</v>
      </c>
      <c r="D230" s="1" t="s">
        <v>783</v>
      </c>
      <c r="E230" s="1" t="s">
        <v>842</v>
      </c>
      <c r="F230" s="1" t="s">
        <v>451</v>
      </c>
      <c r="G230" s="1" t="s">
        <v>207</v>
      </c>
      <c r="H230" s="1" t="s">
        <v>183</v>
      </c>
      <c r="I230" s="1" t="s">
        <v>282</v>
      </c>
      <c r="J230" s="8">
        <v>32</v>
      </c>
      <c r="K230" s="8">
        <v>6</v>
      </c>
      <c r="L230" s="8">
        <f t="shared" si="3"/>
        <v>192</v>
      </c>
      <c r="M230" s="8">
        <v>1536</v>
      </c>
      <c r="N230" s="1" t="s">
        <v>185</v>
      </c>
      <c r="O230" s="1" t="s">
        <v>186</v>
      </c>
      <c r="P230" s="9">
        <v>84.7</v>
      </c>
      <c r="Q230" s="10">
        <v>44484</v>
      </c>
      <c r="R230" s="6">
        <v>14525</v>
      </c>
      <c r="S230" s="1" t="s">
        <v>178</v>
      </c>
      <c r="T230" s="1" t="s">
        <v>843</v>
      </c>
    </row>
    <row r="231" spans="1:20" x14ac:dyDescent="0.25">
      <c r="A231" s="1" t="s">
        <v>844</v>
      </c>
      <c r="B231" s="1" t="s">
        <v>139</v>
      </c>
      <c r="C231" s="1" t="s">
        <v>140</v>
      </c>
      <c r="D231" s="1" t="s">
        <v>787</v>
      </c>
      <c r="E231" s="1" t="s">
        <v>797</v>
      </c>
      <c r="F231" s="1" t="s">
        <v>142</v>
      </c>
      <c r="G231" s="1" t="s">
        <v>207</v>
      </c>
      <c r="H231" s="1" t="s">
        <v>183</v>
      </c>
      <c r="I231" s="1" t="s">
        <v>276</v>
      </c>
      <c r="J231" s="8">
        <v>64</v>
      </c>
      <c r="K231" s="8">
        <v>24</v>
      </c>
      <c r="L231" s="8">
        <f t="shared" si="3"/>
        <v>1536</v>
      </c>
      <c r="M231" s="8">
        <v>6144</v>
      </c>
      <c r="N231" s="1" t="s">
        <v>185</v>
      </c>
      <c r="O231" s="1" t="s">
        <v>186</v>
      </c>
      <c r="P231" s="9">
        <v>27.7</v>
      </c>
      <c r="Q231" s="10">
        <v>45749</v>
      </c>
      <c r="R231" s="6">
        <v>105977</v>
      </c>
      <c r="S231" s="1" t="s">
        <v>187</v>
      </c>
      <c r="T231" s="1" t="s">
        <v>845</v>
      </c>
    </row>
    <row r="232" spans="1:20" x14ac:dyDescent="0.25">
      <c r="A232" s="1" t="s">
        <v>846</v>
      </c>
      <c r="B232" s="1" t="s">
        <v>139</v>
      </c>
      <c r="C232" s="1" t="s">
        <v>140</v>
      </c>
      <c r="D232" s="1" t="s">
        <v>787</v>
      </c>
      <c r="E232" s="1" t="s">
        <v>847</v>
      </c>
      <c r="F232" s="1" t="s">
        <v>451</v>
      </c>
      <c r="G232" s="1" t="s">
        <v>174</v>
      </c>
      <c r="H232" s="1" t="s">
        <v>198</v>
      </c>
      <c r="I232" s="1" t="s">
        <v>176</v>
      </c>
      <c r="J232" s="8">
        <v>0</v>
      </c>
      <c r="K232" s="8">
        <v>1</v>
      </c>
      <c r="L232" s="8">
        <f t="shared" si="3"/>
        <v>0</v>
      </c>
      <c r="M232" s="8">
        <v>0</v>
      </c>
      <c r="N232" s="1" t="s">
        <v>185</v>
      </c>
      <c r="O232" s="1" t="s">
        <v>176</v>
      </c>
      <c r="P232" s="9">
        <v>29.6</v>
      </c>
      <c r="Q232" s="10">
        <v>44979</v>
      </c>
      <c r="R232" s="6">
        <v>3520</v>
      </c>
      <c r="S232" s="1" t="s">
        <v>194</v>
      </c>
      <c r="T232" s="1" t="s">
        <v>848</v>
      </c>
    </row>
    <row r="233" spans="1:20" x14ac:dyDescent="0.25">
      <c r="A233" s="1" t="s">
        <v>849</v>
      </c>
      <c r="B233" s="1" t="s">
        <v>139</v>
      </c>
      <c r="C233" s="1" t="s">
        <v>140</v>
      </c>
      <c r="D233" s="1" t="s">
        <v>783</v>
      </c>
      <c r="E233" s="1" t="s">
        <v>791</v>
      </c>
      <c r="F233" s="1" t="s">
        <v>142</v>
      </c>
      <c r="G233" s="1" t="s">
        <v>191</v>
      </c>
      <c r="H233" s="1" t="s">
        <v>235</v>
      </c>
      <c r="I233" s="1" t="s">
        <v>176</v>
      </c>
      <c r="J233" s="8">
        <v>0</v>
      </c>
      <c r="K233" s="8">
        <v>2</v>
      </c>
      <c r="L233" s="8">
        <f t="shared" si="3"/>
        <v>0</v>
      </c>
      <c r="M233" s="8">
        <v>0</v>
      </c>
      <c r="N233" s="1" t="s">
        <v>217</v>
      </c>
      <c r="O233" s="1" t="s">
        <v>176</v>
      </c>
      <c r="P233" s="9">
        <v>11.1</v>
      </c>
      <c r="Q233" s="10">
        <v>44354</v>
      </c>
      <c r="R233" s="6">
        <v>2643</v>
      </c>
      <c r="S233" s="1" t="s">
        <v>178</v>
      </c>
      <c r="T233" s="1" t="s">
        <v>850</v>
      </c>
    </row>
    <row r="234" spans="1:20" x14ac:dyDescent="0.25">
      <c r="A234" s="1" t="s">
        <v>851</v>
      </c>
      <c r="B234" s="1" t="s">
        <v>139</v>
      </c>
      <c r="C234" s="1" t="s">
        <v>140</v>
      </c>
      <c r="D234" s="1" t="s">
        <v>787</v>
      </c>
      <c r="E234" s="1" t="s">
        <v>852</v>
      </c>
      <c r="F234" s="1" t="s">
        <v>451</v>
      </c>
      <c r="G234" s="1" t="s">
        <v>191</v>
      </c>
      <c r="H234" s="1" t="s">
        <v>183</v>
      </c>
      <c r="I234" s="1" t="s">
        <v>184</v>
      </c>
      <c r="J234" s="8">
        <v>8</v>
      </c>
      <c r="K234" s="8">
        <v>16</v>
      </c>
      <c r="L234" s="8">
        <f t="shared" si="3"/>
        <v>128</v>
      </c>
      <c r="M234" s="8">
        <v>512</v>
      </c>
      <c r="N234" s="1" t="s">
        <v>217</v>
      </c>
      <c r="O234" s="1" t="s">
        <v>186</v>
      </c>
      <c r="P234" s="9">
        <v>56.9</v>
      </c>
      <c r="Q234" s="10">
        <v>44703</v>
      </c>
      <c r="R234" s="6">
        <v>4448</v>
      </c>
      <c r="S234" s="1" t="s">
        <v>178</v>
      </c>
      <c r="T234" s="1" t="s">
        <v>853</v>
      </c>
    </row>
    <row r="235" spans="1:20" x14ac:dyDescent="0.25">
      <c r="A235" s="1" t="s">
        <v>854</v>
      </c>
      <c r="B235" s="1" t="s">
        <v>139</v>
      </c>
      <c r="C235" s="1" t="s">
        <v>140</v>
      </c>
      <c r="D235" s="1" t="s">
        <v>783</v>
      </c>
      <c r="E235" s="1" t="s">
        <v>855</v>
      </c>
      <c r="F235" s="1" t="s">
        <v>451</v>
      </c>
      <c r="G235" s="1" t="s">
        <v>207</v>
      </c>
      <c r="H235" s="1" t="s">
        <v>235</v>
      </c>
      <c r="I235" s="1" t="s">
        <v>176</v>
      </c>
      <c r="J235" s="8">
        <v>0</v>
      </c>
      <c r="K235" s="8">
        <v>1</v>
      </c>
      <c r="L235" s="8">
        <f t="shared" si="3"/>
        <v>0</v>
      </c>
      <c r="M235" s="8">
        <v>0</v>
      </c>
      <c r="N235" s="1" t="s">
        <v>185</v>
      </c>
      <c r="O235" s="1" t="s">
        <v>176</v>
      </c>
      <c r="P235" s="9">
        <v>51.6</v>
      </c>
      <c r="Q235" s="10">
        <v>44505</v>
      </c>
      <c r="R235" s="6">
        <v>3840</v>
      </c>
      <c r="S235" s="1" t="s">
        <v>187</v>
      </c>
      <c r="T235" s="1" t="s">
        <v>856</v>
      </c>
    </row>
    <row r="236" spans="1:20" x14ac:dyDescent="0.25">
      <c r="A236" s="1" t="s">
        <v>857</v>
      </c>
      <c r="B236" s="1" t="s">
        <v>139</v>
      </c>
      <c r="C236" s="1" t="s">
        <v>140</v>
      </c>
      <c r="D236" s="1" t="s">
        <v>787</v>
      </c>
      <c r="E236" s="1" t="s">
        <v>858</v>
      </c>
      <c r="F236" s="1" t="s">
        <v>451</v>
      </c>
      <c r="G236" s="1" t="s">
        <v>207</v>
      </c>
      <c r="H236" s="1" t="s">
        <v>230</v>
      </c>
      <c r="I236" s="1" t="s">
        <v>192</v>
      </c>
      <c r="J236" s="8">
        <v>16</v>
      </c>
      <c r="K236" s="8">
        <v>8</v>
      </c>
      <c r="L236" s="8">
        <f t="shared" si="3"/>
        <v>128</v>
      </c>
      <c r="M236" s="8">
        <v>1024</v>
      </c>
      <c r="N236" s="1" t="s">
        <v>185</v>
      </c>
      <c r="O236" s="1" t="s">
        <v>186</v>
      </c>
      <c r="P236" s="9">
        <v>29.4</v>
      </c>
      <c r="Q236" s="10">
        <v>45272</v>
      </c>
      <c r="R236" s="6">
        <v>8204</v>
      </c>
      <c r="S236" s="1" t="s">
        <v>194</v>
      </c>
      <c r="T236" s="1" t="s">
        <v>859</v>
      </c>
    </row>
    <row r="237" spans="1:20" x14ac:dyDescent="0.25">
      <c r="A237" s="1" t="s">
        <v>860</v>
      </c>
      <c r="B237" s="1" t="s">
        <v>139</v>
      </c>
      <c r="C237" s="1" t="s">
        <v>140</v>
      </c>
      <c r="D237" s="1" t="s">
        <v>783</v>
      </c>
      <c r="E237" s="1" t="s">
        <v>842</v>
      </c>
      <c r="F237" s="1" t="s">
        <v>451</v>
      </c>
      <c r="G237" s="1" t="s">
        <v>174</v>
      </c>
      <c r="H237" s="1" t="s">
        <v>183</v>
      </c>
      <c r="I237" s="1" t="s">
        <v>226</v>
      </c>
      <c r="J237" s="8">
        <v>16</v>
      </c>
      <c r="K237" s="8">
        <v>2</v>
      </c>
      <c r="L237" s="8">
        <f t="shared" si="3"/>
        <v>32</v>
      </c>
      <c r="M237" s="8">
        <v>128</v>
      </c>
      <c r="N237" s="1" t="s">
        <v>185</v>
      </c>
      <c r="O237" s="1" t="s">
        <v>186</v>
      </c>
      <c r="P237" s="9">
        <v>85.6</v>
      </c>
      <c r="Q237" s="10">
        <v>44869</v>
      </c>
      <c r="R237" s="6">
        <v>2324</v>
      </c>
      <c r="S237" s="1" t="s">
        <v>187</v>
      </c>
      <c r="T237" s="1" t="s">
        <v>861</v>
      </c>
    </row>
    <row r="238" spans="1:20" x14ac:dyDescent="0.25">
      <c r="A238" s="1" t="s">
        <v>862</v>
      </c>
      <c r="B238" s="1" t="s">
        <v>144</v>
      </c>
      <c r="C238" s="1" t="s">
        <v>145</v>
      </c>
      <c r="D238" s="1" t="s">
        <v>863</v>
      </c>
      <c r="E238" s="1" t="s">
        <v>864</v>
      </c>
      <c r="F238" s="1" t="s">
        <v>147</v>
      </c>
      <c r="G238" s="1" t="s">
        <v>174</v>
      </c>
      <c r="H238" s="1" t="s">
        <v>183</v>
      </c>
      <c r="I238" s="1" t="s">
        <v>216</v>
      </c>
      <c r="J238" s="8">
        <v>16</v>
      </c>
      <c r="K238" s="8">
        <v>6</v>
      </c>
      <c r="L238" s="8">
        <f t="shared" si="3"/>
        <v>96</v>
      </c>
      <c r="M238" s="8">
        <v>768</v>
      </c>
      <c r="N238" s="1" t="s">
        <v>185</v>
      </c>
      <c r="O238" s="1" t="s">
        <v>186</v>
      </c>
      <c r="P238" s="9">
        <v>19.2</v>
      </c>
      <c r="Q238" s="10">
        <v>45089</v>
      </c>
      <c r="R238" s="6">
        <v>7228</v>
      </c>
      <c r="S238" s="1" t="s">
        <v>187</v>
      </c>
      <c r="T238" s="1" t="s">
        <v>865</v>
      </c>
    </row>
    <row r="239" spans="1:20" x14ac:dyDescent="0.25">
      <c r="A239" s="1" t="s">
        <v>866</v>
      </c>
      <c r="B239" s="1" t="s">
        <v>144</v>
      </c>
      <c r="C239" s="1" t="s">
        <v>145</v>
      </c>
      <c r="D239" s="1" t="s">
        <v>867</v>
      </c>
      <c r="E239" s="1" t="s">
        <v>868</v>
      </c>
      <c r="F239" s="1" t="s">
        <v>147</v>
      </c>
      <c r="G239" s="1" t="s">
        <v>191</v>
      </c>
      <c r="H239" s="1" t="s">
        <v>221</v>
      </c>
      <c r="I239" s="1" t="s">
        <v>330</v>
      </c>
      <c r="J239" s="8">
        <v>32</v>
      </c>
      <c r="K239" s="8">
        <v>20</v>
      </c>
      <c r="L239" s="8">
        <f t="shared" si="3"/>
        <v>640</v>
      </c>
      <c r="M239" s="8">
        <v>5120</v>
      </c>
      <c r="N239" s="1" t="s">
        <v>217</v>
      </c>
      <c r="O239" s="1" t="s">
        <v>186</v>
      </c>
      <c r="P239" s="9">
        <v>34.5</v>
      </c>
      <c r="Q239" s="10">
        <v>45165</v>
      </c>
      <c r="R239" s="6">
        <v>27086</v>
      </c>
      <c r="S239" s="1" t="s">
        <v>194</v>
      </c>
      <c r="T239" s="1" t="s">
        <v>869</v>
      </c>
    </row>
    <row r="240" spans="1:20" x14ac:dyDescent="0.25">
      <c r="A240" s="1" t="s">
        <v>870</v>
      </c>
      <c r="B240" s="1" t="s">
        <v>144</v>
      </c>
      <c r="C240" s="1" t="s">
        <v>145</v>
      </c>
      <c r="D240" s="1" t="s">
        <v>867</v>
      </c>
      <c r="E240" s="1" t="s">
        <v>871</v>
      </c>
      <c r="F240" s="1" t="s">
        <v>147</v>
      </c>
      <c r="G240" s="1" t="s">
        <v>191</v>
      </c>
      <c r="H240" s="1" t="s">
        <v>183</v>
      </c>
      <c r="I240" s="1" t="s">
        <v>203</v>
      </c>
      <c r="J240" s="8">
        <v>16</v>
      </c>
      <c r="K240" s="8">
        <v>4</v>
      </c>
      <c r="L240" s="8">
        <f t="shared" si="3"/>
        <v>64</v>
      </c>
      <c r="M240" s="8">
        <v>256</v>
      </c>
      <c r="N240" s="1" t="s">
        <v>217</v>
      </c>
      <c r="O240" s="1" t="s">
        <v>186</v>
      </c>
      <c r="P240" s="9">
        <v>44.1</v>
      </c>
      <c r="Q240" s="10">
        <v>44338</v>
      </c>
      <c r="R240" s="6">
        <v>2701</v>
      </c>
      <c r="S240" s="1" t="s">
        <v>194</v>
      </c>
      <c r="T240" s="1" t="s">
        <v>872</v>
      </c>
    </row>
    <row r="241" spans="1:20" x14ac:dyDescent="0.25">
      <c r="A241" s="1" t="s">
        <v>873</v>
      </c>
      <c r="B241" s="1" t="s">
        <v>144</v>
      </c>
      <c r="C241" s="1" t="s">
        <v>145</v>
      </c>
      <c r="D241" s="1" t="s">
        <v>867</v>
      </c>
      <c r="E241" s="1" t="s">
        <v>874</v>
      </c>
      <c r="F241" s="1" t="s">
        <v>120</v>
      </c>
      <c r="G241" s="1" t="s">
        <v>191</v>
      </c>
      <c r="H241" s="1" t="s">
        <v>183</v>
      </c>
      <c r="I241" s="1" t="s">
        <v>548</v>
      </c>
      <c r="J241" s="8">
        <v>40</v>
      </c>
      <c r="K241" s="8">
        <v>4</v>
      </c>
      <c r="L241" s="8">
        <f t="shared" si="3"/>
        <v>160</v>
      </c>
      <c r="M241" s="8">
        <v>1280</v>
      </c>
      <c r="N241" s="1" t="s">
        <v>185</v>
      </c>
      <c r="O241" s="1" t="s">
        <v>186</v>
      </c>
      <c r="P241" s="9">
        <v>65.8</v>
      </c>
      <c r="Q241" s="10">
        <v>44470</v>
      </c>
      <c r="R241" s="6">
        <v>46365</v>
      </c>
      <c r="S241" s="1" t="s">
        <v>187</v>
      </c>
      <c r="T241" s="1" t="s">
        <v>875</v>
      </c>
    </row>
    <row r="242" spans="1:20" x14ac:dyDescent="0.25">
      <c r="A242" s="1" t="s">
        <v>876</v>
      </c>
      <c r="B242" s="1" t="s">
        <v>144</v>
      </c>
      <c r="C242" s="1" t="s">
        <v>145</v>
      </c>
      <c r="D242" s="1" t="s">
        <v>867</v>
      </c>
      <c r="E242" s="1" t="s">
        <v>877</v>
      </c>
      <c r="F242" s="1" t="s">
        <v>147</v>
      </c>
      <c r="G242" s="1" t="s">
        <v>207</v>
      </c>
      <c r="H242" s="1" t="s">
        <v>183</v>
      </c>
      <c r="I242" s="1" t="s">
        <v>192</v>
      </c>
      <c r="J242" s="8">
        <v>16</v>
      </c>
      <c r="K242" s="8">
        <v>6</v>
      </c>
      <c r="L242" s="8">
        <f t="shared" si="3"/>
        <v>96</v>
      </c>
      <c r="M242" s="8">
        <v>768</v>
      </c>
      <c r="N242" s="1" t="s">
        <v>185</v>
      </c>
      <c r="O242" s="1" t="s">
        <v>186</v>
      </c>
      <c r="P242" s="9">
        <v>66.400000000000006</v>
      </c>
      <c r="Q242" s="10">
        <v>44866</v>
      </c>
      <c r="R242" s="6">
        <v>5537</v>
      </c>
      <c r="S242" s="1" t="s">
        <v>187</v>
      </c>
      <c r="T242" s="1" t="s">
        <v>878</v>
      </c>
    </row>
    <row r="243" spans="1:20" x14ac:dyDescent="0.25">
      <c r="A243" s="1" t="s">
        <v>879</v>
      </c>
      <c r="B243" s="1" t="s">
        <v>144</v>
      </c>
      <c r="C243" s="1" t="s">
        <v>145</v>
      </c>
      <c r="D243" s="1" t="s">
        <v>863</v>
      </c>
      <c r="E243" s="1" t="s">
        <v>880</v>
      </c>
      <c r="F243" s="1" t="s">
        <v>147</v>
      </c>
      <c r="G243" s="1" t="s">
        <v>174</v>
      </c>
      <c r="H243" s="1" t="s">
        <v>230</v>
      </c>
      <c r="I243" s="1" t="s">
        <v>226</v>
      </c>
      <c r="J243" s="8">
        <v>16</v>
      </c>
      <c r="K243" s="8">
        <v>24</v>
      </c>
      <c r="L243" s="8">
        <f t="shared" si="3"/>
        <v>384</v>
      </c>
      <c r="M243" s="8">
        <v>1536</v>
      </c>
      <c r="N243" s="1" t="s">
        <v>185</v>
      </c>
      <c r="O243" s="1" t="s">
        <v>186</v>
      </c>
      <c r="P243" s="9">
        <v>56.1</v>
      </c>
      <c r="Q243" s="10">
        <v>45734</v>
      </c>
      <c r="R243" s="6">
        <v>24458</v>
      </c>
      <c r="S243" s="1" t="s">
        <v>194</v>
      </c>
      <c r="T243" s="1" t="s">
        <v>881</v>
      </c>
    </row>
    <row r="244" spans="1:20" x14ac:dyDescent="0.25">
      <c r="A244" s="1" t="s">
        <v>882</v>
      </c>
      <c r="B244" s="1" t="s">
        <v>144</v>
      </c>
      <c r="C244" s="1" t="s">
        <v>145</v>
      </c>
      <c r="D244" s="1" t="s">
        <v>863</v>
      </c>
      <c r="E244" s="1" t="s">
        <v>871</v>
      </c>
      <c r="F244" s="1" t="s">
        <v>147</v>
      </c>
      <c r="G244" s="1" t="s">
        <v>207</v>
      </c>
      <c r="H244" s="1" t="s">
        <v>183</v>
      </c>
      <c r="I244" s="1" t="s">
        <v>208</v>
      </c>
      <c r="J244" s="8">
        <v>128</v>
      </c>
      <c r="K244" s="8">
        <v>4</v>
      </c>
      <c r="L244" s="8">
        <f t="shared" si="3"/>
        <v>512</v>
      </c>
      <c r="M244" s="8">
        <v>15568</v>
      </c>
      <c r="N244" s="1" t="s">
        <v>217</v>
      </c>
      <c r="O244" s="1" t="s">
        <v>186</v>
      </c>
      <c r="P244" s="9">
        <v>77.8</v>
      </c>
      <c r="Q244" s="10">
        <v>44478</v>
      </c>
      <c r="R244" s="6">
        <v>19966</v>
      </c>
      <c r="S244" s="1" t="s">
        <v>194</v>
      </c>
      <c r="T244" s="1" t="s">
        <v>883</v>
      </c>
    </row>
    <row r="245" spans="1:20" x14ac:dyDescent="0.25">
      <c r="A245" s="1" t="s">
        <v>884</v>
      </c>
      <c r="B245" s="1" t="s">
        <v>144</v>
      </c>
      <c r="C245" s="1" t="s">
        <v>145</v>
      </c>
      <c r="D245" s="1" t="s">
        <v>863</v>
      </c>
      <c r="E245" s="1" t="s">
        <v>874</v>
      </c>
      <c r="F245" s="1" t="s">
        <v>120</v>
      </c>
      <c r="G245" s="1" t="s">
        <v>174</v>
      </c>
      <c r="H245" s="1" t="s">
        <v>183</v>
      </c>
      <c r="I245" s="1" t="s">
        <v>208</v>
      </c>
      <c r="J245" s="8">
        <v>128</v>
      </c>
      <c r="K245" s="8">
        <v>2</v>
      </c>
      <c r="L245" s="8">
        <f t="shared" si="3"/>
        <v>256</v>
      </c>
      <c r="M245" s="8">
        <v>7784</v>
      </c>
      <c r="N245" s="1" t="s">
        <v>185</v>
      </c>
      <c r="O245" s="1" t="s">
        <v>186</v>
      </c>
      <c r="P245" s="9">
        <v>53.2</v>
      </c>
      <c r="Q245" s="10">
        <v>45199</v>
      </c>
      <c r="R245" s="6">
        <v>15980</v>
      </c>
      <c r="S245" s="1" t="s">
        <v>178</v>
      </c>
      <c r="T245" s="1" t="s">
        <v>885</v>
      </c>
    </row>
    <row r="246" spans="1:20" x14ac:dyDescent="0.25">
      <c r="A246" s="1" t="s">
        <v>886</v>
      </c>
      <c r="B246" s="1" t="s">
        <v>144</v>
      </c>
      <c r="C246" s="1" t="s">
        <v>145</v>
      </c>
      <c r="D246" s="1" t="s">
        <v>863</v>
      </c>
      <c r="E246" s="1" t="s">
        <v>887</v>
      </c>
      <c r="F246" s="1" t="s">
        <v>120</v>
      </c>
      <c r="G246" s="1" t="s">
        <v>191</v>
      </c>
      <c r="H246" s="1" t="s">
        <v>235</v>
      </c>
      <c r="I246" s="1" t="s">
        <v>176</v>
      </c>
      <c r="J246" s="8">
        <v>0</v>
      </c>
      <c r="K246" s="8">
        <v>1</v>
      </c>
      <c r="L246" s="8">
        <f t="shared" si="3"/>
        <v>0</v>
      </c>
      <c r="M246" s="8">
        <v>0</v>
      </c>
      <c r="N246" s="1" t="s">
        <v>185</v>
      </c>
      <c r="O246" s="1" t="s">
        <v>176</v>
      </c>
      <c r="P246" s="9">
        <v>53.8</v>
      </c>
      <c r="Q246" s="10">
        <v>45132</v>
      </c>
      <c r="R246" s="6">
        <v>2032</v>
      </c>
      <c r="S246" s="1" t="s">
        <v>187</v>
      </c>
      <c r="T246" s="1" t="s">
        <v>888</v>
      </c>
    </row>
    <row r="247" spans="1:20" x14ac:dyDescent="0.25">
      <c r="A247" s="1" t="s">
        <v>889</v>
      </c>
      <c r="B247" s="1" t="s">
        <v>144</v>
      </c>
      <c r="C247" s="1" t="s">
        <v>145</v>
      </c>
      <c r="D247" s="1" t="s">
        <v>863</v>
      </c>
      <c r="E247" s="1" t="s">
        <v>890</v>
      </c>
      <c r="F247" s="1" t="s">
        <v>147</v>
      </c>
      <c r="G247" s="1" t="s">
        <v>207</v>
      </c>
      <c r="H247" s="1" t="s">
        <v>221</v>
      </c>
      <c r="I247" s="1" t="s">
        <v>208</v>
      </c>
      <c r="J247" s="8">
        <v>128</v>
      </c>
      <c r="K247" s="8">
        <v>6</v>
      </c>
      <c r="L247" s="8">
        <f t="shared" si="3"/>
        <v>768</v>
      </c>
      <c r="M247" s="8">
        <v>23352</v>
      </c>
      <c r="N247" s="1" t="s">
        <v>185</v>
      </c>
      <c r="O247" s="1" t="s">
        <v>186</v>
      </c>
      <c r="P247" s="9">
        <v>51.4</v>
      </c>
      <c r="Q247" s="10">
        <v>45844</v>
      </c>
      <c r="R247" s="6">
        <v>41761</v>
      </c>
      <c r="S247" s="1" t="s">
        <v>178</v>
      </c>
      <c r="T247" s="1" t="s">
        <v>891</v>
      </c>
    </row>
    <row r="248" spans="1:20" x14ac:dyDescent="0.25">
      <c r="A248" s="1" t="s">
        <v>892</v>
      </c>
      <c r="B248" s="1" t="s">
        <v>144</v>
      </c>
      <c r="C248" s="1" t="s">
        <v>145</v>
      </c>
      <c r="D248" s="1" t="s">
        <v>867</v>
      </c>
      <c r="E248" s="1" t="s">
        <v>877</v>
      </c>
      <c r="F248" s="1" t="s">
        <v>147</v>
      </c>
      <c r="G248" s="1" t="s">
        <v>174</v>
      </c>
      <c r="H248" s="1" t="s">
        <v>183</v>
      </c>
      <c r="I248" s="1" t="s">
        <v>259</v>
      </c>
      <c r="J248" s="8">
        <v>64</v>
      </c>
      <c r="K248" s="8">
        <v>2</v>
      </c>
      <c r="L248" s="8">
        <f t="shared" si="3"/>
        <v>128</v>
      </c>
      <c r="M248" s="8">
        <v>1024</v>
      </c>
      <c r="N248" s="1" t="s">
        <v>185</v>
      </c>
      <c r="O248" s="1" t="s">
        <v>186</v>
      </c>
      <c r="P248" s="9">
        <v>24.9</v>
      </c>
      <c r="Q248" s="10">
        <v>45255</v>
      </c>
      <c r="R248" s="6">
        <v>6708</v>
      </c>
      <c r="S248" s="1" t="s">
        <v>194</v>
      </c>
      <c r="T248" s="1" t="s">
        <v>893</v>
      </c>
    </row>
    <row r="249" spans="1:20" x14ac:dyDescent="0.25">
      <c r="A249" s="1" t="s">
        <v>894</v>
      </c>
      <c r="B249" s="1" t="s">
        <v>144</v>
      </c>
      <c r="C249" s="1" t="s">
        <v>145</v>
      </c>
      <c r="D249" s="1" t="s">
        <v>863</v>
      </c>
      <c r="E249" s="1" t="s">
        <v>895</v>
      </c>
      <c r="F249" s="1" t="s">
        <v>120</v>
      </c>
      <c r="G249" s="1" t="s">
        <v>191</v>
      </c>
      <c r="H249" s="1" t="s">
        <v>230</v>
      </c>
      <c r="I249" s="1" t="s">
        <v>203</v>
      </c>
      <c r="J249" s="8">
        <v>16</v>
      </c>
      <c r="K249" s="8">
        <v>16</v>
      </c>
      <c r="L249" s="8">
        <f t="shared" si="3"/>
        <v>256</v>
      </c>
      <c r="M249" s="8">
        <v>1024</v>
      </c>
      <c r="N249" s="1" t="s">
        <v>185</v>
      </c>
      <c r="O249" s="1" t="s">
        <v>186</v>
      </c>
      <c r="P249" s="9">
        <v>80.2</v>
      </c>
      <c r="Q249" s="10">
        <v>45604</v>
      </c>
      <c r="R249" s="6">
        <v>13635</v>
      </c>
      <c r="S249" s="1" t="s">
        <v>187</v>
      </c>
      <c r="T249" s="1" t="s">
        <v>896</v>
      </c>
    </row>
    <row r="250" spans="1:20" x14ac:dyDescent="0.25">
      <c r="A250" s="1" t="s">
        <v>897</v>
      </c>
      <c r="B250" s="1" t="s">
        <v>144</v>
      </c>
      <c r="C250" s="1" t="s">
        <v>145</v>
      </c>
      <c r="D250" s="1" t="s">
        <v>863</v>
      </c>
      <c r="E250" s="1" t="s">
        <v>898</v>
      </c>
      <c r="F250" s="1" t="s">
        <v>120</v>
      </c>
      <c r="G250" s="1" t="s">
        <v>174</v>
      </c>
      <c r="H250" s="1" t="s">
        <v>183</v>
      </c>
      <c r="I250" s="1" t="s">
        <v>289</v>
      </c>
      <c r="J250" s="8">
        <v>32</v>
      </c>
      <c r="K250" s="8">
        <v>4</v>
      </c>
      <c r="L250" s="8">
        <f t="shared" si="3"/>
        <v>128</v>
      </c>
      <c r="M250" s="8">
        <v>512</v>
      </c>
      <c r="N250" s="1" t="s">
        <v>185</v>
      </c>
      <c r="O250" s="1" t="s">
        <v>186</v>
      </c>
      <c r="P250" s="9">
        <v>59.1</v>
      </c>
      <c r="Q250" s="10">
        <v>45819</v>
      </c>
      <c r="R250" s="6">
        <v>8383</v>
      </c>
      <c r="S250" s="1" t="s">
        <v>194</v>
      </c>
      <c r="T250" s="1" t="s">
        <v>899</v>
      </c>
    </row>
    <row r="251" spans="1:20" x14ac:dyDescent="0.25">
      <c r="A251" s="1" t="s">
        <v>900</v>
      </c>
      <c r="B251" s="1" t="s">
        <v>144</v>
      </c>
      <c r="C251" s="1" t="s">
        <v>145</v>
      </c>
      <c r="D251" s="1" t="s">
        <v>863</v>
      </c>
      <c r="E251" s="1" t="s">
        <v>901</v>
      </c>
      <c r="F251" s="1" t="s">
        <v>147</v>
      </c>
      <c r="G251" s="1" t="s">
        <v>174</v>
      </c>
      <c r="H251" s="1" t="s">
        <v>235</v>
      </c>
      <c r="I251" s="1" t="s">
        <v>176</v>
      </c>
      <c r="J251" s="8">
        <v>0</v>
      </c>
      <c r="K251" s="8">
        <v>1</v>
      </c>
      <c r="L251" s="8">
        <f t="shared" si="3"/>
        <v>0</v>
      </c>
      <c r="M251" s="8">
        <v>0</v>
      </c>
      <c r="N251" s="1" t="s">
        <v>217</v>
      </c>
      <c r="O251" s="1" t="s">
        <v>176</v>
      </c>
      <c r="P251" s="9">
        <v>8.8000000000000007</v>
      </c>
      <c r="Q251" s="10">
        <v>45348</v>
      </c>
      <c r="R251" s="6">
        <v>292</v>
      </c>
      <c r="S251" s="1" t="s">
        <v>178</v>
      </c>
      <c r="T251" s="1" t="s">
        <v>902</v>
      </c>
    </row>
    <row r="252" spans="1:20" x14ac:dyDescent="0.25">
      <c r="A252" s="1" t="s">
        <v>903</v>
      </c>
      <c r="B252" s="1" t="s">
        <v>144</v>
      </c>
      <c r="C252" s="1" t="s">
        <v>145</v>
      </c>
      <c r="D252" s="1" t="s">
        <v>867</v>
      </c>
      <c r="E252" s="1" t="s">
        <v>904</v>
      </c>
      <c r="F252" s="1" t="s">
        <v>147</v>
      </c>
      <c r="G252" s="1" t="s">
        <v>207</v>
      </c>
      <c r="H252" s="1" t="s">
        <v>183</v>
      </c>
      <c r="I252" s="1" t="s">
        <v>184</v>
      </c>
      <c r="J252" s="8">
        <v>8</v>
      </c>
      <c r="K252" s="8">
        <v>3</v>
      </c>
      <c r="L252" s="8">
        <f t="shared" si="3"/>
        <v>24</v>
      </c>
      <c r="M252" s="8">
        <v>96</v>
      </c>
      <c r="N252" s="1" t="s">
        <v>185</v>
      </c>
      <c r="O252" s="1" t="s">
        <v>186</v>
      </c>
      <c r="P252" s="9">
        <v>40.700000000000003</v>
      </c>
      <c r="Q252" s="10">
        <v>44422</v>
      </c>
      <c r="R252" s="6">
        <v>1547</v>
      </c>
      <c r="S252" s="1" t="s">
        <v>187</v>
      </c>
      <c r="T252" s="1" t="s">
        <v>905</v>
      </c>
    </row>
    <row r="253" spans="1:20" x14ac:dyDescent="0.25">
      <c r="A253" s="1" t="s">
        <v>906</v>
      </c>
      <c r="B253" s="1" t="s">
        <v>144</v>
      </c>
      <c r="C253" s="1" t="s">
        <v>145</v>
      </c>
      <c r="D253" s="1" t="s">
        <v>863</v>
      </c>
      <c r="E253" s="1" t="s">
        <v>907</v>
      </c>
      <c r="F253" s="1" t="s">
        <v>120</v>
      </c>
      <c r="G253" s="1" t="s">
        <v>191</v>
      </c>
      <c r="H253" s="1" t="s">
        <v>230</v>
      </c>
      <c r="I253" s="1" t="s">
        <v>192</v>
      </c>
      <c r="J253" s="8">
        <v>16</v>
      </c>
      <c r="K253" s="8">
        <v>3</v>
      </c>
      <c r="L253" s="8">
        <f t="shared" si="3"/>
        <v>48</v>
      </c>
      <c r="M253" s="8">
        <v>384</v>
      </c>
      <c r="N253" s="1" t="s">
        <v>185</v>
      </c>
      <c r="O253" s="1" t="s">
        <v>186</v>
      </c>
      <c r="P253" s="9">
        <v>82.4</v>
      </c>
      <c r="Q253" s="10">
        <v>45092</v>
      </c>
      <c r="R253" s="6">
        <v>2711</v>
      </c>
      <c r="S253" s="1" t="s">
        <v>178</v>
      </c>
      <c r="T253" s="1" t="s">
        <v>908</v>
      </c>
    </row>
    <row r="254" spans="1:20" x14ac:dyDescent="0.25">
      <c r="A254" s="1" t="s">
        <v>909</v>
      </c>
      <c r="B254" s="1" t="s">
        <v>144</v>
      </c>
      <c r="C254" s="1" t="s">
        <v>145</v>
      </c>
      <c r="D254" s="1" t="s">
        <v>867</v>
      </c>
      <c r="E254" s="1" t="s">
        <v>910</v>
      </c>
      <c r="F254" s="1" t="s">
        <v>147</v>
      </c>
      <c r="G254" s="1" t="s">
        <v>207</v>
      </c>
      <c r="H254" s="1" t="s">
        <v>221</v>
      </c>
      <c r="I254" s="1" t="s">
        <v>276</v>
      </c>
      <c r="J254" s="8">
        <v>64</v>
      </c>
      <c r="K254" s="8">
        <v>2</v>
      </c>
      <c r="L254" s="8">
        <f t="shared" si="3"/>
        <v>128</v>
      </c>
      <c r="M254" s="8">
        <v>512</v>
      </c>
      <c r="N254" s="1" t="s">
        <v>217</v>
      </c>
      <c r="O254" s="1" t="s">
        <v>186</v>
      </c>
      <c r="P254" s="9">
        <v>86.3</v>
      </c>
      <c r="Q254" s="10">
        <v>44303</v>
      </c>
      <c r="R254" s="6">
        <v>3910</v>
      </c>
      <c r="S254" s="1" t="s">
        <v>187</v>
      </c>
      <c r="T254" s="1" t="s">
        <v>911</v>
      </c>
    </row>
    <row r="255" spans="1:20" x14ac:dyDescent="0.25">
      <c r="A255" s="1" t="s">
        <v>912</v>
      </c>
      <c r="B255" s="1" t="s">
        <v>144</v>
      </c>
      <c r="C255" s="1" t="s">
        <v>145</v>
      </c>
      <c r="D255" s="1" t="s">
        <v>867</v>
      </c>
      <c r="E255" s="1" t="s">
        <v>871</v>
      </c>
      <c r="F255" s="1" t="s">
        <v>147</v>
      </c>
      <c r="G255" s="1" t="s">
        <v>191</v>
      </c>
      <c r="H255" s="1" t="s">
        <v>183</v>
      </c>
      <c r="I255" s="1" t="s">
        <v>216</v>
      </c>
      <c r="J255" s="8">
        <v>16</v>
      </c>
      <c r="K255" s="8">
        <v>6</v>
      </c>
      <c r="L255" s="8">
        <f t="shared" si="3"/>
        <v>96</v>
      </c>
      <c r="M255" s="8">
        <v>768</v>
      </c>
      <c r="N255" s="1" t="s">
        <v>217</v>
      </c>
      <c r="O255" s="1" t="s">
        <v>186</v>
      </c>
      <c r="P255" s="9">
        <v>76.599999999999994</v>
      </c>
      <c r="Q255" s="10">
        <v>45393</v>
      </c>
      <c r="R255" s="6">
        <v>3109</v>
      </c>
      <c r="S255" s="1" t="s">
        <v>194</v>
      </c>
      <c r="T255" s="1" t="s">
        <v>913</v>
      </c>
    </row>
    <row r="256" spans="1:20" x14ac:dyDescent="0.25">
      <c r="A256" s="1" t="s">
        <v>914</v>
      </c>
      <c r="B256" s="1" t="s">
        <v>144</v>
      </c>
      <c r="C256" s="1" t="s">
        <v>145</v>
      </c>
      <c r="D256" s="1" t="s">
        <v>863</v>
      </c>
      <c r="E256" s="1" t="s">
        <v>864</v>
      </c>
      <c r="F256" s="1" t="s">
        <v>147</v>
      </c>
      <c r="G256" s="1" t="s">
        <v>191</v>
      </c>
      <c r="H256" s="1" t="s">
        <v>183</v>
      </c>
      <c r="I256" s="1" t="s">
        <v>289</v>
      </c>
      <c r="J256" s="8">
        <v>32</v>
      </c>
      <c r="K256" s="8">
        <v>8</v>
      </c>
      <c r="L256" s="8">
        <f t="shared" si="3"/>
        <v>256</v>
      </c>
      <c r="M256" s="8">
        <v>1024</v>
      </c>
      <c r="N256" s="1" t="s">
        <v>185</v>
      </c>
      <c r="O256" s="1" t="s">
        <v>186</v>
      </c>
      <c r="P256" s="9">
        <v>46.6</v>
      </c>
      <c r="Q256" s="10">
        <v>45782</v>
      </c>
      <c r="R256" s="6">
        <v>13459</v>
      </c>
      <c r="S256" s="1" t="s">
        <v>178</v>
      </c>
      <c r="T256" s="1" t="s">
        <v>915</v>
      </c>
    </row>
    <row r="257" spans="1:20" x14ac:dyDescent="0.25">
      <c r="A257" s="1" t="s">
        <v>916</v>
      </c>
      <c r="B257" s="1" t="s">
        <v>144</v>
      </c>
      <c r="C257" s="1" t="s">
        <v>145</v>
      </c>
      <c r="D257" s="1" t="s">
        <v>867</v>
      </c>
      <c r="E257" s="1" t="s">
        <v>864</v>
      </c>
      <c r="F257" s="1" t="s">
        <v>147</v>
      </c>
      <c r="G257" s="1" t="s">
        <v>174</v>
      </c>
      <c r="H257" s="1" t="s">
        <v>183</v>
      </c>
      <c r="I257" s="1" t="s">
        <v>226</v>
      </c>
      <c r="J257" s="8">
        <v>16</v>
      </c>
      <c r="K257" s="8">
        <v>3</v>
      </c>
      <c r="L257" s="8">
        <f t="shared" si="3"/>
        <v>48</v>
      </c>
      <c r="M257" s="8">
        <v>192</v>
      </c>
      <c r="N257" s="1" t="s">
        <v>185</v>
      </c>
      <c r="O257" s="1" t="s">
        <v>186</v>
      </c>
      <c r="P257" s="9">
        <v>30.6</v>
      </c>
      <c r="Q257" s="10">
        <v>44261</v>
      </c>
      <c r="R257" s="6">
        <v>3199</v>
      </c>
      <c r="S257" s="1" t="s">
        <v>187</v>
      </c>
      <c r="T257" s="1" t="s">
        <v>917</v>
      </c>
    </row>
    <row r="258" spans="1:20" x14ac:dyDescent="0.25">
      <c r="A258" s="1" t="s">
        <v>918</v>
      </c>
      <c r="B258" s="1" t="s">
        <v>144</v>
      </c>
      <c r="C258" s="1" t="s">
        <v>145</v>
      </c>
      <c r="D258" s="1" t="s">
        <v>863</v>
      </c>
      <c r="E258" s="1" t="s">
        <v>904</v>
      </c>
      <c r="F258" s="1" t="s">
        <v>147</v>
      </c>
      <c r="G258" s="1" t="s">
        <v>174</v>
      </c>
      <c r="H258" s="1" t="s">
        <v>183</v>
      </c>
      <c r="I258" s="1" t="s">
        <v>203</v>
      </c>
      <c r="J258" s="8">
        <v>16</v>
      </c>
      <c r="K258" s="8">
        <v>2</v>
      </c>
      <c r="L258" s="8">
        <f t="shared" ref="L258:L299" si="4">J258*K258</f>
        <v>32</v>
      </c>
      <c r="M258" s="8">
        <v>128</v>
      </c>
      <c r="N258" s="1" t="s">
        <v>217</v>
      </c>
      <c r="O258" s="1" t="s">
        <v>186</v>
      </c>
      <c r="P258" s="9">
        <v>35.200000000000003</v>
      </c>
      <c r="Q258" s="10">
        <v>45788</v>
      </c>
      <c r="R258" s="6">
        <v>1075</v>
      </c>
      <c r="S258" s="1" t="s">
        <v>178</v>
      </c>
      <c r="T258" s="1" t="s">
        <v>919</v>
      </c>
    </row>
    <row r="259" spans="1:20" x14ac:dyDescent="0.25">
      <c r="A259" s="1" t="s">
        <v>920</v>
      </c>
      <c r="B259" s="1" t="s">
        <v>144</v>
      </c>
      <c r="C259" s="1" t="s">
        <v>145</v>
      </c>
      <c r="D259" s="1" t="s">
        <v>867</v>
      </c>
      <c r="E259" s="1" t="s">
        <v>921</v>
      </c>
      <c r="F259" s="1" t="s">
        <v>147</v>
      </c>
      <c r="G259" s="1" t="s">
        <v>191</v>
      </c>
      <c r="H259" s="1" t="s">
        <v>198</v>
      </c>
      <c r="I259" s="1" t="s">
        <v>176</v>
      </c>
      <c r="J259" s="8">
        <v>0</v>
      </c>
      <c r="K259" s="8">
        <v>2</v>
      </c>
      <c r="L259" s="8">
        <f t="shared" si="4"/>
        <v>0</v>
      </c>
      <c r="M259" s="8">
        <v>0</v>
      </c>
      <c r="N259" s="1" t="s">
        <v>185</v>
      </c>
      <c r="O259" s="1" t="s">
        <v>176</v>
      </c>
      <c r="P259" s="9">
        <v>37.799999999999997</v>
      </c>
      <c r="Q259" s="10">
        <v>45256</v>
      </c>
      <c r="R259" s="6">
        <v>4723</v>
      </c>
      <c r="S259" s="1" t="s">
        <v>178</v>
      </c>
      <c r="T259" s="1" t="s">
        <v>922</v>
      </c>
    </row>
    <row r="260" spans="1:20" x14ac:dyDescent="0.25">
      <c r="A260" s="1" t="s">
        <v>923</v>
      </c>
      <c r="B260" s="1" t="s">
        <v>144</v>
      </c>
      <c r="C260" s="1" t="s">
        <v>145</v>
      </c>
      <c r="D260" s="1" t="s">
        <v>867</v>
      </c>
      <c r="E260" s="1" t="s">
        <v>868</v>
      </c>
      <c r="F260" s="1" t="s">
        <v>147</v>
      </c>
      <c r="G260" s="1" t="s">
        <v>191</v>
      </c>
      <c r="H260" s="1" t="s">
        <v>221</v>
      </c>
      <c r="I260" s="1" t="s">
        <v>216</v>
      </c>
      <c r="J260" s="8">
        <v>16</v>
      </c>
      <c r="K260" s="8">
        <v>20</v>
      </c>
      <c r="L260" s="8">
        <f t="shared" si="4"/>
        <v>320</v>
      </c>
      <c r="M260" s="8">
        <v>2560</v>
      </c>
      <c r="N260" s="1" t="s">
        <v>185</v>
      </c>
      <c r="O260" s="1" t="s">
        <v>186</v>
      </c>
      <c r="P260" s="9">
        <v>58</v>
      </c>
      <c r="Q260" s="10">
        <v>44257</v>
      </c>
      <c r="R260" s="6">
        <v>22417</v>
      </c>
      <c r="S260" s="1" t="s">
        <v>187</v>
      </c>
      <c r="T260" s="1" t="s">
        <v>924</v>
      </c>
    </row>
    <row r="261" spans="1:20" x14ac:dyDescent="0.25">
      <c r="A261" s="1" t="s">
        <v>925</v>
      </c>
      <c r="B261" s="1" t="s">
        <v>144</v>
      </c>
      <c r="C261" s="1" t="s">
        <v>145</v>
      </c>
      <c r="D261" s="1" t="s">
        <v>863</v>
      </c>
      <c r="E261" s="1" t="s">
        <v>926</v>
      </c>
      <c r="F261" s="1" t="s">
        <v>147</v>
      </c>
      <c r="G261" s="1" t="s">
        <v>191</v>
      </c>
      <c r="H261" s="1" t="s">
        <v>175</v>
      </c>
      <c r="I261" s="1" t="s">
        <v>176</v>
      </c>
      <c r="J261" s="8">
        <v>0</v>
      </c>
      <c r="K261" s="8">
        <v>1</v>
      </c>
      <c r="L261" s="8">
        <f t="shared" si="4"/>
        <v>0</v>
      </c>
      <c r="M261" s="8">
        <v>0</v>
      </c>
      <c r="N261" s="1" t="s">
        <v>217</v>
      </c>
      <c r="O261" s="1" t="s">
        <v>176</v>
      </c>
      <c r="P261" s="9">
        <v>28</v>
      </c>
      <c r="Q261" s="10">
        <v>45026</v>
      </c>
      <c r="R261" s="6">
        <v>372</v>
      </c>
      <c r="S261" s="1" t="s">
        <v>194</v>
      </c>
      <c r="T261" s="1" t="s">
        <v>927</v>
      </c>
    </row>
    <row r="262" spans="1:20" x14ac:dyDescent="0.25">
      <c r="A262" s="1" t="s">
        <v>928</v>
      </c>
      <c r="B262" s="1" t="s">
        <v>144</v>
      </c>
      <c r="C262" s="1" t="s">
        <v>145</v>
      </c>
      <c r="D262" s="1" t="s">
        <v>867</v>
      </c>
      <c r="E262" s="1" t="s">
        <v>868</v>
      </c>
      <c r="F262" s="1" t="s">
        <v>147</v>
      </c>
      <c r="G262" s="1" t="s">
        <v>207</v>
      </c>
      <c r="H262" s="1" t="s">
        <v>221</v>
      </c>
      <c r="I262" s="1" t="s">
        <v>231</v>
      </c>
      <c r="J262" s="8">
        <v>32</v>
      </c>
      <c r="K262" s="8">
        <v>12</v>
      </c>
      <c r="L262" s="8">
        <f t="shared" si="4"/>
        <v>384</v>
      </c>
      <c r="M262" s="8">
        <v>768</v>
      </c>
      <c r="N262" s="1" t="s">
        <v>217</v>
      </c>
      <c r="O262" s="1" t="s">
        <v>186</v>
      </c>
      <c r="P262" s="9">
        <v>81.7</v>
      </c>
      <c r="Q262" s="10">
        <v>44493</v>
      </c>
      <c r="R262" s="6">
        <v>12927</v>
      </c>
      <c r="S262" s="1" t="s">
        <v>194</v>
      </c>
      <c r="T262" s="1" t="s">
        <v>929</v>
      </c>
    </row>
    <row r="263" spans="1:20" x14ac:dyDescent="0.25">
      <c r="A263" s="1" t="s">
        <v>930</v>
      </c>
      <c r="B263" s="1" t="s">
        <v>144</v>
      </c>
      <c r="C263" s="1" t="s">
        <v>145</v>
      </c>
      <c r="D263" s="1" t="s">
        <v>863</v>
      </c>
      <c r="E263" s="1" t="s">
        <v>931</v>
      </c>
      <c r="F263" s="1" t="s">
        <v>147</v>
      </c>
      <c r="G263" s="1" t="s">
        <v>191</v>
      </c>
      <c r="H263" s="1" t="s">
        <v>175</v>
      </c>
      <c r="I263" s="1" t="s">
        <v>176</v>
      </c>
      <c r="J263" s="8">
        <v>0</v>
      </c>
      <c r="K263" s="8">
        <v>3</v>
      </c>
      <c r="L263" s="8">
        <f t="shared" si="4"/>
        <v>0</v>
      </c>
      <c r="M263" s="8">
        <v>0</v>
      </c>
      <c r="N263" s="1" t="s">
        <v>185</v>
      </c>
      <c r="O263" s="1" t="s">
        <v>176</v>
      </c>
      <c r="P263" s="9">
        <v>13.2</v>
      </c>
      <c r="Q263" s="10">
        <v>45249</v>
      </c>
      <c r="R263" s="6">
        <v>2448</v>
      </c>
      <c r="S263" s="1" t="s">
        <v>187</v>
      </c>
      <c r="T263" s="1" t="s">
        <v>932</v>
      </c>
    </row>
    <row r="264" spans="1:20" x14ac:dyDescent="0.25">
      <c r="A264" s="1" t="s">
        <v>933</v>
      </c>
      <c r="B264" s="1" t="s">
        <v>144</v>
      </c>
      <c r="C264" s="1" t="s">
        <v>145</v>
      </c>
      <c r="D264" s="1" t="s">
        <v>867</v>
      </c>
      <c r="E264" s="1" t="s">
        <v>880</v>
      </c>
      <c r="F264" s="1" t="s">
        <v>147</v>
      </c>
      <c r="G264" s="1" t="s">
        <v>174</v>
      </c>
      <c r="H264" s="1" t="s">
        <v>230</v>
      </c>
      <c r="I264" s="1" t="s">
        <v>359</v>
      </c>
      <c r="J264" s="8">
        <v>96</v>
      </c>
      <c r="K264" s="8">
        <v>4</v>
      </c>
      <c r="L264" s="8">
        <f t="shared" si="4"/>
        <v>384</v>
      </c>
      <c r="M264" s="8">
        <v>7600</v>
      </c>
      <c r="N264" s="1" t="s">
        <v>217</v>
      </c>
      <c r="O264" s="1" t="s">
        <v>186</v>
      </c>
      <c r="P264" s="9">
        <v>20.100000000000001</v>
      </c>
      <c r="Q264" s="10">
        <v>45708</v>
      </c>
      <c r="R264" s="6">
        <v>75607</v>
      </c>
      <c r="S264" s="1" t="s">
        <v>194</v>
      </c>
      <c r="T264" s="1" t="s">
        <v>934</v>
      </c>
    </row>
    <row r="265" spans="1:20" x14ac:dyDescent="0.25">
      <c r="A265" s="1" t="s">
        <v>935</v>
      </c>
      <c r="B265" s="1" t="s">
        <v>144</v>
      </c>
      <c r="C265" s="1" t="s">
        <v>145</v>
      </c>
      <c r="D265" s="1" t="s">
        <v>867</v>
      </c>
      <c r="E265" s="1" t="s">
        <v>864</v>
      </c>
      <c r="F265" s="1" t="s">
        <v>147</v>
      </c>
      <c r="G265" s="1" t="s">
        <v>174</v>
      </c>
      <c r="H265" s="1" t="s">
        <v>183</v>
      </c>
      <c r="I265" s="1" t="s">
        <v>203</v>
      </c>
      <c r="J265" s="8">
        <v>16</v>
      </c>
      <c r="K265" s="8">
        <v>6</v>
      </c>
      <c r="L265" s="8">
        <f t="shared" si="4"/>
        <v>96</v>
      </c>
      <c r="M265" s="8">
        <v>384</v>
      </c>
      <c r="N265" s="1" t="s">
        <v>217</v>
      </c>
      <c r="O265" s="1" t="s">
        <v>186</v>
      </c>
      <c r="P265" s="9">
        <v>50.2</v>
      </c>
      <c r="Q265" s="10">
        <v>44547</v>
      </c>
      <c r="R265" s="6">
        <v>3379</v>
      </c>
      <c r="S265" s="1" t="s">
        <v>194</v>
      </c>
      <c r="T265" s="1" t="s">
        <v>936</v>
      </c>
    </row>
    <row r="266" spans="1:20" x14ac:dyDescent="0.25">
      <c r="A266" s="1" t="s">
        <v>937</v>
      </c>
      <c r="B266" s="1" t="s">
        <v>144</v>
      </c>
      <c r="C266" s="1" t="s">
        <v>145</v>
      </c>
      <c r="D266" s="1" t="s">
        <v>863</v>
      </c>
      <c r="E266" s="1" t="s">
        <v>938</v>
      </c>
      <c r="F266" s="1" t="s">
        <v>147</v>
      </c>
      <c r="G266" s="1" t="s">
        <v>191</v>
      </c>
      <c r="H266" s="1" t="s">
        <v>230</v>
      </c>
      <c r="I266" s="1" t="s">
        <v>231</v>
      </c>
      <c r="J266" s="8">
        <v>32</v>
      </c>
      <c r="K266" s="8">
        <v>2</v>
      </c>
      <c r="L266" s="8">
        <f t="shared" si="4"/>
        <v>64</v>
      </c>
      <c r="M266" s="8">
        <v>128</v>
      </c>
      <c r="N266" s="1" t="s">
        <v>185</v>
      </c>
      <c r="O266" s="1" t="s">
        <v>186</v>
      </c>
      <c r="P266" s="9">
        <v>50.8</v>
      </c>
      <c r="Q266" s="10">
        <v>44732</v>
      </c>
      <c r="R266" s="6">
        <v>4580</v>
      </c>
      <c r="S266" s="1" t="s">
        <v>194</v>
      </c>
      <c r="T266" s="1" t="s">
        <v>939</v>
      </c>
    </row>
    <row r="267" spans="1:20" x14ac:dyDescent="0.25">
      <c r="A267" s="1" t="s">
        <v>940</v>
      </c>
      <c r="B267" s="1" t="s">
        <v>144</v>
      </c>
      <c r="C267" s="1" t="s">
        <v>145</v>
      </c>
      <c r="D267" s="1" t="s">
        <v>863</v>
      </c>
      <c r="E267" s="1" t="s">
        <v>941</v>
      </c>
      <c r="F267" s="1" t="s">
        <v>147</v>
      </c>
      <c r="G267" s="1" t="s">
        <v>191</v>
      </c>
      <c r="H267" s="1" t="s">
        <v>198</v>
      </c>
      <c r="I267" s="1" t="s">
        <v>176</v>
      </c>
      <c r="J267" s="8">
        <v>0</v>
      </c>
      <c r="K267" s="8">
        <v>3</v>
      </c>
      <c r="L267" s="8">
        <f t="shared" si="4"/>
        <v>0</v>
      </c>
      <c r="M267" s="8">
        <v>0</v>
      </c>
      <c r="N267" s="1" t="s">
        <v>217</v>
      </c>
      <c r="O267" s="1" t="s">
        <v>176</v>
      </c>
      <c r="P267" s="9">
        <v>35.799999999999997</v>
      </c>
      <c r="Q267" s="10">
        <v>45090</v>
      </c>
      <c r="R267" s="6">
        <v>2563</v>
      </c>
      <c r="S267" s="1" t="s">
        <v>187</v>
      </c>
      <c r="T267" s="1" t="s">
        <v>942</v>
      </c>
    </row>
    <row r="268" spans="1:20" x14ac:dyDescent="0.25">
      <c r="A268" s="1" t="s">
        <v>943</v>
      </c>
      <c r="B268" s="1" t="s">
        <v>144</v>
      </c>
      <c r="C268" s="1" t="s">
        <v>145</v>
      </c>
      <c r="D268" s="1" t="s">
        <v>867</v>
      </c>
      <c r="E268" s="1" t="s">
        <v>944</v>
      </c>
      <c r="F268" s="1" t="s">
        <v>147</v>
      </c>
      <c r="G268" s="1" t="s">
        <v>191</v>
      </c>
      <c r="H268" s="1" t="s">
        <v>198</v>
      </c>
      <c r="I268" s="1" t="s">
        <v>176</v>
      </c>
      <c r="J268" s="8">
        <v>0</v>
      </c>
      <c r="K268" s="8">
        <v>3</v>
      </c>
      <c r="L268" s="8">
        <f t="shared" si="4"/>
        <v>0</v>
      </c>
      <c r="M268" s="8">
        <v>0</v>
      </c>
      <c r="N268" s="1" t="s">
        <v>185</v>
      </c>
      <c r="O268" s="1" t="s">
        <v>176</v>
      </c>
      <c r="P268" s="9">
        <v>45.7</v>
      </c>
      <c r="Q268" s="10">
        <v>44217</v>
      </c>
      <c r="R268" s="6">
        <v>3382</v>
      </c>
      <c r="S268" s="1" t="s">
        <v>178</v>
      </c>
      <c r="T268" s="1" t="s">
        <v>945</v>
      </c>
    </row>
    <row r="269" spans="1:20" x14ac:dyDescent="0.25">
      <c r="A269" s="1" t="s">
        <v>946</v>
      </c>
      <c r="B269" s="1" t="s">
        <v>144</v>
      </c>
      <c r="C269" s="1" t="s">
        <v>145</v>
      </c>
      <c r="D269" s="1" t="s">
        <v>863</v>
      </c>
      <c r="E269" s="1" t="s">
        <v>877</v>
      </c>
      <c r="F269" s="1" t="s">
        <v>147</v>
      </c>
      <c r="G269" s="1" t="s">
        <v>174</v>
      </c>
      <c r="H269" s="1" t="s">
        <v>183</v>
      </c>
      <c r="I269" s="1" t="s">
        <v>203</v>
      </c>
      <c r="J269" s="8">
        <v>16</v>
      </c>
      <c r="K269" s="8">
        <v>24</v>
      </c>
      <c r="L269" s="8">
        <f t="shared" si="4"/>
        <v>384</v>
      </c>
      <c r="M269" s="8">
        <v>1536</v>
      </c>
      <c r="N269" s="1" t="s">
        <v>217</v>
      </c>
      <c r="O269" s="1" t="s">
        <v>186</v>
      </c>
      <c r="P269" s="9">
        <v>87.9</v>
      </c>
      <c r="Q269" s="10">
        <v>44471</v>
      </c>
      <c r="R269" s="6">
        <v>13281</v>
      </c>
      <c r="S269" s="1" t="s">
        <v>187</v>
      </c>
      <c r="T269" s="1" t="s">
        <v>947</v>
      </c>
    </row>
    <row r="270" spans="1:20" x14ac:dyDescent="0.25">
      <c r="A270" s="1" t="s">
        <v>948</v>
      </c>
      <c r="B270" s="1" t="s">
        <v>144</v>
      </c>
      <c r="C270" s="1" t="s">
        <v>145</v>
      </c>
      <c r="D270" s="1" t="s">
        <v>863</v>
      </c>
      <c r="E270" s="1" t="s">
        <v>901</v>
      </c>
      <c r="F270" s="1" t="s">
        <v>147</v>
      </c>
      <c r="G270" s="1" t="s">
        <v>191</v>
      </c>
      <c r="H270" s="1" t="s">
        <v>235</v>
      </c>
      <c r="I270" s="1" t="s">
        <v>176</v>
      </c>
      <c r="J270" s="8">
        <v>0</v>
      </c>
      <c r="K270" s="8">
        <v>1</v>
      </c>
      <c r="L270" s="8">
        <f t="shared" si="4"/>
        <v>0</v>
      </c>
      <c r="M270" s="8">
        <v>0</v>
      </c>
      <c r="N270" s="1" t="s">
        <v>185</v>
      </c>
      <c r="O270" s="1" t="s">
        <v>176</v>
      </c>
      <c r="P270" s="9">
        <v>29.1</v>
      </c>
      <c r="Q270" s="10">
        <v>45809</v>
      </c>
      <c r="R270" s="6">
        <v>745</v>
      </c>
      <c r="S270" s="1" t="s">
        <v>194</v>
      </c>
      <c r="T270" s="1" t="s">
        <v>949</v>
      </c>
    </row>
    <row r="271" spans="1:20" x14ac:dyDescent="0.25">
      <c r="A271" s="1" t="s">
        <v>950</v>
      </c>
      <c r="B271" s="1" t="s">
        <v>148</v>
      </c>
      <c r="C271" s="1" t="s">
        <v>149</v>
      </c>
      <c r="D271" s="1" t="s">
        <v>951</v>
      </c>
      <c r="E271" s="1" t="s">
        <v>952</v>
      </c>
      <c r="F271" s="1" t="s">
        <v>134</v>
      </c>
      <c r="G271" s="1" t="s">
        <v>191</v>
      </c>
      <c r="H271" s="1" t="s">
        <v>183</v>
      </c>
      <c r="I271" s="1" t="s">
        <v>226</v>
      </c>
      <c r="J271" s="8">
        <v>16</v>
      </c>
      <c r="K271" s="8">
        <v>20</v>
      </c>
      <c r="L271" s="8">
        <f t="shared" si="4"/>
        <v>320</v>
      </c>
      <c r="M271" s="8">
        <v>1280</v>
      </c>
      <c r="N271" s="1" t="s">
        <v>185</v>
      </c>
      <c r="O271" s="1" t="s">
        <v>186</v>
      </c>
      <c r="P271" s="9">
        <v>75.2</v>
      </c>
      <c r="Q271" s="10">
        <v>44767</v>
      </c>
      <c r="R271" s="6">
        <v>18154</v>
      </c>
      <c r="S271" s="1" t="s">
        <v>187</v>
      </c>
      <c r="T271" s="1" t="s">
        <v>953</v>
      </c>
    </row>
    <row r="272" spans="1:20" x14ac:dyDescent="0.25">
      <c r="A272" s="1" t="s">
        <v>954</v>
      </c>
      <c r="B272" s="1" t="s">
        <v>148</v>
      </c>
      <c r="C272" s="1" t="s">
        <v>149</v>
      </c>
      <c r="D272" s="1" t="s">
        <v>951</v>
      </c>
      <c r="E272" s="1" t="s">
        <v>955</v>
      </c>
      <c r="F272" s="1" t="s">
        <v>151</v>
      </c>
      <c r="G272" s="1" t="s">
        <v>191</v>
      </c>
      <c r="H272" s="1" t="s">
        <v>242</v>
      </c>
      <c r="I272" s="1" t="s">
        <v>282</v>
      </c>
      <c r="J272" s="8">
        <v>32</v>
      </c>
      <c r="K272" s="8">
        <v>2</v>
      </c>
      <c r="L272" s="8">
        <f t="shared" si="4"/>
        <v>64</v>
      </c>
      <c r="M272" s="8">
        <v>512</v>
      </c>
      <c r="N272" s="1" t="s">
        <v>185</v>
      </c>
      <c r="O272" s="1" t="s">
        <v>193</v>
      </c>
      <c r="P272" s="9">
        <v>87.2</v>
      </c>
      <c r="Q272" s="10">
        <v>45652</v>
      </c>
      <c r="R272" s="6">
        <v>4782</v>
      </c>
      <c r="S272" s="1" t="s">
        <v>194</v>
      </c>
      <c r="T272" s="1" t="s">
        <v>956</v>
      </c>
    </row>
    <row r="273" spans="1:20" x14ac:dyDescent="0.25">
      <c r="A273" s="1" t="s">
        <v>957</v>
      </c>
      <c r="B273" s="1" t="s">
        <v>148</v>
      </c>
      <c r="C273" s="1" t="s">
        <v>149</v>
      </c>
      <c r="D273" s="1" t="s">
        <v>958</v>
      </c>
      <c r="E273" s="1" t="s">
        <v>959</v>
      </c>
      <c r="F273" s="1" t="s">
        <v>151</v>
      </c>
      <c r="G273" s="1" t="s">
        <v>191</v>
      </c>
      <c r="H273" s="1" t="s">
        <v>230</v>
      </c>
      <c r="I273" s="1" t="s">
        <v>289</v>
      </c>
      <c r="J273" s="8">
        <v>32</v>
      </c>
      <c r="K273" s="8">
        <v>8</v>
      </c>
      <c r="L273" s="8">
        <f t="shared" si="4"/>
        <v>256</v>
      </c>
      <c r="M273" s="8">
        <v>1024</v>
      </c>
      <c r="N273" s="1" t="s">
        <v>185</v>
      </c>
      <c r="O273" s="1" t="s">
        <v>186</v>
      </c>
      <c r="P273" s="9">
        <v>38.700000000000003</v>
      </c>
      <c r="Q273" s="10">
        <v>45114</v>
      </c>
      <c r="R273" s="6">
        <v>15058</v>
      </c>
      <c r="S273" s="1" t="s">
        <v>187</v>
      </c>
      <c r="T273" s="1" t="s">
        <v>960</v>
      </c>
    </row>
    <row r="274" spans="1:20" x14ac:dyDescent="0.25">
      <c r="A274" s="1" t="s">
        <v>961</v>
      </c>
      <c r="B274" s="1" t="s">
        <v>148</v>
      </c>
      <c r="C274" s="1" t="s">
        <v>149</v>
      </c>
      <c r="D274" s="1" t="s">
        <v>958</v>
      </c>
      <c r="E274" s="1" t="s">
        <v>962</v>
      </c>
      <c r="F274" s="1" t="s">
        <v>151</v>
      </c>
      <c r="G274" s="1" t="s">
        <v>174</v>
      </c>
      <c r="H274" s="1" t="s">
        <v>183</v>
      </c>
      <c r="I274" s="1" t="s">
        <v>192</v>
      </c>
      <c r="J274" s="8">
        <v>16</v>
      </c>
      <c r="K274" s="8">
        <v>12</v>
      </c>
      <c r="L274" s="8">
        <f t="shared" si="4"/>
        <v>192</v>
      </c>
      <c r="M274" s="8">
        <v>1536</v>
      </c>
      <c r="N274" s="1" t="s">
        <v>185</v>
      </c>
      <c r="O274" s="1" t="s">
        <v>186</v>
      </c>
      <c r="P274" s="9">
        <v>50.2</v>
      </c>
      <c r="Q274" s="10">
        <v>45783</v>
      </c>
      <c r="R274" s="6">
        <v>12086</v>
      </c>
      <c r="S274" s="1" t="s">
        <v>194</v>
      </c>
      <c r="T274" s="1" t="s">
        <v>963</v>
      </c>
    </row>
    <row r="275" spans="1:20" x14ac:dyDescent="0.25">
      <c r="A275" s="1" t="s">
        <v>964</v>
      </c>
      <c r="B275" s="1" t="s">
        <v>148</v>
      </c>
      <c r="C275" s="1" t="s">
        <v>149</v>
      </c>
      <c r="D275" s="1" t="s">
        <v>958</v>
      </c>
      <c r="E275" s="1" t="s">
        <v>965</v>
      </c>
      <c r="F275" s="1" t="s">
        <v>151</v>
      </c>
      <c r="G275" s="1" t="s">
        <v>174</v>
      </c>
      <c r="H275" s="1" t="s">
        <v>198</v>
      </c>
      <c r="I275" s="1" t="s">
        <v>176</v>
      </c>
      <c r="J275" s="8">
        <v>0</v>
      </c>
      <c r="K275" s="8">
        <v>2</v>
      </c>
      <c r="L275" s="8">
        <f t="shared" si="4"/>
        <v>0</v>
      </c>
      <c r="M275" s="8">
        <v>0</v>
      </c>
      <c r="N275" s="1" t="s">
        <v>185</v>
      </c>
      <c r="O275" s="1" t="s">
        <v>176</v>
      </c>
      <c r="P275" s="9">
        <v>54.4</v>
      </c>
      <c r="Q275" s="10">
        <v>44697</v>
      </c>
      <c r="R275" s="6">
        <v>5073</v>
      </c>
      <c r="S275" s="1" t="s">
        <v>194</v>
      </c>
      <c r="T275" s="1" t="s">
        <v>966</v>
      </c>
    </row>
    <row r="276" spans="1:20" x14ac:dyDescent="0.25">
      <c r="A276" s="1" t="s">
        <v>967</v>
      </c>
      <c r="B276" s="1" t="s">
        <v>148</v>
      </c>
      <c r="C276" s="1" t="s">
        <v>149</v>
      </c>
      <c r="D276" s="1" t="s">
        <v>958</v>
      </c>
      <c r="E276" s="1" t="s">
        <v>968</v>
      </c>
      <c r="F276" s="1" t="s">
        <v>151</v>
      </c>
      <c r="G276" s="1" t="s">
        <v>174</v>
      </c>
      <c r="H276" s="1" t="s">
        <v>183</v>
      </c>
      <c r="I276" s="1" t="s">
        <v>216</v>
      </c>
      <c r="J276" s="8">
        <v>16</v>
      </c>
      <c r="K276" s="8">
        <v>12</v>
      </c>
      <c r="L276" s="8">
        <f t="shared" si="4"/>
        <v>192</v>
      </c>
      <c r="M276" s="8">
        <v>1536</v>
      </c>
      <c r="N276" s="1" t="s">
        <v>185</v>
      </c>
      <c r="O276" s="1" t="s">
        <v>186</v>
      </c>
      <c r="P276" s="9">
        <v>48.9</v>
      </c>
      <c r="Q276" s="10">
        <v>45549</v>
      </c>
      <c r="R276" s="6">
        <v>11280</v>
      </c>
      <c r="S276" s="1" t="s">
        <v>194</v>
      </c>
      <c r="T276" s="1" t="s">
        <v>969</v>
      </c>
    </row>
    <row r="277" spans="1:20" x14ac:dyDescent="0.25">
      <c r="A277" s="1" t="s">
        <v>970</v>
      </c>
      <c r="B277" s="1" t="s">
        <v>148</v>
      </c>
      <c r="C277" s="1" t="s">
        <v>149</v>
      </c>
      <c r="D277" s="1" t="s">
        <v>958</v>
      </c>
      <c r="E277" s="1" t="s">
        <v>971</v>
      </c>
      <c r="F277" s="1" t="s">
        <v>151</v>
      </c>
      <c r="G277" s="1" t="s">
        <v>207</v>
      </c>
      <c r="H277" s="1" t="s">
        <v>175</v>
      </c>
      <c r="I277" s="1" t="s">
        <v>176</v>
      </c>
      <c r="J277" s="8">
        <v>0</v>
      </c>
      <c r="K277" s="8">
        <v>2</v>
      </c>
      <c r="L277" s="8">
        <f t="shared" si="4"/>
        <v>0</v>
      </c>
      <c r="M277" s="8">
        <v>0</v>
      </c>
      <c r="N277" s="1" t="s">
        <v>217</v>
      </c>
      <c r="O277" s="1" t="s">
        <v>176</v>
      </c>
      <c r="P277" s="9">
        <v>32.700000000000003</v>
      </c>
      <c r="Q277" s="10">
        <v>45573</v>
      </c>
      <c r="R277" s="6">
        <v>227</v>
      </c>
      <c r="S277" s="1" t="s">
        <v>178</v>
      </c>
      <c r="T277" s="1" t="s">
        <v>972</v>
      </c>
    </row>
    <row r="278" spans="1:20" x14ac:dyDescent="0.25">
      <c r="A278" s="1" t="s">
        <v>973</v>
      </c>
      <c r="B278" s="1" t="s">
        <v>148</v>
      </c>
      <c r="C278" s="1" t="s">
        <v>149</v>
      </c>
      <c r="D278" s="1" t="s">
        <v>951</v>
      </c>
      <c r="E278" s="1" t="s">
        <v>974</v>
      </c>
      <c r="F278" s="1" t="s">
        <v>151</v>
      </c>
      <c r="G278" s="1" t="s">
        <v>191</v>
      </c>
      <c r="H278" s="1" t="s">
        <v>183</v>
      </c>
      <c r="I278" s="1" t="s">
        <v>330</v>
      </c>
      <c r="J278" s="8">
        <v>32</v>
      </c>
      <c r="K278" s="8">
        <v>10</v>
      </c>
      <c r="L278" s="8">
        <f t="shared" si="4"/>
        <v>320</v>
      </c>
      <c r="M278" s="8">
        <v>2560</v>
      </c>
      <c r="N278" s="1" t="s">
        <v>217</v>
      </c>
      <c r="O278" s="1" t="s">
        <v>186</v>
      </c>
      <c r="P278" s="9">
        <v>56.3</v>
      </c>
      <c r="Q278" s="10">
        <v>44718</v>
      </c>
      <c r="R278" s="6">
        <v>9971</v>
      </c>
      <c r="S278" s="1" t="s">
        <v>187</v>
      </c>
      <c r="T278" s="1" t="s">
        <v>975</v>
      </c>
    </row>
    <row r="279" spans="1:20" x14ac:dyDescent="0.25">
      <c r="A279" s="1" t="s">
        <v>976</v>
      </c>
      <c r="B279" s="1" t="s">
        <v>148</v>
      </c>
      <c r="C279" s="1" t="s">
        <v>149</v>
      </c>
      <c r="D279" s="1" t="s">
        <v>951</v>
      </c>
      <c r="E279" s="1" t="s">
        <v>977</v>
      </c>
      <c r="F279" s="1" t="s">
        <v>134</v>
      </c>
      <c r="G279" s="1" t="s">
        <v>191</v>
      </c>
      <c r="H279" s="1" t="s">
        <v>183</v>
      </c>
      <c r="I279" s="1" t="s">
        <v>282</v>
      </c>
      <c r="J279" s="8">
        <v>32</v>
      </c>
      <c r="K279" s="8">
        <v>20</v>
      </c>
      <c r="L279" s="8">
        <f t="shared" si="4"/>
        <v>640</v>
      </c>
      <c r="M279" s="8">
        <v>5120</v>
      </c>
      <c r="N279" s="1" t="s">
        <v>217</v>
      </c>
      <c r="O279" s="1" t="s">
        <v>186</v>
      </c>
      <c r="P279" s="9">
        <v>87</v>
      </c>
      <c r="Q279" s="10">
        <v>45656</v>
      </c>
      <c r="R279" s="6">
        <v>25300</v>
      </c>
      <c r="S279" s="1" t="s">
        <v>194</v>
      </c>
      <c r="T279" s="1" t="s">
        <v>978</v>
      </c>
    </row>
    <row r="280" spans="1:20" x14ac:dyDescent="0.25">
      <c r="A280" s="1" t="s">
        <v>979</v>
      </c>
      <c r="B280" s="1" t="s">
        <v>148</v>
      </c>
      <c r="C280" s="1" t="s">
        <v>149</v>
      </c>
      <c r="D280" s="1" t="s">
        <v>958</v>
      </c>
      <c r="E280" s="1" t="s">
        <v>980</v>
      </c>
      <c r="F280" s="1" t="s">
        <v>134</v>
      </c>
      <c r="G280" s="1" t="s">
        <v>174</v>
      </c>
      <c r="H280" s="1" t="s">
        <v>202</v>
      </c>
      <c r="I280" s="1" t="s">
        <v>216</v>
      </c>
      <c r="J280" s="8">
        <v>16</v>
      </c>
      <c r="K280" s="8">
        <v>8</v>
      </c>
      <c r="L280" s="8">
        <f t="shared" si="4"/>
        <v>128</v>
      </c>
      <c r="M280" s="8">
        <v>1024</v>
      </c>
      <c r="N280" s="1" t="s">
        <v>185</v>
      </c>
      <c r="O280" s="1" t="s">
        <v>186</v>
      </c>
      <c r="P280" s="9">
        <v>51.6</v>
      </c>
      <c r="Q280" s="10">
        <v>44627</v>
      </c>
      <c r="R280" s="6">
        <v>8764</v>
      </c>
      <c r="S280" s="1" t="s">
        <v>194</v>
      </c>
      <c r="T280" s="1" t="s">
        <v>981</v>
      </c>
    </row>
    <row r="281" spans="1:20" x14ac:dyDescent="0.25">
      <c r="A281" s="1" t="s">
        <v>982</v>
      </c>
      <c r="B281" s="1" t="s">
        <v>148</v>
      </c>
      <c r="C281" s="1" t="s">
        <v>149</v>
      </c>
      <c r="D281" s="1" t="s">
        <v>958</v>
      </c>
      <c r="E281" s="1" t="s">
        <v>955</v>
      </c>
      <c r="F281" s="1" t="s">
        <v>151</v>
      </c>
      <c r="G281" s="1" t="s">
        <v>207</v>
      </c>
      <c r="H281" s="1" t="s">
        <v>242</v>
      </c>
      <c r="I281" s="1" t="s">
        <v>216</v>
      </c>
      <c r="J281" s="8">
        <v>16</v>
      </c>
      <c r="K281" s="8">
        <v>24</v>
      </c>
      <c r="L281" s="8">
        <f t="shared" si="4"/>
        <v>384</v>
      </c>
      <c r="M281" s="8">
        <v>3072</v>
      </c>
      <c r="N281" s="1" t="s">
        <v>185</v>
      </c>
      <c r="O281" s="1" t="s">
        <v>193</v>
      </c>
      <c r="P281" s="9">
        <v>77.099999999999994</v>
      </c>
      <c r="Q281" s="10">
        <v>44377</v>
      </c>
      <c r="R281" s="6">
        <v>26891</v>
      </c>
      <c r="S281" s="1" t="s">
        <v>187</v>
      </c>
      <c r="T281" s="1" t="s">
        <v>983</v>
      </c>
    </row>
    <row r="282" spans="1:20" x14ac:dyDescent="0.25">
      <c r="A282" s="1" t="s">
        <v>984</v>
      </c>
      <c r="B282" s="1" t="s">
        <v>148</v>
      </c>
      <c r="C282" s="1" t="s">
        <v>149</v>
      </c>
      <c r="D282" s="1" t="s">
        <v>958</v>
      </c>
      <c r="E282" s="1" t="s">
        <v>985</v>
      </c>
      <c r="F282" s="1" t="s">
        <v>151</v>
      </c>
      <c r="G282" s="1" t="s">
        <v>207</v>
      </c>
      <c r="H282" s="1" t="s">
        <v>202</v>
      </c>
      <c r="I282" s="1" t="s">
        <v>289</v>
      </c>
      <c r="J282" s="8">
        <v>32</v>
      </c>
      <c r="K282" s="8">
        <v>3</v>
      </c>
      <c r="L282" s="8">
        <f t="shared" si="4"/>
        <v>96</v>
      </c>
      <c r="M282" s="8">
        <v>384</v>
      </c>
      <c r="N282" s="1" t="s">
        <v>217</v>
      </c>
      <c r="O282" s="1" t="s">
        <v>186</v>
      </c>
      <c r="P282" s="9">
        <v>71.900000000000006</v>
      </c>
      <c r="Q282" s="10">
        <v>44314</v>
      </c>
      <c r="R282" s="6">
        <v>3148</v>
      </c>
      <c r="S282" s="1" t="s">
        <v>194</v>
      </c>
      <c r="T282" s="1" t="s">
        <v>986</v>
      </c>
    </row>
    <row r="283" spans="1:20" x14ac:dyDescent="0.25">
      <c r="A283" s="1" t="s">
        <v>987</v>
      </c>
      <c r="B283" s="1" t="s">
        <v>148</v>
      </c>
      <c r="C283" s="1" t="s">
        <v>149</v>
      </c>
      <c r="D283" s="1" t="s">
        <v>958</v>
      </c>
      <c r="E283" s="1" t="s">
        <v>988</v>
      </c>
      <c r="F283" s="1" t="s">
        <v>134</v>
      </c>
      <c r="G283" s="1" t="s">
        <v>174</v>
      </c>
      <c r="H283" s="1" t="s">
        <v>202</v>
      </c>
      <c r="I283" s="1" t="s">
        <v>330</v>
      </c>
      <c r="J283" s="8">
        <v>32</v>
      </c>
      <c r="K283" s="8">
        <v>20</v>
      </c>
      <c r="L283" s="8">
        <f t="shared" si="4"/>
        <v>640</v>
      </c>
      <c r="M283" s="8">
        <v>5120</v>
      </c>
      <c r="N283" s="1" t="s">
        <v>217</v>
      </c>
      <c r="O283" s="1" t="s">
        <v>186</v>
      </c>
      <c r="P283" s="9">
        <v>36.5</v>
      </c>
      <c r="Q283" s="10">
        <v>45830</v>
      </c>
      <c r="R283" s="6">
        <v>19475</v>
      </c>
      <c r="S283" s="1" t="s">
        <v>194</v>
      </c>
      <c r="T283" s="1" t="s">
        <v>989</v>
      </c>
    </row>
    <row r="284" spans="1:20" x14ac:dyDescent="0.25">
      <c r="A284" s="1" t="s">
        <v>990</v>
      </c>
      <c r="B284" s="1" t="s">
        <v>148</v>
      </c>
      <c r="C284" s="1" t="s">
        <v>149</v>
      </c>
      <c r="D284" s="1" t="s">
        <v>951</v>
      </c>
      <c r="E284" s="1" t="s">
        <v>991</v>
      </c>
      <c r="F284" s="1" t="s">
        <v>151</v>
      </c>
      <c r="G284" s="1" t="s">
        <v>174</v>
      </c>
      <c r="H284" s="1" t="s">
        <v>230</v>
      </c>
      <c r="I284" s="1" t="s">
        <v>276</v>
      </c>
      <c r="J284" s="8">
        <v>64</v>
      </c>
      <c r="K284" s="8">
        <v>2</v>
      </c>
      <c r="L284" s="8">
        <f t="shared" si="4"/>
        <v>128</v>
      </c>
      <c r="M284" s="8">
        <v>512</v>
      </c>
      <c r="N284" s="1" t="s">
        <v>185</v>
      </c>
      <c r="O284" s="1" t="s">
        <v>186</v>
      </c>
      <c r="P284" s="9">
        <v>75.400000000000006</v>
      </c>
      <c r="Q284" s="10">
        <v>45377</v>
      </c>
      <c r="R284" s="6">
        <v>6851</v>
      </c>
      <c r="S284" s="1" t="s">
        <v>178</v>
      </c>
      <c r="T284" s="1" t="s">
        <v>992</v>
      </c>
    </row>
    <row r="285" spans="1:20" x14ac:dyDescent="0.25">
      <c r="A285" s="1" t="s">
        <v>993</v>
      </c>
      <c r="B285" s="1" t="s">
        <v>148</v>
      </c>
      <c r="C285" s="1" t="s">
        <v>149</v>
      </c>
      <c r="D285" s="1" t="s">
        <v>958</v>
      </c>
      <c r="E285" s="1" t="s">
        <v>968</v>
      </c>
      <c r="F285" s="1" t="s">
        <v>151</v>
      </c>
      <c r="G285" s="1" t="s">
        <v>174</v>
      </c>
      <c r="H285" s="1" t="s">
        <v>183</v>
      </c>
      <c r="I285" s="1" t="s">
        <v>276</v>
      </c>
      <c r="J285" s="8">
        <v>64</v>
      </c>
      <c r="K285" s="8">
        <v>2</v>
      </c>
      <c r="L285" s="8">
        <f t="shared" si="4"/>
        <v>128</v>
      </c>
      <c r="M285" s="8">
        <v>512</v>
      </c>
      <c r="N285" s="1" t="s">
        <v>185</v>
      </c>
      <c r="O285" s="1" t="s">
        <v>186</v>
      </c>
      <c r="P285" s="9">
        <v>31.6</v>
      </c>
      <c r="Q285" s="10">
        <v>45339</v>
      </c>
      <c r="R285" s="6">
        <v>7839</v>
      </c>
      <c r="S285" s="1" t="s">
        <v>178</v>
      </c>
      <c r="T285" s="1" t="s">
        <v>994</v>
      </c>
    </row>
    <row r="286" spans="1:20" x14ac:dyDescent="0.25">
      <c r="A286" s="1" t="s">
        <v>995</v>
      </c>
      <c r="B286" s="1" t="s">
        <v>148</v>
      </c>
      <c r="C286" s="1" t="s">
        <v>149</v>
      </c>
      <c r="D286" s="1" t="s">
        <v>958</v>
      </c>
      <c r="E286" s="1" t="s">
        <v>996</v>
      </c>
      <c r="F286" s="1" t="s">
        <v>134</v>
      </c>
      <c r="G286" s="1" t="s">
        <v>191</v>
      </c>
      <c r="H286" s="1" t="s">
        <v>183</v>
      </c>
      <c r="I286" s="1" t="s">
        <v>330</v>
      </c>
      <c r="J286" s="8">
        <v>32</v>
      </c>
      <c r="K286" s="8">
        <v>4</v>
      </c>
      <c r="L286" s="8">
        <f t="shared" si="4"/>
        <v>128</v>
      </c>
      <c r="M286" s="8">
        <v>1024</v>
      </c>
      <c r="N286" s="1" t="s">
        <v>185</v>
      </c>
      <c r="O286" s="1" t="s">
        <v>186</v>
      </c>
      <c r="P286" s="9">
        <v>58.1</v>
      </c>
      <c r="Q286" s="10">
        <v>45002</v>
      </c>
      <c r="R286" s="6">
        <v>7388</v>
      </c>
      <c r="S286" s="1" t="s">
        <v>194</v>
      </c>
      <c r="T286" s="1" t="s">
        <v>997</v>
      </c>
    </row>
    <row r="287" spans="1:20" x14ac:dyDescent="0.25">
      <c r="A287" s="1" t="s">
        <v>998</v>
      </c>
      <c r="B287" s="1" t="s">
        <v>148</v>
      </c>
      <c r="C287" s="1" t="s">
        <v>149</v>
      </c>
      <c r="D287" s="1" t="s">
        <v>958</v>
      </c>
      <c r="E287" s="1" t="s">
        <v>962</v>
      </c>
      <c r="F287" s="1" t="s">
        <v>151</v>
      </c>
      <c r="G287" s="1" t="s">
        <v>174</v>
      </c>
      <c r="H287" s="1" t="s">
        <v>183</v>
      </c>
      <c r="I287" s="1" t="s">
        <v>184</v>
      </c>
      <c r="J287" s="8">
        <v>8</v>
      </c>
      <c r="K287" s="8">
        <v>4</v>
      </c>
      <c r="L287" s="8">
        <f t="shared" si="4"/>
        <v>32</v>
      </c>
      <c r="M287" s="8">
        <v>128</v>
      </c>
      <c r="N287" s="1" t="s">
        <v>185</v>
      </c>
      <c r="O287" s="1" t="s">
        <v>186</v>
      </c>
      <c r="P287" s="9">
        <v>59.9</v>
      </c>
      <c r="Q287" s="10">
        <v>45152</v>
      </c>
      <c r="R287" s="6">
        <v>1992</v>
      </c>
      <c r="S287" s="1" t="s">
        <v>187</v>
      </c>
      <c r="T287" s="1" t="s">
        <v>999</v>
      </c>
    </row>
    <row r="288" spans="1:20" x14ac:dyDescent="0.25">
      <c r="A288" s="1" t="s">
        <v>1000</v>
      </c>
      <c r="B288" s="1" t="s">
        <v>148</v>
      </c>
      <c r="C288" s="1" t="s">
        <v>149</v>
      </c>
      <c r="D288" s="1" t="s">
        <v>958</v>
      </c>
      <c r="E288" s="1" t="s">
        <v>959</v>
      </c>
      <c r="F288" s="1" t="s">
        <v>151</v>
      </c>
      <c r="G288" s="1" t="s">
        <v>191</v>
      </c>
      <c r="H288" s="1" t="s">
        <v>230</v>
      </c>
      <c r="I288" s="1" t="s">
        <v>276</v>
      </c>
      <c r="J288" s="8">
        <v>64</v>
      </c>
      <c r="K288" s="8">
        <v>8</v>
      </c>
      <c r="L288" s="8">
        <f t="shared" si="4"/>
        <v>512</v>
      </c>
      <c r="M288" s="8">
        <v>2048</v>
      </c>
      <c r="N288" s="1" t="s">
        <v>185</v>
      </c>
      <c r="O288" s="1" t="s">
        <v>186</v>
      </c>
      <c r="P288" s="9">
        <v>56.7</v>
      </c>
      <c r="Q288" s="10">
        <v>45145</v>
      </c>
      <c r="R288" s="6">
        <v>38983</v>
      </c>
      <c r="S288" s="1" t="s">
        <v>187</v>
      </c>
      <c r="T288" s="1" t="s">
        <v>1001</v>
      </c>
    </row>
    <row r="289" spans="1:20" x14ac:dyDescent="0.25">
      <c r="A289" s="1" t="s">
        <v>1002</v>
      </c>
      <c r="B289" s="1" t="s">
        <v>148</v>
      </c>
      <c r="C289" s="1" t="s">
        <v>149</v>
      </c>
      <c r="D289" s="1" t="s">
        <v>958</v>
      </c>
      <c r="E289" s="1" t="s">
        <v>1003</v>
      </c>
      <c r="F289" s="1" t="s">
        <v>151</v>
      </c>
      <c r="G289" s="1" t="s">
        <v>207</v>
      </c>
      <c r="H289" s="1" t="s">
        <v>221</v>
      </c>
      <c r="I289" s="1" t="s">
        <v>208</v>
      </c>
      <c r="J289" s="8">
        <v>128</v>
      </c>
      <c r="K289" s="8">
        <v>8</v>
      </c>
      <c r="L289" s="8">
        <f t="shared" si="4"/>
        <v>1024</v>
      </c>
      <c r="M289" s="8">
        <v>31136</v>
      </c>
      <c r="N289" s="1" t="s">
        <v>185</v>
      </c>
      <c r="O289" s="1" t="s">
        <v>186</v>
      </c>
      <c r="P289" s="9">
        <v>70.599999999999994</v>
      </c>
      <c r="Q289" s="10">
        <v>44761</v>
      </c>
      <c r="R289" s="6">
        <v>69897</v>
      </c>
      <c r="S289" s="1" t="s">
        <v>187</v>
      </c>
      <c r="T289" s="1" t="s">
        <v>1004</v>
      </c>
    </row>
    <row r="290" spans="1:20" x14ac:dyDescent="0.25">
      <c r="A290" s="1" t="s">
        <v>1005</v>
      </c>
      <c r="B290" s="1" t="s">
        <v>148</v>
      </c>
      <c r="C290" s="1" t="s">
        <v>149</v>
      </c>
      <c r="D290" s="1" t="s">
        <v>958</v>
      </c>
      <c r="E290" s="1" t="s">
        <v>1006</v>
      </c>
      <c r="F290" s="1" t="s">
        <v>151</v>
      </c>
      <c r="G290" s="1" t="s">
        <v>174</v>
      </c>
      <c r="H290" s="1" t="s">
        <v>183</v>
      </c>
      <c r="I290" s="1" t="s">
        <v>259</v>
      </c>
      <c r="J290" s="8">
        <v>64</v>
      </c>
      <c r="K290" s="8">
        <v>4</v>
      </c>
      <c r="L290" s="8">
        <f t="shared" si="4"/>
        <v>256</v>
      </c>
      <c r="M290" s="8">
        <v>2048</v>
      </c>
      <c r="N290" s="1" t="s">
        <v>185</v>
      </c>
      <c r="O290" s="1" t="s">
        <v>186</v>
      </c>
      <c r="P290" s="9">
        <v>49.4</v>
      </c>
      <c r="Q290" s="10">
        <v>45125</v>
      </c>
      <c r="R290" s="6">
        <v>19162</v>
      </c>
      <c r="S290" s="1" t="s">
        <v>187</v>
      </c>
      <c r="T290" s="1" t="s">
        <v>1007</v>
      </c>
    </row>
    <row r="291" spans="1:20" x14ac:dyDescent="0.25">
      <c r="A291" s="1" t="s">
        <v>1008</v>
      </c>
      <c r="B291" s="1" t="s">
        <v>148</v>
      </c>
      <c r="C291" s="1" t="s">
        <v>149</v>
      </c>
      <c r="D291" s="1" t="s">
        <v>951</v>
      </c>
      <c r="E291" s="1" t="s">
        <v>962</v>
      </c>
      <c r="F291" s="1" t="s">
        <v>151</v>
      </c>
      <c r="G291" s="1" t="s">
        <v>207</v>
      </c>
      <c r="H291" s="1" t="s">
        <v>183</v>
      </c>
      <c r="I291" s="1" t="s">
        <v>259</v>
      </c>
      <c r="J291" s="8">
        <v>64</v>
      </c>
      <c r="K291" s="8">
        <v>10</v>
      </c>
      <c r="L291" s="8">
        <f t="shared" si="4"/>
        <v>640</v>
      </c>
      <c r="M291" s="8">
        <v>5120</v>
      </c>
      <c r="N291" s="1" t="s">
        <v>185</v>
      </c>
      <c r="O291" s="1" t="s">
        <v>186</v>
      </c>
      <c r="P291" s="9">
        <v>83</v>
      </c>
      <c r="Q291" s="10">
        <v>44929</v>
      </c>
      <c r="R291" s="6">
        <v>43846</v>
      </c>
      <c r="S291" s="1" t="s">
        <v>187</v>
      </c>
      <c r="T291" s="1" t="s">
        <v>1009</v>
      </c>
    </row>
    <row r="292" spans="1:20" x14ac:dyDescent="0.25">
      <c r="A292" s="1" t="s">
        <v>1010</v>
      </c>
      <c r="B292" s="1" t="s">
        <v>148</v>
      </c>
      <c r="C292" s="1" t="s">
        <v>149</v>
      </c>
      <c r="D292" s="1" t="s">
        <v>958</v>
      </c>
      <c r="E292" s="1" t="s">
        <v>1011</v>
      </c>
      <c r="F292" s="1" t="s">
        <v>151</v>
      </c>
      <c r="G292" s="1" t="s">
        <v>174</v>
      </c>
      <c r="H292" s="1" t="s">
        <v>230</v>
      </c>
      <c r="I292" s="1" t="s">
        <v>289</v>
      </c>
      <c r="J292" s="8">
        <v>32</v>
      </c>
      <c r="K292" s="8">
        <v>4</v>
      </c>
      <c r="L292" s="8">
        <f t="shared" si="4"/>
        <v>128</v>
      </c>
      <c r="M292" s="8">
        <v>512</v>
      </c>
      <c r="N292" s="1" t="s">
        <v>185</v>
      </c>
      <c r="O292" s="1" t="s">
        <v>186</v>
      </c>
      <c r="P292" s="9">
        <v>74.400000000000006</v>
      </c>
      <c r="Q292" s="10">
        <v>44729</v>
      </c>
      <c r="R292" s="6">
        <v>7749</v>
      </c>
      <c r="S292" s="1" t="s">
        <v>187</v>
      </c>
      <c r="T292" s="1" t="s">
        <v>1012</v>
      </c>
    </row>
    <row r="293" spans="1:20" x14ac:dyDescent="0.25">
      <c r="A293" s="1" t="s">
        <v>1013</v>
      </c>
      <c r="B293" s="1" t="s">
        <v>148</v>
      </c>
      <c r="C293" s="1" t="s">
        <v>149</v>
      </c>
      <c r="D293" s="1" t="s">
        <v>951</v>
      </c>
      <c r="E293" s="1" t="s">
        <v>1014</v>
      </c>
      <c r="F293" s="1" t="s">
        <v>134</v>
      </c>
      <c r="G293" s="1" t="s">
        <v>174</v>
      </c>
      <c r="H293" s="1" t="s">
        <v>230</v>
      </c>
      <c r="I293" s="1" t="s">
        <v>276</v>
      </c>
      <c r="J293" s="8">
        <v>64</v>
      </c>
      <c r="K293" s="8">
        <v>6</v>
      </c>
      <c r="L293" s="8">
        <f t="shared" si="4"/>
        <v>384</v>
      </c>
      <c r="M293" s="8">
        <v>1536</v>
      </c>
      <c r="N293" s="1" t="s">
        <v>185</v>
      </c>
      <c r="O293" s="1" t="s">
        <v>186</v>
      </c>
      <c r="P293" s="9">
        <v>73.400000000000006</v>
      </c>
      <c r="Q293" s="10">
        <v>45734</v>
      </c>
      <c r="R293" s="6">
        <v>20398</v>
      </c>
      <c r="S293" s="1" t="s">
        <v>194</v>
      </c>
      <c r="T293" s="1" t="s">
        <v>1015</v>
      </c>
    </row>
    <row r="294" spans="1:20" x14ac:dyDescent="0.25">
      <c r="A294" s="1" t="s">
        <v>1016</v>
      </c>
      <c r="B294" s="1" t="s">
        <v>148</v>
      </c>
      <c r="C294" s="1" t="s">
        <v>149</v>
      </c>
      <c r="D294" s="1" t="s">
        <v>951</v>
      </c>
      <c r="E294" s="1" t="s">
        <v>1017</v>
      </c>
      <c r="F294" s="1" t="s">
        <v>151</v>
      </c>
      <c r="G294" s="1" t="s">
        <v>191</v>
      </c>
      <c r="H294" s="1" t="s">
        <v>198</v>
      </c>
      <c r="I294" s="1" t="s">
        <v>176</v>
      </c>
      <c r="J294" s="8">
        <v>0</v>
      </c>
      <c r="K294" s="8">
        <v>1</v>
      </c>
      <c r="L294" s="8">
        <f t="shared" si="4"/>
        <v>0</v>
      </c>
      <c r="M294" s="8">
        <v>0</v>
      </c>
      <c r="N294" s="1" t="s">
        <v>217</v>
      </c>
      <c r="O294" s="1" t="s">
        <v>176</v>
      </c>
      <c r="P294" s="9">
        <v>28.1</v>
      </c>
      <c r="Q294" s="10">
        <v>45420</v>
      </c>
      <c r="R294" s="6">
        <v>2117</v>
      </c>
      <c r="S294" s="1" t="s">
        <v>187</v>
      </c>
      <c r="T294" s="1" t="s">
        <v>1018</v>
      </c>
    </row>
    <row r="295" spans="1:20" x14ac:dyDescent="0.25">
      <c r="A295" s="1" t="s">
        <v>1019</v>
      </c>
      <c r="B295" s="1" t="s">
        <v>148</v>
      </c>
      <c r="C295" s="1" t="s">
        <v>149</v>
      </c>
      <c r="D295" s="1" t="s">
        <v>958</v>
      </c>
      <c r="E295" s="1" t="s">
        <v>952</v>
      </c>
      <c r="F295" s="1" t="s">
        <v>134</v>
      </c>
      <c r="G295" s="1" t="s">
        <v>191</v>
      </c>
      <c r="H295" s="1" t="s">
        <v>183</v>
      </c>
      <c r="I295" s="1" t="s">
        <v>216</v>
      </c>
      <c r="J295" s="8">
        <v>16</v>
      </c>
      <c r="K295" s="8">
        <v>24</v>
      </c>
      <c r="L295" s="8">
        <f t="shared" si="4"/>
        <v>384</v>
      </c>
      <c r="M295" s="8">
        <v>3072</v>
      </c>
      <c r="N295" s="1" t="s">
        <v>217</v>
      </c>
      <c r="O295" s="1" t="s">
        <v>186</v>
      </c>
      <c r="P295" s="9">
        <v>30.5</v>
      </c>
      <c r="Q295" s="10">
        <v>45338</v>
      </c>
      <c r="R295" s="6">
        <v>11985</v>
      </c>
      <c r="S295" s="1" t="s">
        <v>187</v>
      </c>
      <c r="T295" s="1" t="s">
        <v>1020</v>
      </c>
    </row>
    <row r="296" spans="1:20" x14ac:dyDescent="0.25">
      <c r="A296" s="1" t="s">
        <v>1021</v>
      </c>
      <c r="B296" s="1" t="s">
        <v>148</v>
      </c>
      <c r="C296" s="1" t="s">
        <v>149</v>
      </c>
      <c r="D296" s="1" t="s">
        <v>958</v>
      </c>
      <c r="E296" s="1" t="s">
        <v>1022</v>
      </c>
      <c r="F296" s="1" t="s">
        <v>151</v>
      </c>
      <c r="G296" s="1" t="s">
        <v>191</v>
      </c>
      <c r="H296" s="1" t="s">
        <v>221</v>
      </c>
      <c r="I296" s="1" t="s">
        <v>289</v>
      </c>
      <c r="J296" s="8">
        <v>32</v>
      </c>
      <c r="K296" s="8">
        <v>2</v>
      </c>
      <c r="L296" s="8">
        <f t="shared" si="4"/>
        <v>64</v>
      </c>
      <c r="M296" s="8">
        <v>256</v>
      </c>
      <c r="N296" s="1" t="s">
        <v>185</v>
      </c>
      <c r="O296" s="1" t="s">
        <v>186</v>
      </c>
      <c r="P296" s="9">
        <v>35</v>
      </c>
      <c r="Q296" s="10">
        <v>44561</v>
      </c>
      <c r="R296" s="6">
        <v>4001</v>
      </c>
      <c r="S296" s="1" t="s">
        <v>178</v>
      </c>
      <c r="T296" s="1" t="s">
        <v>1023</v>
      </c>
    </row>
    <row r="297" spans="1:20" x14ac:dyDescent="0.25">
      <c r="A297" s="1" t="s">
        <v>1024</v>
      </c>
      <c r="B297" s="1" t="s">
        <v>148</v>
      </c>
      <c r="C297" s="1" t="s">
        <v>149</v>
      </c>
      <c r="D297" s="1" t="s">
        <v>958</v>
      </c>
      <c r="E297" s="1" t="s">
        <v>1025</v>
      </c>
      <c r="F297" s="1" t="s">
        <v>134</v>
      </c>
      <c r="G297" s="1" t="s">
        <v>207</v>
      </c>
      <c r="H297" s="1" t="s">
        <v>235</v>
      </c>
      <c r="I297" s="1" t="s">
        <v>176</v>
      </c>
      <c r="J297" s="8">
        <v>0</v>
      </c>
      <c r="K297" s="8">
        <v>3</v>
      </c>
      <c r="L297" s="8">
        <f t="shared" si="4"/>
        <v>0</v>
      </c>
      <c r="M297" s="8">
        <v>0</v>
      </c>
      <c r="N297" s="1" t="s">
        <v>185</v>
      </c>
      <c r="O297" s="1" t="s">
        <v>176</v>
      </c>
      <c r="P297" s="9">
        <v>23.5</v>
      </c>
      <c r="Q297" s="10">
        <v>45827</v>
      </c>
      <c r="R297" s="6">
        <v>4605</v>
      </c>
      <c r="S297" s="1" t="s">
        <v>178</v>
      </c>
      <c r="T297" s="1" t="s">
        <v>1026</v>
      </c>
    </row>
    <row r="298" spans="1:20" x14ac:dyDescent="0.25">
      <c r="A298" s="1" t="s">
        <v>1027</v>
      </c>
      <c r="B298" s="1" t="s">
        <v>148</v>
      </c>
      <c r="C298" s="1" t="s">
        <v>149</v>
      </c>
      <c r="D298" s="1" t="s">
        <v>951</v>
      </c>
      <c r="E298" s="1" t="s">
        <v>1028</v>
      </c>
      <c r="F298" s="1" t="s">
        <v>134</v>
      </c>
      <c r="G298" s="1" t="s">
        <v>174</v>
      </c>
      <c r="H298" s="1" t="s">
        <v>242</v>
      </c>
      <c r="I298" s="1" t="s">
        <v>276</v>
      </c>
      <c r="J298" s="8">
        <v>64</v>
      </c>
      <c r="K298" s="8">
        <v>24</v>
      </c>
      <c r="L298" s="8">
        <f t="shared" si="4"/>
        <v>1536</v>
      </c>
      <c r="M298" s="8">
        <v>6144</v>
      </c>
      <c r="N298" s="1" t="s">
        <v>185</v>
      </c>
      <c r="O298" s="1" t="s">
        <v>193</v>
      </c>
      <c r="P298" s="9">
        <v>78.099999999999994</v>
      </c>
      <c r="Q298" s="10">
        <v>44683</v>
      </c>
      <c r="R298" s="6">
        <v>100347</v>
      </c>
      <c r="S298" s="1" t="s">
        <v>187</v>
      </c>
      <c r="T298" s="1" t="s">
        <v>1029</v>
      </c>
    </row>
    <row r="299" spans="1:20" x14ac:dyDescent="0.25">
      <c r="A299" s="1" t="s">
        <v>1030</v>
      </c>
      <c r="B299" s="1" t="s">
        <v>148</v>
      </c>
      <c r="C299" s="1" t="s">
        <v>149</v>
      </c>
      <c r="D299" s="1" t="s">
        <v>951</v>
      </c>
      <c r="E299" s="1" t="s">
        <v>1014</v>
      </c>
      <c r="F299" s="1" t="s">
        <v>134</v>
      </c>
      <c r="G299" s="1" t="s">
        <v>174</v>
      </c>
      <c r="H299" s="1" t="s">
        <v>230</v>
      </c>
      <c r="I299" s="1" t="s">
        <v>192</v>
      </c>
      <c r="J299" s="8">
        <v>16</v>
      </c>
      <c r="K299" s="8">
        <v>3</v>
      </c>
      <c r="L299" s="8">
        <f t="shared" si="4"/>
        <v>48</v>
      </c>
      <c r="M299" s="8">
        <v>384</v>
      </c>
      <c r="N299" s="1" t="s">
        <v>185</v>
      </c>
      <c r="O299" s="1" t="s">
        <v>186</v>
      </c>
      <c r="P299" s="9">
        <v>55.6</v>
      </c>
      <c r="Q299" s="10">
        <v>45773</v>
      </c>
      <c r="R299" s="6">
        <v>2786</v>
      </c>
      <c r="S299" s="1" t="s">
        <v>187</v>
      </c>
      <c r="T299" s="1" t="s">
        <v>1031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1B4F-77A6-4D70-9F8A-95996F912462}">
  <dimension ref="A1:J295"/>
  <sheetViews>
    <sheetView workbookViewId="0">
      <pane ySplit="1" topLeftCell="A2" activePane="bottomLeft" state="frozen"/>
      <selection pane="bottomLeft" activeCell="C33" sqref="C33"/>
    </sheetView>
  </sheetViews>
  <sheetFormatPr defaultRowHeight="15" x14ac:dyDescent="0.25"/>
  <cols>
    <col min="1" max="1" width="12.7109375" customWidth="1"/>
    <col min="2" max="2" width="26.7109375" customWidth="1"/>
    <col min="3" max="3" width="27.7109375" customWidth="1"/>
    <col min="4" max="4" width="20.7109375" customWidth="1"/>
    <col min="5" max="5" width="12.7109375" customWidth="1"/>
    <col min="6" max="6" width="15.7109375" customWidth="1"/>
    <col min="7" max="7" width="20.7109375" customWidth="1"/>
    <col min="8" max="8" width="18.7109375" customWidth="1"/>
    <col min="9" max="9" width="17.7109375" customWidth="1"/>
    <col min="10" max="10" width="12.7109375" customWidth="1"/>
  </cols>
  <sheetData>
    <row r="1" spans="1:10" x14ac:dyDescent="0.25">
      <c r="A1" s="3" t="s">
        <v>27</v>
      </c>
      <c r="B1" s="3" t="s">
        <v>105</v>
      </c>
      <c r="C1" s="3" t="s">
        <v>31</v>
      </c>
      <c r="D1" s="3" t="s">
        <v>1032</v>
      </c>
      <c r="E1" s="3" t="s">
        <v>33</v>
      </c>
      <c r="F1" s="3" t="s">
        <v>1033</v>
      </c>
      <c r="G1" s="3" t="s">
        <v>1034</v>
      </c>
      <c r="H1" s="3" t="s">
        <v>1035</v>
      </c>
      <c r="I1" s="3" t="s">
        <v>1036</v>
      </c>
      <c r="J1" s="3" t="s">
        <v>1037</v>
      </c>
    </row>
    <row r="2" spans="1:10" x14ac:dyDescent="0.25">
      <c r="A2" s="1" t="s">
        <v>117</v>
      </c>
      <c r="B2" s="1" t="s">
        <v>118</v>
      </c>
      <c r="C2" s="1" t="s">
        <v>1038</v>
      </c>
      <c r="D2" s="1" t="s">
        <v>1039</v>
      </c>
      <c r="E2" s="1" t="s">
        <v>1040</v>
      </c>
      <c r="F2" s="6">
        <v>1723081</v>
      </c>
      <c r="G2" s="6">
        <v>1522427</v>
      </c>
      <c r="H2" s="6">
        <f t="shared" ref="H2:H65" si="0">F2-G2</f>
        <v>200654</v>
      </c>
      <c r="I2" s="7">
        <f t="shared" ref="I2:I65" si="1">H2/G2</f>
        <v>0.13179876604920959</v>
      </c>
      <c r="J2" s="1" t="str">
        <f t="shared" ref="J2:J65" si="2">IF(I2&gt;0.02,"Increase",IF(I2&lt;-0.02,"Decrease","Flat"))</f>
        <v>Increase</v>
      </c>
    </row>
    <row r="3" spans="1:10" x14ac:dyDescent="0.25">
      <c r="A3" s="1" t="s">
        <v>117</v>
      </c>
      <c r="B3" s="1" t="s">
        <v>118</v>
      </c>
      <c r="C3" s="1" t="s">
        <v>1038</v>
      </c>
      <c r="D3" s="1" t="s">
        <v>1039</v>
      </c>
      <c r="E3" s="1" t="s">
        <v>1041</v>
      </c>
      <c r="F3" s="6">
        <v>2052130</v>
      </c>
      <c r="G3" s="6">
        <v>1723081</v>
      </c>
      <c r="H3" s="6">
        <f t="shared" si="0"/>
        <v>329049</v>
      </c>
      <c r="I3" s="7">
        <f t="shared" si="1"/>
        <v>0.19096548566202054</v>
      </c>
      <c r="J3" s="1" t="str">
        <f t="shared" si="2"/>
        <v>Increase</v>
      </c>
    </row>
    <row r="4" spans="1:10" x14ac:dyDescent="0.25">
      <c r="A4" s="1" t="s">
        <v>117</v>
      </c>
      <c r="B4" s="1" t="s">
        <v>118</v>
      </c>
      <c r="C4" s="1" t="s">
        <v>1038</v>
      </c>
      <c r="D4" s="1" t="s">
        <v>1039</v>
      </c>
      <c r="E4" s="1" t="s">
        <v>1042</v>
      </c>
      <c r="F4" s="6">
        <v>1944909</v>
      </c>
      <c r="G4" s="6">
        <v>2052130</v>
      </c>
      <c r="H4" s="6">
        <f t="shared" si="0"/>
        <v>-107221</v>
      </c>
      <c r="I4" s="7">
        <f t="shared" si="1"/>
        <v>-5.2248639218762945E-2</v>
      </c>
      <c r="J4" s="1" t="str">
        <f t="shared" si="2"/>
        <v>Decrease</v>
      </c>
    </row>
    <row r="5" spans="1:10" x14ac:dyDescent="0.25">
      <c r="A5" s="1" t="s">
        <v>117</v>
      </c>
      <c r="B5" s="1" t="s">
        <v>118</v>
      </c>
      <c r="C5" s="1" t="s">
        <v>1043</v>
      </c>
      <c r="D5" s="1" t="s">
        <v>1044</v>
      </c>
      <c r="E5" s="1" t="s">
        <v>1040</v>
      </c>
      <c r="F5" s="6">
        <v>605634</v>
      </c>
      <c r="G5" s="6">
        <v>510861</v>
      </c>
      <c r="H5" s="6">
        <f t="shared" si="0"/>
        <v>94773</v>
      </c>
      <c r="I5" s="7">
        <f t="shared" si="1"/>
        <v>0.18551621673997429</v>
      </c>
      <c r="J5" s="1" t="str">
        <f t="shared" si="2"/>
        <v>Increase</v>
      </c>
    </row>
    <row r="6" spans="1:10" x14ac:dyDescent="0.25">
      <c r="A6" s="1" t="s">
        <v>117</v>
      </c>
      <c r="B6" s="1" t="s">
        <v>118</v>
      </c>
      <c r="C6" s="1" t="s">
        <v>1043</v>
      </c>
      <c r="D6" s="1" t="s">
        <v>1044</v>
      </c>
      <c r="E6" s="1" t="s">
        <v>1041</v>
      </c>
      <c r="F6" s="6">
        <v>719274</v>
      </c>
      <c r="G6" s="6">
        <v>605634</v>
      </c>
      <c r="H6" s="6">
        <f t="shared" si="0"/>
        <v>113640</v>
      </c>
      <c r="I6" s="7">
        <f t="shared" si="1"/>
        <v>0.18763807844341632</v>
      </c>
      <c r="J6" s="1" t="str">
        <f t="shared" si="2"/>
        <v>Increase</v>
      </c>
    </row>
    <row r="7" spans="1:10" x14ac:dyDescent="0.25">
      <c r="A7" s="1" t="s">
        <v>117</v>
      </c>
      <c r="B7" s="1" t="s">
        <v>118</v>
      </c>
      <c r="C7" s="1" t="s">
        <v>1043</v>
      </c>
      <c r="D7" s="1" t="s">
        <v>1044</v>
      </c>
      <c r="E7" s="1" t="s">
        <v>1042</v>
      </c>
      <c r="F7" s="6">
        <v>861374</v>
      </c>
      <c r="G7" s="6">
        <v>719274</v>
      </c>
      <c r="H7" s="6">
        <f t="shared" si="0"/>
        <v>142100</v>
      </c>
      <c r="I7" s="7">
        <f t="shared" si="1"/>
        <v>0.19756031776485733</v>
      </c>
      <c r="J7" s="1" t="str">
        <f t="shared" si="2"/>
        <v>Increase</v>
      </c>
    </row>
    <row r="8" spans="1:10" x14ac:dyDescent="0.25">
      <c r="A8" s="1" t="s">
        <v>117</v>
      </c>
      <c r="B8" s="1" t="s">
        <v>118</v>
      </c>
      <c r="C8" s="1" t="s">
        <v>1045</v>
      </c>
      <c r="D8" s="1" t="s">
        <v>1046</v>
      </c>
      <c r="E8" s="1" t="s">
        <v>1040</v>
      </c>
      <c r="F8" s="6">
        <v>138542</v>
      </c>
      <c r="G8" s="6">
        <v>115669</v>
      </c>
      <c r="H8" s="6">
        <f t="shared" si="0"/>
        <v>22873</v>
      </c>
      <c r="I8" s="7">
        <f t="shared" si="1"/>
        <v>0.19774529044082684</v>
      </c>
      <c r="J8" s="1" t="str">
        <f t="shared" si="2"/>
        <v>Increase</v>
      </c>
    </row>
    <row r="9" spans="1:10" x14ac:dyDescent="0.25">
      <c r="A9" s="1" t="s">
        <v>117</v>
      </c>
      <c r="B9" s="1" t="s">
        <v>118</v>
      </c>
      <c r="C9" s="1" t="s">
        <v>1045</v>
      </c>
      <c r="D9" s="1" t="s">
        <v>1046</v>
      </c>
      <c r="E9" s="1" t="s">
        <v>1041</v>
      </c>
      <c r="F9" s="6">
        <v>167637</v>
      </c>
      <c r="G9" s="6">
        <v>138542</v>
      </c>
      <c r="H9" s="6">
        <f t="shared" si="0"/>
        <v>29095</v>
      </c>
      <c r="I9" s="7">
        <f t="shared" si="1"/>
        <v>0.21000851727274039</v>
      </c>
      <c r="J9" s="1" t="str">
        <f t="shared" si="2"/>
        <v>Increase</v>
      </c>
    </row>
    <row r="10" spans="1:10" x14ac:dyDescent="0.25">
      <c r="A10" s="1" t="s">
        <v>117</v>
      </c>
      <c r="B10" s="1" t="s">
        <v>118</v>
      </c>
      <c r="C10" s="1" t="s">
        <v>1045</v>
      </c>
      <c r="D10" s="1" t="s">
        <v>1046</v>
      </c>
      <c r="E10" s="1" t="s">
        <v>1042</v>
      </c>
      <c r="F10" s="6">
        <v>177209</v>
      </c>
      <c r="G10" s="6">
        <v>167637</v>
      </c>
      <c r="H10" s="6">
        <f t="shared" si="0"/>
        <v>9572</v>
      </c>
      <c r="I10" s="7">
        <f t="shared" si="1"/>
        <v>5.7099566324856688E-2</v>
      </c>
      <c r="J10" s="1" t="str">
        <f t="shared" si="2"/>
        <v>Increase</v>
      </c>
    </row>
    <row r="11" spans="1:10" x14ac:dyDescent="0.25">
      <c r="A11" s="1" t="s">
        <v>117</v>
      </c>
      <c r="B11" s="1" t="s">
        <v>118</v>
      </c>
      <c r="C11" s="1" t="s">
        <v>1047</v>
      </c>
      <c r="D11" s="1" t="s">
        <v>1048</v>
      </c>
      <c r="E11" s="1" t="s">
        <v>1040</v>
      </c>
      <c r="F11" s="6">
        <v>227568</v>
      </c>
      <c r="G11" s="6">
        <v>212903</v>
      </c>
      <c r="H11" s="6">
        <f t="shared" si="0"/>
        <v>14665</v>
      </c>
      <c r="I11" s="7">
        <f t="shared" si="1"/>
        <v>6.8881133661808425E-2</v>
      </c>
      <c r="J11" s="1" t="str">
        <f t="shared" si="2"/>
        <v>Increase</v>
      </c>
    </row>
    <row r="12" spans="1:10" x14ac:dyDescent="0.25">
      <c r="A12" s="1" t="s">
        <v>117</v>
      </c>
      <c r="B12" s="1" t="s">
        <v>118</v>
      </c>
      <c r="C12" s="1" t="s">
        <v>1047</v>
      </c>
      <c r="D12" s="1" t="s">
        <v>1048</v>
      </c>
      <c r="E12" s="1" t="s">
        <v>1041</v>
      </c>
      <c r="F12" s="6">
        <v>257737</v>
      </c>
      <c r="G12" s="6">
        <v>227568</v>
      </c>
      <c r="H12" s="6">
        <f t="shared" si="0"/>
        <v>30169</v>
      </c>
      <c r="I12" s="7">
        <f t="shared" si="1"/>
        <v>0.13257136328482036</v>
      </c>
      <c r="J12" s="1" t="str">
        <f t="shared" si="2"/>
        <v>Increase</v>
      </c>
    </row>
    <row r="13" spans="1:10" x14ac:dyDescent="0.25">
      <c r="A13" s="1" t="s">
        <v>117</v>
      </c>
      <c r="B13" s="1" t="s">
        <v>118</v>
      </c>
      <c r="C13" s="1" t="s">
        <v>1047</v>
      </c>
      <c r="D13" s="1" t="s">
        <v>1048</v>
      </c>
      <c r="E13" s="1" t="s">
        <v>1042</v>
      </c>
      <c r="F13" s="6">
        <v>279245</v>
      </c>
      <c r="G13" s="6">
        <v>257737</v>
      </c>
      <c r="H13" s="6">
        <f t="shared" si="0"/>
        <v>21508</v>
      </c>
      <c r="I13" s="7">
        <f t="shared" si="1"/>
        <v>8.3449407729584812E-2</v>
      </c>
      <c r="J13" s="1" t="str">
        <f t="shared" si="2"/>
        <v>Increase</v>
      </c>
    </row>
    <row r="14" spans="1:10" x14ac:dyDescent="0.25">
      <c r="A14" s="1" t="s">
        <v>117</v>
      </c>
      <c r="B14" s="1" t="s">
        <v>118</v>
      </c>
      <c r="C14" s="1" t="s">
        <v>1049</v>
      </c>
      <c r="D14" s="1" t="s">
        <v>1048</v>
      </c>
      <c r="E14" s="1" t="s">
        <v>1040</v>
      </c>
      <c r="F14" s="6">
        <v>110371</v>
      </c>
      <c r="G14" s="6">
        <v>93042</v>
      </c>
      <c r="H14" s="6">
        <f t="shared" si="0"/>
        <v>17329</v>
      </c>
      <c r="I14" s="7">
        <f t="shared" si="1"/>
        <v>0.18624922078201242</v>
      </c>
      <c r="J14" s="1" t="str">
        <f t="shared" si="2"/>
        <v>Increase</v>
      </c>
    </row>
    <row r="15" spans="1:10" x14ac:dyDescent="0.25">
      <c r="A15" s="1" t="s">
        <v>117</v>
      </c>
      <c r="B15" s="1" t="s">
        <v>118</v>
      </c>
      <c r="C15" s="1" t="s">
        <v>1049</v>
      </c>
      <c r="D15" s="1" t="s">
        <v>1048</v>
      </c>
      <c r="E15" s="1" t="s">
        <v>1041</v>
      </c>
      <c r="F15" s="6">
        <v>129909</v>
      </c>
      <c r="G15" s="6">
        <v>110371</v>
      </c>
      <c r="H15" s="6">
        <f t="shared" si="0"/>
        <v>19538</v>
      </c>
      <c r="I15" s="7">
        <f t="shared" si="1"/>
        <v>0.17702113779887832</v>
      </c>
      <c r="J15" s="1" t="str">
        <f t="shared" si="2"/>
        <v>Increase</v>
      </c>
    </row>
    <row r="16" spans="1:10" x14ac:dyDescent="0.25">
      <c r="A16" s="1" t="s">
        <v>117</v>
      </c>
      <c r="B16" s="1" t="s">
        <v>118</v>
      </c>
      <c r="C16" s="1" t="s">
        <v>1049</v>
      </c>
      <c r="D16" s="1" t="s">
        <v>1048</v>
      </c>
      <c r="E16" s="1" t="s">
        <v>1042</v>
      </c>
      <c r="F16" s="6">
        <v>129138</v>
      </c>
      <c r="G16" s="6">
        <v>129909</v>
      </c>
      <c r="H16" s="6">
        <f t="shared" si="0"/>
        <v>-771</v>
      </c>
      <c r="I16" s="7">
        <f t="shared" si="1"/>
        <v>-5.9349236773433714E-3</v>
      </c>
      <c r="J16" s="1" t="str">
        <f t="shared" si="2"/>
        <v>Flat</v>
      </c>
    </row>
    <row r="17" spans="1:10" x14ac:dyDescent="0.25">
      <c r="A17" s="1" t="s">
        <v>117</v>
      </c>
      <c r="B17" s="1" t="s">
        <v>118</v>
      </c>
      <c r="C17" s="1" t="s">
        <v>1050</v>
      </c>
      <c r="D17" s="1" t="s">
        <v>1051</v>
      </c>
      <c r="E17" s="1" t="s">
        <v>1040</v>
      </c>
      <c r="F17" s="6">
        <v>171544</v>
      </c>
      <c r="G17" s="6">
        <v>141294</v>
      </c>
      <c r="H17" s="6">
        <f t="shared" si="0"/>
        <v>30250</v>
      </c>
      <c r="I17" s="7">
        <f t="shared" si="1"/>
        <v>0.21409260124279869</v>
      </c>
      <c r="J17" s="1" t="str">
        <f t="shared" si="2"/>
        <v>Increase</v>
      </c>
    </row>
    <row r="18" spans="1:10" x14ac:dyDescent="0.25">
      <c r="A18" s="1" t="s">
        <v>117</v>
      </c>
      <c r="B18" s="1" t="s">
        <v>118</v>
      </c>
      <c r="C18" s="1" t="s">
        <v>1050</v>
      </c>
      <c r="D18" s="1" t="s">
        <v>1051</v>
      </c>
      <c r="E18" s="1" t="s">
        <v>1041</v>
      </c>
      <c r="F18" s="6">
        <v>166123</v>
      </c>
      <c r="G18" s="6">
        <v>171544</v>
      </c>
      <c r="H18" s="6">
        <f t="shared" si="0"/>
        <v>-5421</v>
      </c>
      <c r="I18" s="7">
        <f t="shared" si="1"/>
        <v>-3.1601221843958402E-2</v>
      </c>
      <c r="J18" s="1" t="str">
        <f t="shared" si="2"/>
        <v>Decrease</v>
      </c>
    </row>
    <row r="19" spans="1:10" x14ac:dyDescent="0.25">
      <c r="A19" s="1" t="s">
        <v>117</v>
      </c>
      <c r="B19" s="1" t="s">
        <v>118</v>
      </c>
      <c r="C19" s="1" t="s">
        <v>1050</v>
      </c>
      <c r="D19" s="1" t="s">
        <v>1051</v>
      </c>
      <c r="E19" s="1" t="s">
        <v>1042</v>
      </c>
      <c r="F19" s="6">
        <v>178005</v>
      </c>
      <c r="G19" s="6">
        <v>166123</v>
      </c>
      <c r="H19" s="6">
        <f t="shared" si="0"/>
        <v>11882</v>
      </c>
      <c r="I19" s="7">
        <f t="shared" si="1"/>
        <v>7.1525315579420073E-2</v>
      </c>
      <c r="J19" s="1" t="str">
        <f t="shared" si="2"/>
        <v>Increase</v>
      </c>
    </row>
    <row r="20" spans="1:10" x14ac:dyDescent="0.25">
      <c r="A20" s="1" t="s">
        <v>117</v>
      </c>
      <c r="B20" s="1" t="s">
        <v>118</v>
      </c>
      <c r="C20" s="1" t="s">
        <v>1052</v>
      </c>
      <c r="D20" s="1" t="s">
        <v>1039</v>
      </c>
      <c r="E20" s="1" t="s">
        <v>1040</v>
      </c>
      <c r="F20" s="6">
        <v>563950</v>
      </c>
      <c r="G20" s="6">
        <v>449449</v>
      </c>
      <c r="H20" s="6">
        <f t="shared" si="0"/>
        <v>114501</v>
      </c>
      <c r="I20" s="7">
        <f t="shared" si="1"/>
        <v>0.25475860442452869</v>
      </c>
      <c r="J20" s="1" t="str">
        <f t="shared" si="2"/>
        <v>Increase</v>
      </c>
    </row>
    <row r="21" spans="1:10" x14ac:dyDescent="0.25">
      <c r="A21" s="1" t="s">
        <v>117</v>
      </c>
      <c r="B21" s="1" t="s">
        <v>118</v>
      </c>
      <c r="C21" s="1" t="s">
        <v>1052</v>
      </c>
      <c r="D21" s="1" t="s">
        <v>1039</v>
      </c>
      <c r="E21" s="1" t="s">
        <v>1041</v>
      </c>
      <c r="F21" s="6">
        <v>970675</v>
      </c>
      <c r="G21" s="6">
        <v>563950</v>
      </c>
      <c r="H21" s="6">
        <f t="shared" si="0"/>
        <v>406725</v>
      </c>
      <c r="I21" s="7">
        <f t="shared" si="1"/>
        <v>0.72120755386115787</v>
      </c>
      <c r="J21" s="1" t="str">
        <f t="shared" si="2"/>
        <v>Increase</v>
      </c>
    </row>
    <row r="22" spans="1:10" x14ac:dyDescent="0.25">
      <c r="A22" s="1" t="s">
        <v>117</v>
      </c>
      <c r="B22" s="1" t="s">
        <v>118</v>
      </c>
      <c r="C22" s="1" t="s">
        <v>1052</v>
      </c>
      <c r="D22" s="1" t="s">
        <v>1039</v>
      </c>
      <c r="E22" s="1" t="s">
        <v>1042</v>
      </c>
      <c r="F22" s="6">
        <v>1652116</v>
      </c>
      <c r="G22" s="6">
        <v>970675</v>
      </c>
      <c r="H22" s="6">
        <f t="shared" si="0"/>
        <v>681441</v>
      </c>
      <c r="I22" s="7">
        <f t="shared" si="1"/>
        <v>0.702027970226904</v>
      </c>
      <c r="J22" s="1" t="str">
        <f t="shared" si="2"/>
        <v>Increase</v>
      </c>
    </row>
    <row r="23" spans="1:10" x14ac:dyDescent="0.25">
      <c r="A23" s="1" t="s">
        <v>117</v>
      </c>
      <c r="B23" s="1" t="s">
        <v>118</v>
      </c>
      <c r="C23" s="1" t="s">
        <v>1053</v>
      </c>
      <c r="D23" s="1" t="s">
        <v>1054</v>
      </c>
      <c r="E23" s="1" t="s">
        <v>1040</v>
      </c>
      <c r="F23" s="6">
        <v>190372</v>
      </c>
      <c r="G23" s="6">
        <v>173869</v>
      </c>
      <c r="H23" s="6">
        <f t="shared" si="0"/>
        <v>16503</v>
      </c>
      <c r="I23" s="7">
        <f t="shared" si="1"/>
        <v>9.4916287549821995E-2</v>
      </c>
      <c r="J23" s="1" t="str">
        <f t="shared" si="2"/>
        <v>Increase</v>
      </c>
    </row>
    <row r="24" spans="1:10" x14ac:dyDescent="0.25">
      <c r="A24" s="1" t="s">
        <v>117</v>
      </c>
      <c r="B24" s="1" t="s">
        <v>118</v>
      </c>
      <c r="C24" s="1" t="s">
        <v>1053</v>
      </c>
      <c r="D24" s="1" t="s">
        <v>1054</v>
      </c>
      <c r="E24" s="1" t="s">
        <v>1041</v>
      </c>
      <c r="F24" s="6">
        <v>181055</v>
      </c>
      <c r="G24" s="6">
        <v>190372</v>
      </c>
      <c r="H24" s="6">
        <f t="shared" si="0"/>
        <v>-9317</v>
      </c>
      <c r="I24" s="7">
        <f t="shared" si="1"/>
        <v>-4.8941020738343874E-2</v>
      </c>
      <c r="J24" s="1" t="str">
        <f t="shared" si="2"/>
        <v>Decrease</v>
      </c>
    </row>
    <row r="25" spans="1:10" x14ac:dyDescent="0.25">
      <c r="A25" s="1" t="s">
        <v>117</v>
      </c>
      <c r="B25" s="1" t="s">
        <v>118</v>
      </c>
      <c r="C25" s="1" t="s">
        <v>1053</v>
      </c>
      <c r="D25" s="1" t="s">
        <v>1054</v>
      </c>
      <c r="E25" s="1" t="s">
        <v>1042</v>
      </c>
      <c r="F25" s="6">
        <v>168361</v>
      </c>
      <c r="G25" s="6">
        <v>181055</v>
      </c>
      <c r="H25" s="6">
        <f t="shared" si="0"/>
        <v>-12694</v>
      </c>
      <c r="I25" s="7">
        <f t="shared" si="1"/>
        <v>-7.0111292148794566E-2</v>
      </c>
      <c r="J25" s="1" t="str">
        <f t="shared" si="2"/>
        <v>Decrease</v>
      </c>
    </row>
    <row r="26" spans="1:10" x14ac:dyDescent="0.25">
      <c r="A26" s="1" t="s">
        <v>117</v>
      </c>
      <c r="B26" s="1" t="s">
        <v>118</v>
      </c>
      <c r="C26" s="1" t="s">
        <v>1055</v>
      </c>
      <c r="D26" s="1" t="s">
        <v>1056</v>
      </c>
      <c r="E26" s="1" t="s">
        <v>1040</v>
      </c>
      <c r="F26" s="6">
        <v>400479</v>
      </c>
      <c r="G26" s="6">
        <v>310067</v>
      </c>
      <c r="H26" s="6">
        <f t="shared" si="0"/>
        <v>90412</v>
      </c>
      <c r="I26" s="7">
        <f t="shared" si="1"/>
        <v>0.29158859214298843</v>
      </c>
      <c r="J26" s="1" t="str">
        <f t="shared" si="2"/>
        <v>Increase</v>
      </c>
    </row>
    <row r="27" spans="1:10" x14ac:dyDescent="0.25">
      <c r="A27" s="1" t="s">
        <v>117</v>
      </c>
      <c r="B27" s="1" t="s">
        <v>118</v>
      </c>
      <c r="C27" s="1" t="s">
        <v>1055</v>
      </c>
      <c r="D27" s="1" t="s">
        <v>1056</v>
      </c>
      <c r="E27" s="1" t="s">
        <v>1041</v>
      </c>
      <c r="F27" s="6">
        <v>472222</v>
      </c>
      <c r="G27" s="6">
        <v>400479</v>
      </c>
      <c r="H27" s="6">
        <f t="shared" si="0"/>
        <v>71743</v>
      </c>
      <c r="I27" s="7">
        <f t="shared" si="1"/>
        <v>0.17914297628589765</v>
      </c>
      <c r="J27" s="1" t="str">
        <f t="shared" si="2"/>
        <v>Increase</v>
      </c>
    </row>
    <row r="28" spans="1:10" x14ac:dyDescent="0.25">
      <c r="A28" s="1" t="s">
        <v>117</v>
      </c>
      <c r="B28" s="1" t="s">
        <v>118</v>
      </c>
      <c r="C28" s="1" t="s">
        <v>1055</v>
      </c>
      <c r="D28" s="1" t="s">
        <v>1056</v>
      </c>
      <c r="E28" s="1" t="s">
        <v>1042</v>
      </c>
      <c r="F28" s="6">
        <v>579615</v>
      </c>
      <c r="G28" s="6">
        <v>472222</v>
      </c>
      <c r="H28" s="6">
        <f t="shared" si="0"/>
        <v>107393</v>
      </c>
      <c r="I28" s="7">
        <f t="shared" si="1"/>
        <v>0.22742057760968359</v>
      </c>
      <c r="J28" s="1" t="str">
        <f t="shared" si="2"/>
        <v>Increase</v>
      </c>
    </row>
    <row r="29" spans="1:10" x14ac:dyDescent="0.25">
      <c r="A29" s="1" t="s">
        <v>117</v>
      </c>
      <c r="B29" s="1" t="s">
        <v>118</v>
      </c>
      <c r="C29" s="1" t="s">
        <v>1057</v>
      </c>
      <c r="D29" s="1" t="s">
        <v>1048</v>
      </c>
      <c r="E29" s="1" t="s">
        <v>1040</v>
      </c>
      <c r="F29" s="6">
        <v>126078</v>
      </c>
      <c r="G29" s="6">
        <v>109799</v>
      </c>
      <c r="H29" s="6">
        <f t="shared" si="0"/>
        <v>16279</v>
      </c>
      <c r="I29" s="7">
        <f t="shared" si="1"/>
        <v>0.14826182387817741</v>
      </c>
      <c r="J29" s="1" t="str">
        <f t="shared" si="2"/>
        <v>Increase</v>
      </c>
    </row>
    <row r="30" spans="1:10" x14ac:dyDescent="0.25">
      <c r="A30" s="1" t="s">
        <v>117</v>
      </c>
      <c r="B30" s="1" t="s">
        <v>118</v>
      </c>
      <c r="C30" s="1" t="s">
        <v>1057</v>
      </c>
      <c r="D30" s="1" t="s">
        <v>1048</v>
      </c>
      <c r="E30" s="1" t="s">
        <v>1041</v>
      </c>
      <c r="F30" s="6">
        <v>109323</v>
      </c>
      <c r="G30" s="6">
        <v>126078</v>
      </c>
      <c r="H30" s="6">
        <f t="shared" si="0"/>
        <v>-16755</v>
      </c>
      <c r="I30" s="7">
        <f t="shared" si="1"/>
        <v>-0.13289392280968923</v>
      </c>
      <c r="J30" s="1" t="str">
        <f t="shared" si="2"/>
        <v>Decrease</v>
      </c>
    </row>
    <row r="31" spans="1:10" x14ac:dyDescent="0.25">
      <c r="A31" s="1" t="s">
        <v>117</v>
      </c>
      <c r="B31" s="1" t="s">
        <v>118</v>
      </c>
      <c r="C31" s="1" t="s">
        <v>1057</v>
      </c>
      <c r="D31" s="1" t="s">
        <v>1048</v>
      </c>
      <c r="E31" s="1" t="s">
        <v>1042</v>
      </c>
      <c r="F31" s="6">
        <v>78666</v>
      </c>
      <c r="G31" s="6">
        <v>109323</v>
      </c>
      <c r="H31" s="6">
        <f t="shared" si="0"/>
        <v>-30657</v>
      </c>
      <c r="I31" s="7">
        <f t="shared" si="1"/>
        <v>-0.28042589391070499</v>
      </c>
      <c r="J31" s="1" t="str">
        <f t="shared" si="2"/>
        <v>Decrease</v>
      </c>
    </row>
    <row r="32" spans="1:10" x14ac:dyDescent="0.25">
      <c r="A32" s="1" t="s">
        <v>117</v>
      </c>
      <c r="B32" s="1" t="s">
        <v>118</v>
      </c>
      <c r="C32" s="1" t="s">
        <v>1058</v>
      </c>
      <c r="D32" s="1" t="s">
        <v>1039</v>
      </c>
      <c r="E32" s="1" t="s">
        <v>1040</v>
      </c>
      <c r="F32" s="6">
        <v>99733</v>
      </c>
      <c r="G32" s="6">
        <v>78665</v>
      </c>
      <c r="H32" s="6">
        <f t="shared" si="0"/>
        <v>21068</v>
      </c>
      <c r="I32" s="7">
        <f t="shared" si="1"/>
        <v>0.26781923345833597</v>
      </c>
      <c r="J32" s="1" t="str">
        <f t="shared" si="2"/>
        <v>Increase</v>
      </c>
    </row>
    <row r="33" spans="1:10" x14ac:dyDescent="0.25">
      <c r="A33" s="1" t="s">
        <v>117</v>
      </c>
      <c r="B33" s="1" t="s">
        <v>118</v>
      </c>
      <c r="C33" s="1" t="s">
        <v>1058</v>
      </c>
      <c r="D33" s="1" t="s">
        <v>1039</v>
      </c>
      <c r="E33" s="1" t="s">
        <v>1041</v>
      </c>
      <c r="F33" s="6">
        <v>101980</v>
      </c>
      <c r="G33" s="6">
        <v>99733</v>
      </c>
      <c r="H33" s="6">
        <f t="shared" si="0"/>
        <v>2247</v>
      </c>
      <c r="I33" s="7">
        <f t="shared" si="1"/>
        <v>2.2530155515225653E-2</v>
      </c>
      <c r="J33" s="1" t="str">
        <f t="shared" si="2"/>
        <v>Increase</v>
      </c>
    </row>
    <row r="34" spans="1:10" x14ac:dyDescent="0.25">
      <c r="A34" s="1" t="s">
        <v>117</v>
      </c>
      <c r="B34" s="1" t="s">
        <v>118</v>
      </c>
      <c r="C34" s="1" t="s">
        <v>1058</v>
      </c>
      <c r="D34" s="1" t="s">
        <v>1039</v>
      </c>
      <c r="E34" s="1" t="s">
        <v>1042</v>
      </c>
      <c r="F34" s="6">
        <v>113137</v>
      </c>
      <c r="G34" s="6">
        <v>101980</v>
      </c>
      <c r="H34" s="6">
        <f t="shared" si="0"/>
        <v>11157</v>
      </c>
      <c r="I34" s="7">
        <f t="shared" si="1"/>
        <v>0.10940380466758187</v>
      </c>
      <c r="J34" s="1" t="str">
        <f t="shared" si="2"/>
        <v>Increase</v>
      </c>
    </row>
    <row r="35" spans="1:10" x14ac:dyDescent="0.25">
      <c r="A35" s="1" t="s">
        <v>117</v>
      </c>
      <c r="B35" s="1" t="s">
        <v>118</v>
      </c>
      <c r="C35" s="1" t="s">
        <v>1059</v>
      </c>
      <c r="D35" s="1" t="s">
        <v>1039</v>
      </c>
      <c r="E35" s="1" t="s">
        <v>1040</v>
      </c>
      <c r="F35" s="6">
        <v>206353</v>
      </c>
      <c r="G35" s="6">
        <v>173982</v>
      </c>
      <c r="H35" s="6">
        <f t="shared" si="0"/>
        <v>32371</v>
      </c>
      <c r="I35" s="7">
        <f t="shared" si="1"/>
        <v>0.18605947741720408</v>
      </c>
      <c r="J35" s="1" t="str">
        <f t="shared" si="2"/>
        <v>Increase</v>
      </c>
    </row>
    <row r="36" spans="1:10" x14ac:dyDescent="0.25">
      <c r="A36" s="1" t="s">
        <v>117</v>
      </c>
      <c r="B36" s="1" t="s">
        <v>118</v>
      </c>
      <c r="C36" s="1" t="s">
        <v>1059</v>
      </c>
      <c r="D36" s="1" t="s">
        <v>1039</v>
      </c>
      <c r="E36" s="1" t="s">
        <v>1041</v>
      </c>
      <c r="F36" s="6">
        <v>141933</v>
      </c>
      <c r="G36" s="6">
        <v>206353</v>
      </c>
      <c r="H36" s="6">
        <f t="shared" si="0"/>
        <v>-64420</v>
      </c>
      <c r="I36" s="7">
        <f t="shared" si="1"/>
        <v>-0.31218349139581203</v>
      </c>
      <c r="J36" s="1" t="str">
        <f t="shared" si="2"/>
        <v>Decrease</v>
      </c>
    </row>
    <row r="37" spans="1:10" x14ac:dyDescent="0.25">
      <c r="A37" s="1" t="s">
        <v>117</v>
      </c>
      <c r="B37" s="1" t="s">
        <v>118</v>
      </c>
      <c r="C37" s="1" t="s">
        <v>1059</v>
      </c>
      <c r="D37" s="1" t="s">
        <v>1039</v>
      </c>
      <c r="E37" s="1" t="s">
        <v>1042</v>
      </c>
      <c r="F37" s="6">
        <v>105565</v>
      </c>
      <c r="G37" s="6">
        <v>141933</v>
      </c>
      <c r="H37" s="6">
        <f t="shared" si="0"/>
        <v>-36368</v>
      </c>
      <c r="I37" s="7">
        <f t="shared" si="1"/>
        <v>-0.25623357499665333</v>
      </c>
      <c r="J37" s="1" t="str">
        <f t="shared" si="2"/>
        <v>Decrease</v>
      </c>
    </row>
    <row r="38" spans="1:10" x14ac:dyDescent="0.25">
      <c r="A38" s="1" t="s">
        <v>117</v>
      </c>
      <c r="B38" s="1" t="s">
        <v>118</v>
      </c>
      <c r="C38" s="1" t="s">
        <v>1060</v>
      </c>
      <c r="D38" s="1" t="s">
        <v>1056</v>
      </c>
      <c r="E38" s="1" t="s">
        <v>1040</v>
      </c>
      <c r="F38" s="6">
        <v>163820</v>
      </c>
      <c r="G38" s="6">
        <v>158893</v>
      </c>
      <c r="H38" s="6">
        <f t="shared" si="0"/>
        <v>4927</v>
      </c>
      <c r="I38" s="7">
        <f t="shared" si="1"/>
        <v>3.1008288596728616E-2</v>
      </c>
      <c r="J38" s="1" t="str">
        <f t="shared" si="2"/>
        <v>Increase</v>
      </c>
    </row>
    <row r="39" spans="1:10" x14ac:dyDescent="0.25">
      <c r="A39" s="1" t="s">
        <v>117</v>
      </c>
      <c r="B39" s="1" t="s">
        <v>118</v>
      </c>
      <c r="C39" s="1" t="s">
        <v>1060</v>
      </c>
      <c r="D39" s="1" t="s">
        <v>1056</v>
      </c>
      <c r="E39" s="1" t="s">
        <v>1041</v>
      </c>
      <c r="F39" s="6">
        <v>174260</v>
      </c>
      <c r="G39" s="6">
        <v>163820</v>
      </c>
      <c r="H39" s="6">
        <f t="shared" si="0"/>
        <v>10440</v>
      </c>
      <c r="I39" s="7">
        <f t="shared" si="1"/>
        <v>6.3728482480771578E-2</v>
      </c>
      <c r="J39" s="1" t="str">
        <f t="shared" si="2"/>
        <v>Increase</v>
      </c>
    </row>
    <row r="40" spans="1:10" x14ac:dyDescent="0.25">
      <c r="A40" s="1" t="s">
        <v>117</v>
      </c>
      <c r="B40" s="1" t="s">
        <v>118</v>
      </c>
      <c r="C40" s="1" t="s">
        <v>1060</v>
      </c>
      <c r="D40" s="1" t="s">
        <v>1056</v>
      </c>
      <c r="E40" s="1" t="s">
        <v>1042</v>
      </c>
      <c r="F40" s="6">
        <v>206911</v>
      </c>
      <c r="G40" s="6">
        <v>174260</v>
      </c>
      <c r="H40" s="6">
        <f t="shared" si="0"/>
        <v>32651</v>
      </c>
      <c r="I40" s="7">
        <f t="shared" si="1"/>
        <v>0.18736944795133709</v>
      </c>
      <c r="J40" s="1" t="str">
        <f t="shared" si="2"/>
        <v>Increase</v>
      </c>
    </row>
    <row r="41" spans="1:10" x14ac:dyDescent="0.25">
      <c r="A41" s="1" t="s">
        <v>117</v>
      </c>
      <c r="B41" s="1" t="s">
        <v>118</v>
      </c>
      <c r="C41" s="1" t="s">
        <v>1061</v>
      </c>
      <c r="D41" s="1" t="s">
        <v>1062</v>
      </c>
      <c r="E41" s="1" t="s">
        <v>1040</v>
      </c>
      <c r="F41" s="6">
        <v>46990</v>
      </c>
      <c r="G41" s="6">
        <v>36997</v>
      </c>
      <c r="H41" s="6">
        <f t="shared" si="0"/>
        <v>9993</v>
      </c>
      <c r="I41" s="7">
        <f t="shared" si="1"/>
        <v>0.27010298132280997</v>
      </c>
      <c r="J41" s="1" t="str">
        <f t="shared" si="2"/>
        <v>Increase</v>
      </c>
    </row>
    <row r="42" spans="1:10" x14ac:dyDescent="0.25">
      <c r="A42" s="1" t="s">
        <v>117</v>
      </c>
      <c r="B42" s="1" t="s">
        <v>118</v>
      </c>
      <c r="C42" s="1" t="s">
        <v>1061</v>
      </c>
      <c r="D42" s="1" t="s">
        <v>1062</v>
      </c>
      <c r="E42" s="1" t="s">
        <v>1041</v>
      </c>
      <c r="F42" s="6">
        <v>136517</v>
      </c>
      <c r="G42" s="6">
        <v>46990</v>
      </c>
      <c r="H42" s="6">
        <f t="shared" si="0"/>
        <v>89527</v>
      </c>
      <c r="I42" s="7">
        <f t="shared" si="1"/>
        <v>1.9052351564162588</v>
      </c>
      <c r="J42" s="1" t="str">
        <f t="shared" si="2"/>
        <v>Increase</v>
      </c>
    </row>
    <row r="43" spans="1:10" x14ac:dyDescent="0.25">
      <c r="A43" s="1" t="s">
        <v>117</v>
      </c>
      <c r="B43" s="1" t="s">
        <v>118</v>
      </c>
      <c r="C43" s="1" t="s">
        <v>1061</v>
      </c>
      <c r="D43" s="1" t="s">
        <v>1062</v>
      </c>
      <c r="E43" s="1" t="s">
        <v>1042</v>
      </c>
      <c r="F43" s="6">
        <v>398769</v>
      </c>
      <c r="G43" s="6">
        <v>136517</v>
      </c>
      <c r="H43" s="6">
        <f t="shared" si="0"/>
        <v>262252</v>
      </c>
      <c r="I43" s="7">
        <f t="shared" si="1"/>
        <v>1.9210208252452075</v>
      </c>
      <c r="J43" s="1" t="str">
        <f t="shared" si="2"/>
        <v>Increase</v>
      </c>
    </row>
    <row r="44" spans="1:10" x14ac:dyDescent="0.25">
      <c r="A44" s="1" t="s">
        <v>122</v>
      </c>
      <c r="B44" s="1" t="s">
        <v>123</v>
      </c>
      <c r="C44" s="1" t="s">
        <v>1038</v>
      </c>
      <c r="D44" s="1" t="s">
        <v>1039</v>
      </c>
      <c r="E44" s="1" t="s">
        <v>1040</v>
      </c>
      <c r="F44" s="6">
        <v>752431</v>
      </c>
      <c r="G44" s="6">
        <v>672354</v>
      </c>
      <c r="H44" s="6">
        <f t="shared" si="0"/>
        <v>80077</v>
      </c>
      <c r="I44" s="7">
        <f t="shared" si="1"/>
        <v>0.11909946248553589</v>
      </c>
      <c r="J44" s="1" t="str">
        <f t="shared" si="2"/>
        <v>Increase</v>
      </c>
    </row>
    <row r="45" spans="1:10" x14ac:dyDescent="0.25">
      <c r="A45" s="1" t="s">
        <v>122</v>
      </c>
      <c r="B45" s="1" t="s">
        <v>123</v>
      </c>
      <c r="C45" s="1" t="s">
        <v>1038</v>
      </c>
      <c r="D45" s="1" t="s">
        <v>1039</v>
      </c>
      <c r="E45" s="1" t="s">
        <v>1041</v>
      </c>
      <c r="F45" s="6">
        <v>848750</v>
      </c>
      <c r="G45" s="6">
        <v>752431</v>
      </c>
      <c r="H45" s="6">
        <f t="shared" si="0"/>
        <v>96319</v>
      </c>
      <c r="I45" s="7">
        <f t="shared" si="1"/>
        <v>0.12801040892786184</v>
      </c>
      <c r="J45" s="1" t="str">
        <f t="shared" si="2"/>
        <v>Increase</v>
      </c>
    </row>
    <row r="46" spans="1:10" x14ac:dyDescent="0.25">
      <c r="A46" s="1" t="s">
        <v>122</v>
      </c>
      <c r="B46" s="1" t="s">
        <v>123</v>
      </c>
      <c r="C46" s="1" t="s">
        <v>1038</v>
      </c>
      <c r="D46" s="1" t="s">
        <v>1039</v>
      </c>
      <c r="E46" s="1" t="s">
        <v>1042</v>
      </c>
      <c r="F46" s="6">
        <v>756910</v>
      </c>
      <c r="G46" s="6">
        <v>848750</v>
      </c>
      <c r="H46" s="6">
        <f t="shared" si="0"/>
        <v>-91840</v>
      </c>
      <c r="I46" s="7">
        <f t="shared" si="1"/>
        <v>-0.10820618556701031</v>
      </c>
      <c r="J46" s="1" t="str">
        <f t="shared" si="2"/>
        <v>Decrease</v>
      </c>
    </row>
    <row r="47" spans="1:10" x14ac:dyDescent="0.25">
      <c r="A47" s="1" t="s">
        <v>122</v>
      </c>
      <c r="B47" s="1" t="s">
        <v>123</v>
      </c>
      <c r="C47" s="1" t="s">
        <v>1043</v>
      </c>
      <c r="D47" s="1" t="s">
        <v>1044</v>
      </c>
      <c r="E47" s="1" t="s">
        <v>1040</v>
      </c>
      <c r="F47" s="6">
        <v>409784</v>
      </c>
      <c r="G47" s="6">
        <v>365375</v>
      </c>
      <c r="H47" s="6">
        <f t="shared" si="0"/>
        <v>44409</v>
      </c>
      <c r="I47" s="7">
        <f t="shared" si="1"/>
        <v>0.12154361956893603</v>
      </c>
      <c r="J47" s="1" t="str">
        <f t="shared" si="2"/>
        <v>Increase</v>
      </c>
    </row>
    <row r="48" spans="1:10" x14ac:dyDescent="0.25">
      <c r="A48" s="1" t="s">
        <v>122</v>
      </c>
      <c r="B48" s="1" t="s">
        <v>123</v>
      </c>
      <c r="C48" s="1" t="s">
        <v>1043</v>
      </c>
      <c r="D48" s="1" t="s">
        <v>1044</v>
      </c>
      <c r="E48" s="1" t="s">
        <v>1041</v>
      </c>
      <c r="F48" s="6">
        <v>479265</v>
      </c>
      <c r="G48" s="6">
        <v>409784</v>
      </c>
      <c r="H48" s="6">
        <f t="shared" si="0"/>
        <v>69481</v>
      </c>
      <c r="I48" s="7">
        <f t="shared" si="1"/>
        <v>0.16955518029010405</v>
      </c>
      <c r="J48" s="1" t="str">
        <f t="shared" si="2"/>
        <v>Increase</v>
      </c>
    </row>
    <row r="49" spans="1:10" x14ac:dyDescent="0.25">
      <c r="A49" s="1" t="s">
        <v>122</v>
      </c>
      <c r="B49" s="1" t="s">
        <v>123</v>
      </c>
      <c r="C49" s="1" t="s">
        <v>1043</v>
      </c>
      <c r="D49" s="1" t="s">
        <v>1044</v>
      </c>
      <c r="E49" s="1" t="s">
        <v>1042</v>
      </c>
      <c r="F49" s="6">
        <v>509521</v>
      </c>
      <c r="G49" s="6">
        <v>479265</v>
      </c>
      <c r="H49" s="6">
        <f t="shared" si="0"/>
        <v>30256</v>
      </c>
      <c r="I49" s="7">
        <f t="shared" si="1"/>
        <v>6.3130001147590584E-2</v>
      </c>
      <c r="J49" s="1" t="str">
        <f t="shared" si="2"/>
        <v>Increase</v>
      </c>
    </row>
    <row r="50" spans="1:10" x14ac:dyDescent="0.25">
      <c r="A50" s="1" t="s">
        <v>122</v>
      </c>
      <c r="B50" s="1" t="s">
        <v>123</v>
      </c>
      <c r="C50" s="1" t="s">
        <v>1045</v>
      </c>
      <c r="D50" s="1" t="s">
        <v>1046</v>
      </c>
      <c r="E50" s="1" t="s">
        <v>1040</v>
      </c>
      <c r="F50" s="6">
        <v>104174</v>
      </c>
      <c r="G50" s="6">
        <v>87296</v>
      </c>
      <c r="H50" s="6">
        <f t="shared" si="0"/>
        <v>16878</v>
      </c>
      <c r="I50" s="7">
        <f t="shared" si="1"/>
        <v>0.19334219208211142</v>
      </c>
      <c r="J50" s="1" t="str">
        <f t="shared" si="2"/>
        <v>Increase</v>
      </c>
    </row>
    <row r="51" spans="1:10" x14ac:dyDescent="0.25">
      <c r="A51" s="1" t="s">
        <v>122</v>
      </c>
      <c r="B51" s="1" t="s">
        <v>123</v>
      </c>
      <c r="C51" s="1" t="s">
        <v>1045</v>
      </c>
      <c r="D51" s="1" t="s">
        <v>1046</v>
      </c>
      <c r="E51" s="1" t="s">
        <v>1041</v>
      </c>
      <c r="F51" s="6">
        <v>127556</v>
      </c>
      <c r="G51" s="6">
        <v>104174</v>
      </c>
      <c r="H51" s="6">
        <f t="shared" si="0"/>
        <v>23382</v>
      </c>
      <c r="I51" s="7">
        <f t="shared" si="1"/>
        <v>0.22445139862153704</v>
      </c>
      <c r="J51" s="1" t="str">
        <f t="shared" si="2"/>
        <v>Increase</v>
      </c>
    </row>
    <row r="52" spans="1:10" x14ac:dyDescent="0.25">
      <c r="A52" s="1" t="s">
        <v>122</v>
      </c>
      <c r="B52" s="1" t="s">
        <v>123</v>
      </c>
      <c r="C52" s="1" t="s">
        <v>1045</v>
      </c>
      <c r="D52" s="1" t="s">
        <v>1046</v>
      </c>
      <c r="E52" s="1" t="s">
        <v>1042</v>
      </c>
      <c r="F52" s="6">
        <v>153670</v>
      </c>
      <c r="G52" s="6">
        <v>127556</v>
      </c>
      <c r="H52" s="6">
        <f t="shared" si="0"/>
        <v>26114</v>
      </c>
      <c r="I52" s="7">
        <f t="shared" si="1"/>
        <v>0.20472576750603658</v>
      </c>
      <c r="J52" s="1" t="str">
        <f t="shared" si="2"/>
        <v>Increase</v>
      </c>
    </row>
    <row r="53" spans="1:10" x14ac:dyDescent="0.25">
      <c r="A53" s="1" t="s">
        <v>122</v>
      </c>
      <c r="B53" s="1" t="s">
        <v>123</v>
      </c>
      <c r="C53" s="1" t="s">
        <v>1047</v>
      </c>
      <c r="D53" s="1" t="s">
        <v>1048</v>
      </c>
      <c r="E53" s="1" t="s">
        <v>1040</v>
      </c>
      <c r="F53" s="6">
        <v>146392</v>
      </c>
      <c r="G53" s="6">
        <v>127824</v>
      </c>
      <c r="H53" s="6">
        <f t="shared" si="0"/>
        <v>18568</v>
      </c>
      <c r="I53" s="7">
        <f t="shared" si="1"/>
        <v>0.14526223557391413</v>
      </c>
      <c r="J53" s="1" t="str">
        <f t="shared" si="2"/>
        <v>Increase</v>
      </c>
    </row>
    <row r="54" spans="1:10" x14ac:dyDescent="0.25">
      <c r="A54" s="1" t="s">
        <v>122</v>
      </c>
      <c r="B54" s="1" t="s">
        <v>123</v>
      </c>
      <c r="C54" s="1" t="s">
        <v>1047</v>
      </c>
      <c r="D54" s="1" t="s">
        <v>1048</v>
      </c>
      <c r="E54" s="1" t="s">
        <v>1041</v>
      </c>
      <c r="F54" s="6">
        <v>180837</v>
      </c>
      <c r="G54" s="6">
        <v>146392</v>
      </c>
      <c r="H54" s="6">
        <f t="shared" si="0"/>
        <v>34445</v>
      </c>
      <c r="I54" s="7">
        <f t="shared" si="1"/>
        <v>0.23529291218099349</v>
      </c>
      <c r="J54" s="1" t="str">
        <f t="shared" si="2"/>
        <v>Increase</v>
      </c>
    </row>
    <row r="55" spans="1:10" x14ac:dyDescent="0.25">
      <c r="A55" s="1" t="s">
        <v>122</v>
      </c>
      <c r="B55" s="1" t="s">
        <v>123</v>
      </c>
      <c r="C55" s="1" t="s">
        <v>1047</v>
      </c>
      <c r="D55" s="1" t="s">
        <v>1048</v>
      </c>
      <c r="E55" s="1" t="s">
        <v>1042</v>
      </c>
      <c r="F55" s="6">
        <v>229926</v>
      </c>
      <c r="G55" s="6">
        <v>180837</v>
      </c>
      <c r="H55" s="6">
        <f t="shared" si="0"/>
        <v>49089</v>
      </c>
      <c r="I55" s="7">
        <f t="shared" si="1"/>
        <v>0.27145440368951046</v>
      </c>
      <c r="J55" s="1" t="str">
        <f t="shared" si="2"/>
        <v>Increase</v>
      </c>
    </row>
    <row r="56" spans="1:10" x14ac:dyDescent="0.25">
      <c r="A56" s="1" t="s">
        <v>122</v>
      </c>
      <c r="B56" s="1" t="s">
        <v>123</v>
      </c>
      <c r="C56" s="1" t="s">
        <v>1049</v>
      </c>
      <c r="D56" s="1" t="s">
        <v>1048</v>
      </c>
      <c r="E56" s="1" t="s">
        <v>1040</v>
      </c>
      <c r="F56" s="6">
        <v>151106</v>
      </c>
      <c r="G56" s="6">
        <v>116980</v>
      </c>
      <c r="H56" s="6">
        <f t="shared" si="0"/>
        <v>34126</v>
      </c>
      <c r="I56" s="7">
        <f t="shared" si="1"/>
        <v>0.29172508121046331</v>
      </c>
      <c r="J56" s="1" t="str">
        <f t="shared" si="2"/>
        <v>Increase</v>
      </c>
    </row>
    <row r="57" spans="1:10" x14ac:dyDescent="0.25">
      <c r="A57" s="1" t="s">
        <v>122</v>
      </c>
      <c r="B57" s="1" t="s">
        <v>123</v>
      </c>
      <c r="C57" s="1" t="s">
        <v>1049</v>
      </c>
      <c r="D57" s="1" t="s">
        <v>1048</v>
      </c>
      <c r="E57" s="1" t="s">
        <v>1041</v>
      </c>
      <c r="F57" s="6">
        <v>164569</v>
      </c>
      <c r="G57" s="6">
        <v>151106</v>
      </c>
      <c r="H57" s="6">
        <f t="shared" si="0"/>
        <v>13463</v>
      </c>
      <c r="I57" s="7">
        <f t="shared" si="1"/>
        <v>8.9096395907508633E-2</v>
      </c>
      <c r="J57" s="1" t="str">
        <f t="shared" si="2"/>
        <v>Increase</v>
      </c>
    </row>
    <row r="58" spans="1:10" x14ac:dyDescent="0.25">
      <c r="A58" s="1" t="s">
        <v>122</v>
      </c>
      <c r="B58" s="1" t="s">
        <v>123</v>
      </c>
      <c r="C58" s="1" t="s">
        <v>1049</v>
      </c>
      <c r="D58" s="1" t="s">
        <v>1048</v>
      </c>
      <c r="E58" s="1" t="s">
        <v>1042</v>
      </c>
      <c r="F58" s="6">
        <v>158244</v>
      </c>
      <c r="G58" s="6">
        <v>164569</v>
      </c>
      <c r="H58" s="6">
        <f t="shared" si="0"/>
        <v>-6325</v>
      </c>
      <c r="I58" s="7">
        <f t="shared" si="1"/>
        <v>-3.8433726886594681E-2</v>
      </c>
      <c r="J58" s="1" t="str">
        <f t="shared" si="2"/>
        <v>Decrease</v>
      </c>
    </row>
    <row r="59" spans="1:10" x14ac:dyDescent="0.25">
      <c r="A59" s="1" t="s">
        <v>122</v>
      </c>
      <c r="B59" s="1" t="s">
        <v>123</v>
      </c>
      <c r="C59" s="1" t="s">
        <v>1057</v>
      </c>
      <c r="D59" s="1" t="s">
        <v>1048</v>
      </c>
      <c r="E59" s="1" t="s">
        <v>1040</v>
      </c>
      <c r="F59" s="6">
        <v>63338</v>
      </c>
      <c r="G59" s="6">
        <v>52836</v>
      </c>
      <c r="H59" s="6">
        <f t="shared" si="0"/>
        <v>10502</v>
      </c>
      <c r="I59" s="7">
        <f t="shared" si="1"/>
        <v>0.19876599288363994</v>
      </c>
      <c r="J59" s="1" t="str">
        <f t="shared" si="2"/>
        <v>Increase</v>
      </c>
    </row>
    <row r="60" spans="1:10" x14ac:dyDescent="0.25">
      <c r="A60" s="1" t="s">
        <v>122</v>
      </c>
      <c r="B60" s="1" t="s">
        <v>123</v>
      </c>
      <c r="C60" s="1" t="s">
        <v>1057</v>
      </c>
      <c r="D60" s="1" t="s">
        <v>1048</v>
      </c>
      <c r="E60" s="1" t="s">
        <v>1041</v>
      </c>
      <c r="F60" s="6">
        <v>57783</v>
      </c>
      <c r="G60" s="6">
        <v>63338</v>
      </c>
      <c r="H60" s="6">
        <f t="shared" si="0"/>
        <v>-5555</v>
      </c>
      <c r="I60" s="7">
        <f t="shared" si="1"/>
        <v>-8.7704063911080238E-2</v>
      </c>
      <c r="J60" s="1" t="str">
        <f t="shared" si="2"/>
        <v>Decrease</v>
      </c>
    </row>
    <row r="61" spans="1:10" x14ac:dyDescent="0.25">
      <c r="A61" s="1" t="s">
        <v>122</v>
      </c>
      <c r="B61" s="1" t="s">
        <v>123</v>
      </c>
      <c r="C61" s="1" t="s">
        <v>1057</v>
      </c>
      <c r="D61" s="1" t="s">
        <v>1048</v>
      </c>
      <c r="E61" s="1" t="s">
        <v>1042</v>
      </c>
      <c r="F61" s="6">
        <v>43497</v>
      </c>
      <c r="G61" s="6">
        <v>57783</v>
      </c>
      <c r="H61" s="6">
        <f t="shared" si="0"/>
        <v>-14286</v>
      </c>
      <c r="I61" s="7">
        <f t="shared" si="1"/>
        <v>-0.24723534603603137</v>
      </c>
      <c r="J61" s="1" t="str">
        <f t="shared" si="2"/>
        <v>Decrease</v>
      </c>
    </row>
    <row r="62" spans="1:10" x14ac:dyDescent="0.25">
      <c r="A62" s="1" t="s">
        <v>122</v>
      </c>
      <c r="B62" s="1" t="s">
        <v>123</v>
      </c>
      <c r="C62" s="1" t="s">
        <v>1053</v>
      </c>
      <c r="D62" s="1" t="s">
        <v>1054</v>
      </c>
      <c r="E62" s="1" t="s">
        <v>1040</v>
      </c>
      <c r="F62" s="6">
        <v>121386</v>
      </c>
      <c r="G62" s="6">
        <v>93894</v>
      </c>
      <c r="H62" s="6">
        <f t="shared" si="0"/>
        <v>27492</v>
      </c>
      <c r="I62" s="7">
        <f t="shared" si="1"/>
        <v>0.29279826186976804</v>
      </c>
      <c r="J62" s="1" t="str">
        <f t="shared" si="2"/>
        <v>Increase</v>
      </c>
    </row>
    <row r="63" spans="1:10" x14ac:dyDescent="0.25">
      <c r="A63" s="1" t="s">
        <v>122</v>
      </c>
      <c r="B63" s="1" t="s">
        <v>123</v>
      </c>
      <c r="C63" s="1" t="s">
        <v>1053</v>
      </c>
      <c r="D63" s="1" t="s">
        <v>1054</v>
      </c>
      <c r="E63" s="1" t="s">
        <v>1041</v>
      </c>
      <c r="F63" s="6">
        <v>143677</v>
      </c>
      <c r="G63" s="6">
        <v>121386</v>
      </c>
      <c r="H63" s="6">
        <f t="shared" si="0"/>
        <v>22291</v>
      </c>
      <c r="I63" s="7">
        <f t="shared" si="1"/>
        <v>0.18363732226121629</v>
      </c>
      <c r="J63" s="1" t="str">
        <f t="shared" si="2"/>
        <v>Increase</v>
      </c>
    </row>
    <row r="64" spans="1:10" x14ac:dyDescent="0.25">
      <c r="A64" s="1" t="s">
        <v>122</v>
      </c>
      <c r="B64" s="1" t="s">
        <v>123</v>
      </c>
      <c r="C64" s="1" t="s">
        <v>1053</v>
      </c>
      <c r="D64" s="1" t="s">
        <v>1054</v>
      </c>
      <c r="E64" s="1" t="s">
        <v>1042</v>
      </c>
      <c r="F64" s="6">
        <v>167929</v>
      </c>
      <c r="G64" s="6">
        <v>143677</v>
      </c>
      <c r="H64" s="6">
        <f t="shared" si="0"/>
        <v>24252</v>
      </c>
      <c r="I64" s="7">
        <f t="shared" si="1"/>
        <v>0.16879528386589362</v>
      </c>
      <c r="J64" s="1" t="str">
        <f t="shared" si="2"/>
        <v>Increase</v>
      </c>
    </row>
    <row r="65" spans="1:10" x14ac:dyDescent="0.25">
      <c r="A65" s="1" t="s">
        <v>122</v>
      </c>
      <c r="B65" s="1" t="s">
        <v>123</v>
      </c>
      <c r="C65" s="1" t="s">
        <v>1052</v>
      </c>
      <c r="D65" s="1" t="s">
        <v>1039</v>
      </c>
      <c r="E65" s="1" t="s">
        <v>1040</v>
      </c>
      <c r="F65" s="6">
        <v>186930</v>
      </c>
      <c r="G65" s="6">
        <v>165382</v>
      </c>
      <c r="H65" s="6">
        <f t="shared" si="0"/>
        <v>21548</v>
      </c>
      <c r="I65" s="7">
        <f t="shared" si="1"/>
        <v>0.13029229299440084</v>
      </c>
      <c r="J65" s="1" t="str">
        <f t="shared" si="2"/>
        <v>Increase</v>
      </c>
    </row>
    <row r="66" spans="1:10" x14ac:dyDescent="0.25">
      <c r="A66" s="1" t="s">
        <v>122</v>
      </c>
      <c r="B66" s="1" t="s">
        <v>123</v>
      </c>
      <c r="C66" s="1" t="s">
        <v>1052</v>
      </c>
      <c r="D66" s="1" t="s">
        <v>1039</v>
      </c>
      <c r="E66" s="1" t="s">
        <v>1041</v>
      </c>
      <c r="F66" s="6">
        <v>288378</v>
      </c>
      <c r="G66" s="6">
        <v>186930</v>
      </c>
      <c r="H66" s="6">
        <f t="shared" ref="H66:H129" si="3">F66-G66</f>
        <v>101448</v>
      </c>
      <c r="I66" s="7">
        <f t="shared" ref="I66:I129" si="4">H66/G66</f>
        <v>0.54270582571015891</v>
      </c>
      <c r="J66" s="1" t="str">
        <f t="shared" ref="J66:J129" si="5">IF(I66&gt;0.02,"Increase",IF(I66&lt;-0.02,"Decrease","Flat"))</f>
        <v>Increase</v>
      </c>
    </row>
    <row r="67" spans="1:10" x14ac:dyDescent="0.25">
      <c r="A67" s="1" t="s">
        <v>122</v>
      </c>
      <c r="B67" s="1" t="s">
        <v>123</v>
      </c>
      <c r="C67" s="1" t="s">
        <v>1052</v>
      </c>
      <c r="D67" s="1" t="s">
        <v>1039</v>
      </c>
      <c r="E67" s="1" t="s">
        <v>1042</v>
      </c>
      <c r="F67" s="6">
        <v>388130</v>
      </c>
      <c r="G67" s="6">
        <v>288378</v>
      </c>
      <c r="H67" s="6">
        <f t="shared" si="3"/>
        <v>99752</v>
      </c>
      <c r="I67" s="7">
        <f t="shared" si="4"/>
        <v>0.34590710803181934</v>
      </c>
      <c r="J67" s="1" t="str">
        <f t="shared" si="5"/>
        <v>Increase</v>
      </c>
    </row>
    <row r="68" spans="1:10" x14ac:dyDescent="0.25">
      <c r="A68" s="1" t="s">
        <v>122</v>
      </c>
      <c r="B68" s="1" t="s">
        <v>123</v>
      </c>
      <c r="C68" s="1" t="s">
        <v>1060</v>
      </c>
      <c r="D68" s="1" t="s">
        <v>1056</v>
      </c>
      <c r="E68" s="1" t="s">
        <v>1040</v>
      </c>
      <c r="F68" s="6">
        <v>212529</v>
      </c>
      <c r="G68" s="6">
        <v>163514</v>
      </c>
      <c r="H68" s="6">
        <f t="shared" si="3"/>
        <v>49015</v>
      </c>
      <c r="I68" s="7">
        <f t="shared" si="4"/>
        <v>0.29976026517607057</v>
      </c>
      <c r="J68" s="1" t="str">
        <f t="shared" si="5"/>
        <v>Increase</v>
      </c>
    </row>
    <row r="69" spans="1:10" x14ac:dyDescent="0.25">
      <c r="A69" s="1" t="s">
        <v>122</v>
      </c>
      <c r="B69" s="1" t="s">
        <v>123</v>
      </c>
      <c r="C69" s="1" t="s">
        <v>1060</v>
      </c>
      <c r="D69" s="1" t="s">
        <v>1056</v>
      </c>
      <c r="E69" s="1" t="s">
        <v>1041</v>
      </c>
      <c r="F69" s="6">
        <v>248323</v>
      </c>
      <c r="G69" s="6">
        <v>212529</v>
      </c>
      <c r="H69" s="6">
        <f t="shared" si="3"/>
        <v>35794</v>
      </c>
      <c r="I69" s="7">
        <f t="shared" si="4"/>
        <v>0.16841936865086646</v>
      </c>
      <c r="J69" s="1" t="str">
        <f t="shared" si="5"/>
        <v>Increase</v>
      </c>
    </row>
    <row r="70" spans="1:10" x14ac:dyDescent="0.25">
      <c r="A70" s="1" t="s">
        <v>122</v>
      </c>
      <c r="B70" s="1" t="s">
        <v>123</v>
      </c>
      <c r="C70" s="1" t="s">
        <v>1060</v>
      </c>
      <c r="D70" s="1" t="s">
        <v>1056</v>
      </c>
      <c r="E70" s="1" t="s">
        <v>1042</v>
      </c>
      <c r="F70" s="6">
        <v>255144</v>
      </c>
      <c r="G70" s="6">
        <v>248323</v>
      </c>
      <c r="H70" s="6">
        <f t="shared" si="3"/>
        <v>6821</v>
      </c>
      <c r="I70" s="7">
        <f t="shared" si="4"/>
        <v>2.7468257068414926E-2</v>
      </c>
      <c r="J70" s="1" t="str">
        <f t="shared" si="5"/>
        <v>Increase</v>
      </c>
    </row>
    <row r="71" spans="1:10" x14ac:dyDescent="0.25">
      <c r="A71" s="1" t="s">
        <v>122</v>
      </c>
      <c r="B71" s="1" t="s">
        <v>123</v>
      </c>
      <c r="C71" s="1" t="s">
        <v>1063</v>
      </c>
      <c r="D71" s="1" t="s">
        <v>1056</v>
      </c>
      <c r="E71" s="1" t="s">
        <v>1040</v>
      </c>
      <c r="F71" s="6">
        <v>84005</v>
      </c>
      <c r="G71" s="6">
        <v>67024</v>
      </c>
      <c r="H71" s="6">
        <f t="shared" si="3"/>
        <v>16981</v>
      </c>
      <c r="I71" s="7">
        <f t="shared" si="4"/>
        <v>0.25335700644545239</v>
      </c>
      <c r="J71" s="1" t="str">
        <f t="shared" si="5"/>
        <v>Increase</v>
      </c>
    </row>
    <row r="72" spans="1:10" x14ac:dyDescent="0.25">
      <c r="A72" s="1" t="s">
        <v>122</v>
      </c>
      <c r="B72" s="1" t="s">
        <v>123</v>
      </c>
      <c r="C72" s="1" t="s">
        <v>1063</v>
      </c>
      <c r="D72" s="1" t="s">
        <v>1056</v>
      </c>
      <c r="E72" s="1" t="s">
        <v>1041</v>
      </c>
      <c r="F72" s="6">
        <v>211015</v>
      </c>
      <c r="G72" s="6">
        <v>84005</v>
      </c>
      <c r="H72" s="6">
        <f t="shared" si="3"/>
        <v>127010</v>
      </c>
      <c r="I72" s="7">
        <f t="shared" si="4"/>
        <v>1.5119338134634843</v>
      </c>
      <c r="J72" s="1" t="str">
        <f t="shared" si="5"/>
        <v>Increase</v>
      </c>
    </row>
    <row r="73" spans="1:10" x14ac:dyDescent="0.25">
      <c r="A73" s="1" t="s">
        <v>122</v>
      </c>
      <c r="B73" s="1" t="s">
        <v>123</v>
      </c>
      <c r="C73" s="1" t="s">
        <v>1063</v>
      </c>
      <c r="D73" s="1" t="s">
        <v>1056</v>
      </c>
      <c r="E73" s="1" t="s">
        <v>1042</v>
      </c>
      <c r="F73" s="6">
        <v>575734</v>
      </c>
      <c r="G73" s="6">
        <v>211015</v>
      </c>
      <c r="H73" s="6">
        <f t="shared" si="3"/>
        <v>364719</v>
      </c>
      <c r="I73" s="7">
        <f t="shared" si="4"/>
        <v>1.7284031940857285</v>
      </c>
      <c r="J73" s="1" t="str">
        <f t="shared" si="5"/>
        <v>Increase</v>
      </c>
    </row>
    <row r="74" spans="1:10" x14ac:dyDescent="0.25">
      <c r="A74" s="1" t="s">
        <v>122</v>
      </c>
      <c r="B74" s="1" t="s">
        <v>123</v>
      </c>
      <c r="C74" s="1" t="s">
        <v>1061</v>
      </c>
      <c r="D74" s="1" t="s">
        <v>1062</v>
      </c>
      <c r="E74" s="1" t="s">
        <v>1040</v>
      </c>
      <c r="F74" s="6">
        <v>83136</v>
      </c>
      <c r="G74" s="6">
        <v>68136</v>
      </c>
      <c r="H74" s="6">
        <f t="shared" si="3"/>
        <v>15000</v>
      </c>
      <c r="I74" s="7">
        <f t="shared" si="4"/>
        <v>0.22014793941528707</v>
      </c>
      <c r="J74" s="1" t="str">
        <f t="shared" si="5"/>
        <v>Increase</v>
      </c>
    </row>
    <row r="75" spans="1:10" x14ac:dyDescent="0.25">
      <c r="A75" s="1" t="s">
        <v>122</v>
      </c>
      <c r="B75" s="1" t="s">
        <v>123</v>
      </c>
      <c r="C75" s="1" t="s">
        <v>1061</v>
      </c>
      <c r="D75" s="1" t="s">
        <v>1062</v>
      </c>
      <c r="E75" s="1" t="s">
        <v>1041</v>
      </c>
      <c r="F75" s="6">
        <v>210501</v>
      </c>
      <c r="G75" s="6">
        <v>83136</v>
      </c>
      <c r="H75" s="6">
        <f t="shared" si="3"/>
        <v>127365</v>
      </c>
      <c r="I75" s="7">
        <f t="shared" si="4"/>
        <v>1.5320077944572748</v>
      </c>
      <c r="J75" s="1" t="str">
        <f t="shared" si="5"/>
        <v>Increase</v>
      </c>
    </row>
    <row r="76" spans="1:10" x14ac:dyDescent="0.25">
      <c r="A76" s="1" t="s">
        <v>122</v>
      </c>
      <c r="B76" s="1" t="s">
        <v>123</v>
      </c>
      <c r="C76" s="1" t="s">
        <v>1061</v>
      </c>
      <c r="D76" s="1" t="s">
        <v>1062</v>
      </c>
      <c r="E76" s="1" t="s">
        <v>1042</v>
      </c>
      <c r="F76" s="6">
        <v>422055</v>
      </c>
      <c r="G76" s="6">
        <v>210501</v>
      </c>
      <c r="H76" s="6">
        <f t="shared" si="3"/>
        <v>211554</v>
      </c>
      <c r="I76" s="7">
        <f t="shared" si="4"/>
        <v>1.0050023515327717</v>
      </c>
      <c r="J76" s="1" t="str">
        <f t="shared" si="5"/>
        <v>Increase</v>
      </c>
    </row>
    <row r="77" spans="1:10" x14ac:dyDescent="0.25">
      <c r="A77" s="1" t="s">
        <v>122</v>
      </c>
      <c r="B77" s="1" t="s">
        <v>123</v>
      </c>
      <c r="C77" s="1" t="s">
        <v>1064</v>
      </c>
      <c r="D77" s="1" t="s">
        <v>1062</v>
      </c>
      <c r="E77" s="1" t="s">
        <v>1040</v>
      </c>
      <c r="F77" s="6">
        <v>102974</v>
      </c>
      <c r="G77" s="6">
        <v>88284</v>
      </c>
      <c r="H77" s="6">
        <f t="shared" si="3"/>
        <v>14690</v>
      </c>
      <c r="I77" s="7">
        <f t="shared" si="4"/>
        <v>0.16639481672783291</v>
      </c>
      <c r="J77" s="1" t="str">
        <f t="shared" si="5"/>
        <v>Increase</v>
      </c>
    </row>
    <row r="78" spans="1:10" x14ac:dyDescent="0.25">
      <c r="A78" s="1" t="s">
        <v>122</v>
      </c>
      <c r="B78" s="1" t="s">
        <v>123</v>
      </c>
      <c r="C78" s="1" t="s">
        <v>1064</v>
      </c>
      <c r="D78" s="1" t="s">
        <v>1062</v>
      </c>
      <c r="E78" s="1" t="s">
        <v>1041</v>
      </c>
      <c r="F78" s="6">
        <v>241919</v>
      </c>
      <c r="G78" s="6">
        <v>102974</v>
      </c>
      <c r="H78" s="6">
        <f t="shared" si="3"/>
        <v>138945</v>
      </c>
      <c r="I78" s="7">
        <f t="shared" si="4"/>
        <v>1.349321187872667</v>
      </c>
      <c r="J78" s="1" t="str">
        <f t="shared" si="5"/>
        <v>Increase</v>
      </c>
    </row>
    <row r="79" spans="1:10" x14ac:dyDescent="0.25">
      <c r="A79" s="1" t="s">
        <v>122</v>
      </c>
      <c r="B79" s="1" t="s">
        <v>123</v>
      </c>
      <c r="C79" s="1" t="s">
        <v>1064</v>
      </c>
      <c r="D79" s="1" t="s">
        <v>1062</v>
      </c>
      <c r="E79" s="1" t="s">
        <v>1042</v>
      </c>
      <c r="F79" s="6">
        <v>714011</v>
      </c>
      <c r="G79" s="6">
        <v>241919</v>
      </c>
      <c r="H79" s="6">
        <f t="shared" si="3"/>
        <v>472092</v>
      </c>
      <c r="I79" s="7">
        <f t="shared" si="4"/>
        <v>1.9514465585588565</v>
      </c>
      <c r="J79" s="1" t="str">
        <f t="shared" si="5"/>
        <v>Increase</v>
      </c>
    </row>
    <row r="80" spans="1:10" x14ac:dyDescent="0.25">
      <c r="A80" s="1" t="s">
        <v>127</v>
      </c>
      <c r="B80" s="1" t="s">
        <v>128</v>
      </c>
      <c r="C80" s="1" t="s">
        <v>1038</v>
      </c>
      <c r="D80" s="1" t="s">
        <v>1039</v>
      </c>
      <c r="E80" s="1" t="s">
        <v>1040</v>
      </c>
      <c r="F80" s="6">
        <v>1558188</v>
      </c>
      <c r="G80" s="6">
        <v>1250682</v>
      </c>
      <c r="H80" s="6">
        <f t="shared" si="3"/>
        <v>307506</v>
      </c>
      <c r="I80" s="7">
        <f t="shared" si="4"/>
        <v>0.24587065297173863</v>
      </c>
      <c r="J80" s="1" t="str">
        <f t="shared" si="5"/>
        <v>Increase</v>
      </c>
    </row>
    <row r="81" spans="1:10" x14ac:dyDescent="0.25">
      <c r="A81" s="1" t="s">
        <v>127</v>
      </c>
      <c r="B81" s="1" t="s">
        <v>128</v>
      </c>
      <c r="C81" s="1" t="s">
        <v>1038</v>
      </c>
      <c r="D81" s="1" t="s">
        <v>1039</v>
      </c>
      <c r="E81" s="1" t="s">
        <v>1041</v>
      </c>
      <c r="F81" s="6">
        <v>1822256</v>
      </c>
      <c r="G81" s="6">
        <v>1558188</v>
      </c>
      <c r="H81" s="6">
        <f t="shared" si="3"/>
        <v>264068</v>
      </c>
      <c r="I81" s="7">
        <f t="shared" si="4"/>
        <v>0.1694712062985981</v>
      </c>
      <c r="J81" s="1" t="str">
        <f t="shared" si="5"/>
        <v>Increase</v>
      </c>
    </row>
    <row r="82" spans="1:10" x14ac:dyDescent="0.25">
      <c r="A82" s="1" t="s">
        <v>127</v>
      </c>
      <c r="B82" s="1" t="s">
        <v>128</v>
      </c>
      <c r="C82" s="1" t="s">
        <v>1038</v>
      </c>
      <c r="D82" s="1" t="s">
        <v>1039</v>
      </c>
      <c r="E82" s="1" t="s">
        <v>1042</v>
      </c>
      <c r="F82" s="6">
        <v>1808337</v>
      </c>
      <c r="G82" s="6">
        <v>1822256</v>
      </c>
      <c r="H82" s="6">
        <f t="shared" si="3"/>
        <v>-13919</v>
      </c>
      <c r="I82" s="7">
        <f t="shared" si="4"/>
        <v>-7.6383340211254617E-3</v>
      </c>
      <c r="J82" s="1" t="str">
        <f t="shared" si="5"/>
        <v>Flat</v>
      </c>
    </row>
    <row r="83" spans="1:10" x14ac:dyDescent="0.25">
      <c r="A83" s="1" t="s">
        <v>127</v>
      </c>
      <c r="B83" s="1" t="s">
        <v>128</v>
      </c>
      <c r="C83" s="1" t="s">
        <v>1043</v>
      </c>
      <c r="D83" s="1" t="s">
        <v>1044</v>
      </c>
      <c r="E83" s="1" t="s">
        <v>1040</v>
      </c>
      <c r="F83" s="6">
        <v>461019</v>
      </c>
      <c r="G83" s="6">
        <v>434023</v>
      </c>
      <c r="H83" s="6">
        <f t="shared" si="3"/>
        <v>26996</v>
      </c>
      <c r="I83" s="7">
        <f t="shared" si="4"/>
        <v>6.2199468691751358E-2</v>
      </c>
      <c r="J83" s="1" t="str">
        <f t="shared" si="5"/>
        <v>Increase</v>
      </c>
    </row>
    <row r="84" spans="1:10" x14ac:dyDescent="0.25">
      <c r="A84" s="1" t="s">
        <v>127</v>
      </c>
      <c r="B84" s="1" t="s">
        <v>128</v>
      </c>
      <c r="C84" s="1" t="s">
        <v>1043</v>
      </c>
      <c r="D84" s="1" t="s">
        <v>1044</v>
      </c>
      <c r="E84" s="1" t="s">
        <v>1041</v>
      </c>
      <c r="F84" s="6">
        <v>550158</v>
      </c>
      <c r="G84" s="6">
        <v>461019</v>
      </c>
      <c r="H84" s="6">
        <f t="shared" si="3"/>
        <v>89139</v>
      </c>
      <c r="I84" s="7">
        <f t="shared" si="4"/>
        <v>0.19335211780859357</v>
      </c>
      <c r="J84" s="1" t="str">
        <f t="shared" si="5"/>
        <v>Increase</v>
      </c>
    </row>
    <row r="85" spans="1:10" x14ac:dyDescent="0.25">
      <c r="A85" s="1" t="s">
        <v>127</v>
      </c>
      <c r="B85" s="1" t="s">
        <v>128</v>
      </c>
      <c r="C85" s="1" t="s">
        <v>1043</v>
      </c>
      <c r="D85" s="1" t="s">
        <v>1044</v>
      </c>
      <c r="E85" s="1" t="s">
        <v>1042</v>
      </c>
      <c r="F85" s="6">
        <v>618709</v>
      </c>
      <c r="G85" s="6">
        <v>550158</v>
      </c>
      <c r="H85" s="6">
        <f t="shared" si="3"/>
        <v>68551</v>
      </c>
      <c r="I85" s="7">
        <f t="shared" si="4"/>
        <v>0.12460238695065781</v>
      </c>
      <c r="J85" s="1" t="str">
        <f t="shared" si="5"/>
        <v>Increase</v>
      </c>
    </row>
    <row r="86" spans="1:10" x14ac:dyDescent="0.25">
      <c r="A86" s="1" t="s">
        <v>127</v>
      </c>
      <c r="B86" s="1" t="s">
        <v>128</v>
      </c>
      <c r="C86" s="1" t="s">
        <v>1045</v>
      </c>
      <c r="D86" s="1" t="s">
        <v>1046</v>
      </c>
      <c r="E86" s="1" t="s">
        <v>1040</v>
      </c>
      <c r="F86" s="6">
        <v>122558</v>
      </c>
      <c r="G86" s="6">
        <v>100941</v>
      </c>
      <c r="H86" s="6">
        <f t="shared" si="3"/>
        <v>21617</v>
      </c>
      <c r="I86" s="7">
        <f t="shared" si="4"/>
        <v>0.21415480330093817</v>
      </c>
      <c r="J86" s="1" t="str">
        <f t="shared" si="5"/>
        <v>Increase</v>
      </c>
    </row>
    <row r="87" spans="1:10" x14ac:dyDescent="0.25">
      <c r="A87" s="1" t="s">
        <v>127</v>
      </c>
      <c r="B87" s="1" t="s">
        <v>128</v>
      </c>
      <c r="C87" s="1" t="s">
        <v>1045</v>
      </c>
      <c r="D87" s="1" t="s">
        <v>1046</v>
      </c>
      <c r="E87" s="1" t="s">
        <v>1041</v>
      </c>
      <c r="F87" s="6">
        <v>134907</v>
      </c>
      <c r="G87" s="6">
        <v>122558</v>
      </c>
      <c r="H87" s="6">
        <f t="shared" si="3"/>
        <v>12349</v>
      </c>
      <c r="I87" s="7">
        <f t="shared" si="4"/>
        <v>0.10076045627376426</v>
      </c>
      <c r="J87" s="1" t="str">
        <f t="shared" si="5"/>
        <v>Increase</v>
      </c>
    </row>
    <row r="88" spans="1:10" x14ac:dyDescent="0.25">
      <c r="A88" s="1" t="s">
        <v>127</v>
      </c>
      <c r="B88" s="1" t="s">
        <v>128</v>
      </c>
      <c r="C88" s="1" t="s">
        <v>1045</v>
      </c>
      <c r="D88" s="1" t="s">
        <v>1046</v>
      </c>
      <c r="E88" s="1" t="s">
        <v>1042</v>
      </c>
      <c r="F88" s="6">
        <v>125496</v>
      </c>
      <c r="G88" s="6">
        <v>134907</v>
      </c>
      <c r="H88" s="6">
        <f t="shared" si="3"/>
        <v>-9411</v>
      </c>
      <c r="I88" s="7">
        <f t="shared" si="4"/>
        <v>-6.9759167426449331E-2</v>
      </c>
      <c r="J88" s="1" t="str">
        <f t="shared" si="5"/>
        <v>Decrease</v>
      </c>
    </row>
    <row r="89" spans="1:10" x14ac:dyDescent="0.25">
      <c r="A89" s="1" t="s">
        <v>127</v>
      </c>
      <c r="B89" s="1" t="s">
        <v>128</v>
      </c>
      <c r="C89" s="1" t="s">
        <v>1047</v>
      </c>
      <c r="D89" s="1" t="s">
        <v>1048</v>
      </c>
      <c r="E89" s="1" t="s">
        <v>1040</v>
      </c>
      <c r="F89" s="6">
        <v>177255</v>
      </c>
      <c r="G89" s="6">
        <v>163734</v>
      </c>
      <c r="H89" s="6">
        <f t="shared" si="3"/>
        <v>13521</v>
      </c>
      <c r="I89" s="7">
        <f t="shared" si="4"/>
        <v>8.2579061160174425E-2</v>
      </c>
      <c r="J89" s="1" t="str">
        <f t="shared" si="5"/>
        <v>Increase</v>
      </c>
    </row>
    <row r="90" spans="1:10" x14ac:dyDescent="0.25">
      <c r="A90" s="1" t="s">
        <v>127</v>
      </c>
      <c r="B90" s="1" t="s">
        <v>128</v>
      </c>
      <c r="C90" s="1" t="s">
        <v>1047</v>
      </c>
      <c r="D90" s="1" t="s">
        <v>1048</v>
      </c>
      <c r="E90" s="1" t="s">
        <v>1041</v>
      </c>
      <c r="F90" s="6">
        <v>177462</v>
      </c>
      <c r="G90" s="6">
        <v>177255</v>
      </c>
      <c r="H90" s="6">
        <f t="shared" si="3"/>
        <v>207</v>
      </c>
      <c r="I90" s="7">
        <f t="shared" si="4"/>
        <v>1.1678090886011678E-3</v>
      </c>
      <c r="J90" s="1" t="str">
        <f t="shared" si="5"/>
        <v>Flat</v>
      </c>
    </row>
    <row r="91" spans="1:10" x14ac:dyDescent="0.25">
      <c r="A91" s="1" t="s">
        <v>127</v>
      </c>
      <c r="B91" s="1" t="s">
        <v>128</v>
      </c>
      <c r="C91" s="1" t="s">
        <v>1047</v>
      </c>
      <c r="D91" s="1" t="s">
        <v>1048</v>
      </c>
      <c r="E91" s="1" t="s">
        <v>1042</v>
      </c>
      <c r="F91" s="6">
        <v>168360</v>
      </c>
      <c r="G91" s="6">
        <v>177462</v>
      </c>
      <c r="H91" s="6">
        <f t="shared" si="3"/>
        <v>-9102</v>
      </c>
      <c r="I91" s="7">
        <f t="shared" si="4"/>
        <v>-5.1289853602461369E-2</v>
      </c>
      <c r="J91" s="1" t="str">
        <f t="shared" si="5"/>
        <v>Decrease</v>
      </c>
    </row>
    <row r="92" spans="1:10" x14ac:dyDescent="0.25">
      <c r="A92" s="1" t="s">
        <v>127</v>
      </c>
      <c r="B92" s="1" t="s">
        <v>128</v>
      </c>
      <c r="C92" s="1" t="s">
        <v>1049</v>
      </c>
      <c r="D92" s="1" t="s">
        <v>1048</v>
      </c>
      <c r="E92" s="1" t="s">
        <v>1040</v>
      </c>
      <c r="F92" s="6">
        <v>231988</v>
      </c>
      <c r="G92" s="6">
        <v>192363</v>
      </c>
      <c r="H92" s="6">
        <f t="shared" si="3"/>
        <v>39625</v>
      </c>
      <c r="I92" s="7">
        <f t="shared" si="4"/>
        <v>0.20599075705827005</v>
      </c>
      <c r="J92" s="1" t="str">
        <f t="shared" si="5"/>
        <v>Increase</v>
      </c>
    </row>
    <row r="93" spans="1:10" x14ac:dyDescent="0.25">
      <c r="A93" s="1" t="s">
        <v>127</v>
      </c>
      <c r="B93" s="1" t="s">
        <v>128</v>
      </c>
      <c r="C93" s="1" t="s">
        <v>1049</v>
      </c>
      <c r="D93" s="1" t="s">
        <v>1048</v>
      </c>
      <c r="E93" s="1" t="s">
        <v>1041</v>
      </c>
      <c r="F93" s="6">
        <v>247946</v>
      </c>
      <c r="G93" s="6">
        <v>231988</v>
      </c>
      <c r="H93" s="6">
        <f t="shared" si="3"/>
        <v>15958</v>
      </c>
      <c r="I93" s="7">
        <f t="shared" si="4"/>
        <v>6.8788040760729002E-2</v>
      </c>
      <c r="J93" s="1" t="str">
        <f t="shared" si="5"/>
        <v>Increase</v>
      </c>
    </row>
    <row r="94" spans="1:10" x14ac:dyDescent="0.25">
      <c r="A94" s="1" t="s">
        <v>127</v>
      </c>
      <c r="B94" s="1" t="s">
        <v>128</v>
      </c>
      <c r="C94" s="1" t="s">
        <v>1049</v>
      </c>
      <c r="D94" s="1" t="s">
        <v>1048</v>
      </c>
      <c r="E94" s="1" t="s">
        <v>1042</v>
      </c>
      <c r="F94" s="6">
        <v>255457</v>
      </c>
      <c r="G94" s="6">
        <v>247946</v>
      </c>
      <c r="H94" s="6">
        <f t="shared" si="3"/>
        <v>7511</v>
      </c>
      <c r="I94" s="7">
        <f t="shared" si="4"/>
        <v>3.029288635428682E-2</v>
      </c>
      <c r="J94" s="1" t="str">
        <f t="shared" si="5"/>
        <v>Increase</v>
      </c>
    </row>
    <row r="95" spans="1:10" x14ac:dyDescent="0.25">
      <c r="A95" s="1" t="s">
        <v>127</v>
      </c>
      <c r="B95" s="1" t="s">
        <v>128</v>
      </c>
      <c r="C95" s="1" t="s">
        <v>1050</v>
      </c>
      <c r="D95" s="1" t="s">
        <v>1051</v>
      </c>
      <c r="E95" s="1" t="s">
        <v>1040</v>
      </c>
      <c r="F95" s="6">
        <v>174753</v>
      </c>
      <c r="G95" s="6">
        <v>163029</v>
      </c>
      <c r="H95" s="6">
        <f t="shared" si="3"/>
        <v>11724</v>
      </c>
      <c r="I95" s="7">
        <f t="shared" si="4"/>
        <v>7.1913585926430268E-2</v>
      </c>
      <c r="J95" s="1" t="str">
        <f t="shared" si="5"/>
        <v>Increase</v>
      </c>
    </row>
    <row r="96" spans="1:10" x14ac:dyDescent="0.25">
      <c r="A96" s="1" t="s">
        <v>127</v>
      </c>
      <c r="B96" s="1" t="s">
        <v>128</v>
      </c>
      <c r="C96" s="1" t="s">
        <v>1050</v>
      </c>
      <c r="D96" s="1" t="s">
        <v>1051</v>
      </c>
      <c r="E96" s="1" t="s">
        <v>1041</v>
      </c>
      <c r="F96" s="6">
        <v>215021</v>
      </c>
      <c r="G96" s="6">
        <v>174753</v>
      </c>
      <c r="H96" s="6">
        <f t="shared" si="3"/>
        <v>40268</v>
      </c>
      <c r="I96" s="7">
        <f t="shared" si="4"/>
        <v>0.23042808993264779</v>
      </c>
      <c r="J96" s="1" t="str">
        <f t="shared" si="5"/>
        <v>Increase</v>
      </c>
    </row>
    <row r="97" spans="1:10" x14ac:dyDescent="0.25">
      <c r="A97" s="1" t="s">
        <v>127</v>
      </c>
      <c r="B97" s="1" t="s">
        <v>128</v>
      </c>
      <c r="C97" s="1" t="s">
        <v>1050</v>
      </c>
      <c r="D97" s="1" t="s">
        <v>1051</v>
      </c>
      <c r="E97" s="1" t="s">
        <v>1042</v>
      </c>
      <c r="F97" s="6">
        <v>229541</v>
      </c>
      <c r="G97" s="6">
        <v>215021</v>
      </c>
      <c r="H97" s="6">
        <f t="shared" si="3"/>
        <v>14520</v>
      </c>
      <c r="I97" s="7">
        <f t="shared" si="4"/>
        <v>6.752828793466685E-2</v>
      </c>
      <c r="J97" s="1" t="str">
        <f t="shared" si="5"/>
        <v>Increase</v>
      </c>
    </row>
    <row r="98" spans="1:10" x14ac:dyDescent="0.25">
      <c r="A98" s="1" t="s">
        <v>127</v>
      </c>
      <c r="B98" s="1" t="s">
        <v>128</v>
      </c>
      <c r="C98" s="1" t="s">
        <v>1055</v>
      </c>
      <c r="D98" s="1" t="s">
        <v>1056</v>
      </c>
      <c r="E98" s="1" t="s">
        <v>1040</v>
      </c>
      <c r="F98" s="6">
        <v>256960</v>
      </c>
      <c r="G98" s="6">
        <v>247489</v>
      </c>
      <c r="H98" s="6">
        <f t="shared" si="3"/>
        <v>9471</v>
      </c>
      <c r="I98" s="7">
        <f t="shared" si="4"/>
        <v>3.8268367482999242E-2</v>
      </c>
      <c r="J98" s="1" t="str">
        <f t="shared" si="5"/>
        <v>Increase</v>
      </c>
    </row>
    <row r="99" spans="1:10" x14ac:dyDescent="0.25">
      <c r="A99" s="1" t="s">
        <v>127</v>
      </c>
      <c r="B99" s="1" t="s">
        <v>128</v>
      </c>
      <c r="C99" s="1" t="s">
        <v>1055</v>
      </c>
      <c r="D99" s="1" t="s">
        <v>1056</v>
      </c>
      <c r="E99" s="1" t="s">
        <v>1041</v>
      </c>
      <c r="F99" s="6">
        <v>263485</v>
      </c>
      <c r="G99" s="6">
        <v>256960</v>
      </c>
      <c r="H99" s="6">
        <f t="shared" si="3"/>
        <v>6525</v>
      </c>
      <c r="I99" s="7">
        <f t="shared" si="4"/>
        <v>2.5393057285180574E-2</v>
      </c>
      <c r="J99" s="1" t="str">
        <f t="shared" si="5"/>
        <v>Increase</v>
      </c>
    </row>
    <row r="100" spans="1:10" x14ac:dyDescent="0.25">
      <c r="A100" s="1" t="s">
        <v>127</v>
      </c>
      <c r="B100" s="1" t="s">
        <v>128</v>
      </c>
      <c r="C100" s="1" t="s">
        <v>1055</v>
      </c>
      <c r="D100" s="1" t="s">
        <v>1056</v>
      </c>
      <c r="E100" s="1" t="s">
        <v>1042</v>
      </c>
      <c r="F100" s="6">
        <v>302225</v>
      </c>
      <c r="G100" s="6">
        <v>263485</v>
      </c>
      <c r="H100" s="6">
        <f t="shared" si="3"/>
        <v>38740</v>
      </c>
      <c r="I100" s="7">
        <f t="shared" si="4"/>
        <v>0.14702924265138434</v>
      </c>
      <c r="J100" s="1" t="str">
        <f t="shared" si="5"/>
        <v>Increase</v>
      </c>
    </row>
    <row r="101" spans="1:10" x14ac:dyDescent="0.25">
      <c r="A101" s="1" t="s">
        <v>127</v>
      </c>
      <c r="B101" s="1" t="s">
        <v>128</v>
      </c>
      <c r="C101" s="1" t="s">
        <v>1065</v>
      </c>
      <c r="D101" s="1" t="s">
        <v>1056</v>
      </c>
      <c r="E101" s="1" t="s">
        <v>1040</v>
      </c>
      <c r="F101" s="6">
        <v>410749</v>
      </c>
      <c r="G101" s="6">
        <v>394267</v>
      </c>
      <c r="H101" s="6">
        <f t="shared" si="3"/>
        <v>16482</v>
      </c>
      <c r="I101" s="7">
        <f t="shared" si="4"/>
        <v>4.1804158095909622E-2</v>
      </c>
      <c r="J101" s="1" t="str">
        <f t="shared" si="5"/>
        <v>Increase</v>
      </c>
    </row>
    <row r="102" spans="1:10" x14ac:dyDescent="0.25">
      <c r="A102" s="1" t="s">
        <v>127</v>
      </c>
      <c r="B102" s="1" t="s">
        <v>128</v>
      </c>
      <c r="C102" s="1" t="s">
        <v>1065</v>
      </c>
      <c r="D102" s="1" t="s">
        <v>1056</v>
      </c>
      <c r="E102" s="1" t="s">
        <v>1041</v>
      </c>
      <c r="F102" s="6">
        <v>509595</v>
      </c>
      <c r="G102" s="6">
        <v>410749</v>
      </c>
      <c r="H102" s="6">
        <f t="shared" si="3"/>
        <v>98846</v>
      </c>
      <c r="I102" s="7">
        <f t="shared" si="4"/>
        <v>0.24064818173629152</v>
      </c>
      <c r="J102" s="1" t="str">
        <f t="shared" si="5"/>
        <v>Increase</v>
      </c>
    </row>
    <row r="103" spans="1:10" x14ac:dyDescent="0.25">
      <c r="A103" s="1" t="s">
        <v>127</v>
      </c>
      <c r="B103" s="1" t="s">
        <v>128</v>
      </c>
      <c r="C103" s="1" t="s">
        <v>1065</v>
      </c>
      <c r="D103" s="1" t="s">
        <v>1056</v>
      </c>
      <c r="E103" s="1" t="s">
        <v>1042</v>
      </c>
      <c r="F103" s="6">
        <v>634841</v>
      </c>
      <c r="G103" s="6">
        <v>509595</v>
      </c>
      <c r="H103" s="6">
        <f t="shared" si="3"/>
        <v>125246</v>
      </c>
      <c r="I103" s="7">
        <f t="shared" si="4"/>
        <v>0.24577556687173147</v>
      </c>
      <c r="J103" s="1" t="str">
        <f t="shared" si="5"/>
        <v>Increase</v>
      </c>
    </row>
    <row r="104" spans="1:10" x14ac:dyDescent="0.25">
      <c r="A104" s="1" t="s">
        <v>127</v>
      </c>
      <c r="B104" s="1" t="s">
        <v>128</v>
      </c>
      <c r="C104" s="1" t="s">
        <v>1057</v>
      </c>
      <c r="D104" s="1" t="s">
        <v>1048</v>
      </c>
      <c r="E104" s="1" t="s">
        <v>1040</v>
      </c>
      <c r="F104" s="6">
        <v>246870</v>
      </c>
      <c r="G104" s="6">
        <v>192172</v>
      </c>
      <c r="H104" s="6">
        <f t="shared" si="3"/>
        <v>54698</v>
      </c>
      <c r="I104" s="7">
        <f t="shared" si="4"/>
        <v>0.2846304352351019</v>
      </c>
      <c r="J104" s="1" t="str">
        <f t="shared" si="5"/>
        <v>Increase</v>
      </c>
    </row>
    <row r="105" spans="1:10" x14ac:dyDescent="0.25">
      <c r="A105" s="1" t="s">
        <v>127</v>
      </c>
      <c r="B105" s="1" t="s">
        <v>128</v>
      </c>
      <c r="C105" s="1" t="s">
        <v>1057</v>
      </c>
      <c r="D105" s="1" t="s">
        <v>1048</v>
      </c>
      <c r="E105" s="1" t="s">
        <v>1041</v>
      </c>
      <c r="F105" s="6">
        <v>187005</v>
      </c>
      <c r="G105" s="6">
        <v>246870</v>
      </c>
      <c r="H105" s="6">
        <f t="shared" si="3"/>
        <v>-59865</v>
      </c>
      <c r="I105" s="7">
        <f t="shared" si="4"/>
        <v>-0.24249605055292259</v>
      </c>
      <c r="J105" s="1" t="str">
        <f t="shared" si="5"/>
        <v>Decrease</v>
      </c>
    </row>
    <row r="106" spans="1:10" x14ac:dyDescent="0.25">
      <c r="A106" s="1" t="s">
        <v>127</v>
      </c>
      <c r="B106" s="1" t="s">
        <v>128</v>
      </c>
      <c r="C106" s="1" t="s">
        <v>1057</v>
      </c>
      <c r="D106" s="1" t="s">
        <v>1048</v>
      </c>
      <c r="E106" s="1" t="s">
        <v>1042</v>
      </c>
      <c r="F106" s="6">
        <v>126378</v>
      </c>
      <c r="G106" s="6">
        <v>187005</v>
      </c>
      <c r="H106" s="6">
        <f t="shared" si="3"/>
        <v>-60627</v>
      </c>
      <c r="I106" s="7">
        <f t="shared" si="4"/>
        <v>-0.32419988770353736</v>
      </c>
      <c r="J106" s="1" t="str">
        <f t="shared" si="5"/>
        <v>Decrease</v>
      </c>
    </row>
    <row r="107" spans="1:10" x14ac:dyDescent="0.25">
      <c r="A107" s="1" t="s">
        <v>127</v>
      </c>
      <c r="B107" s="1" t="s">
        <v>128</v>
      </c>
      <c r="C107" s="1" t="s">
        <v>1061</v>
      </c>
      <c r="D107" s="1" t="s">
        <v>1062</v>
      </c>
      <c r="E107" s="1" t="s">
        <v>1040</v>
      </c>
      <c r="F107" s="6">
        <v>101299</v>
      </c>
      <c r="G107" s="6">
        <v>96413</v>
      </c>
      <c r="H107" s="6">
        <f t="shared" si="3"/>
        <v>4886</v>
      </c>
      <c r="I107" s="7">
        <f t="shared" si="4"/>
        <v>5.067781315797662E-2</v>
      </c>
      <c r="J107" s="1" t="str">
        <f t="shared" si="5"/>
        <v>Increase</v>
      </c>
    </row>
    <row r="108" spans="1:10" x14ac:dyDescent="0.25">
      <c r="A108" s="1" t="s">
        <v>127</v>
      </c>
      <c r="B108" s="1" t="s">
        <v>128</v>
      </c>
      <c r="C108" s="1" t="s">
        <v>1061</v>
      </c>
      <c r="D108" s="1" t="s">
        <v>1062</v>
      </c>
      <c r="E108" s="1" t="s">
        <v>1041</v>
      </c>
      <c r="F108" s="6">
        <v>199825</v>
      </c>
      <c r="G108" s="6">
        <v>101299</v>
      </c>
      <c r="H108" s="6">
        <f t="shared" si="3"/>
        <v>98526</v>
      </c>
      <c r="I108" s="7">
        <f t="shared" si="4"/>
        <v>0.97262559353991651</v>
      </c>
      <c r="J108" s="1" t="str">
        <f t="shared" si="5"/>
        <v>Increase</v>
      </c>
    </row>
    <row r="109" spans="1:10" x14ac:dyDescent="0.25">
      <c r="A109" s="1" t="s">
        <v>127</v>
      </c>
      <c r="B109" s="1" t="s">
        <v>128</v>
      </c>
      <c r="C109" s="1" t="s">
        <v>1061</v>
      </c>
      <c r="D109" s="1" t="s">
        <v>1062</v>
      </c>
      <c r="E109" s="1" t="s">
        <v>1042</v>
      </c>
      <c r="F109" s="6">
        <v>471360</v>
      </c>
      <c r="G109" s="6">
        <v>199825</v>
      </c>
      <c r="H109" s="6">
        <f t="shared" si="3"/>
        <v>271535</v>
      </c>
      <c r="I109" s="7">
        <f t="shared" si="4"/>
        <v>1.3588640060052546</v>
      </c>
      <c r="J109" s="1" t="str">
        <f t="shared" si="5"/>
        <v>Increase</v>
      </c>
    </row>
    <row r="110" spans="1:10" x14ac:dyDescent="0.25">
      <c r="A110" s="1" t="s">
        <v>127</v>
      </c>
      <c r="B110" s="1" t="s">
        <v>128</v>
      </c>
      <c r="C110" s="1" t="s">
        <v>1063</v>
      </c>
      <c r="D110" s="1" t="s">
        <v>1056</v>
      </c>
      <c r="E110" s="1" t="s">
        <v>1040</v>
      </c>
      <c r="F110" s="6">
        <v>87945</v>
      </c>
      <c r="G110" s="6">
        <v>68573</v>
      </c>
      <c r="H110" s="6">
        <f t="shared" si="3"/>
        <v>19372</v>
      </c>
      <c r="I110" s="7">
        <f t="shared" si="4"/>
        <v>0.2825018593323903</v>
      </c>
      <c r="J110" s="1" t="str">
        <f t="shared" si="5"/>
        <v>Increase</v>
      </c>
    </row>
    <row r="111" spans="1:10" x14ac:dyDescent="0.25">
      <c r="A111" s="1" t="s">
        <v>127</v>
      </c>
      <c r="B111" s="1" t="s">
        <v>128</v>
      </c>
      <c r="C111" s="1" t="s">
        <v>1063</v>
      </c>
      <c r="D111" s="1" t="s">
        <v>1056</v>
      </c>
      <c r="E111" s="1" t="s">
        <v>1041</v>
      </c>
      <c r="F111" s="6">
        <v>271049</v>
      </c>
      <c r="G111" s="6">
        <v>87945</v>
      </c>
      <c r="H111" s="6">
        <f t="shared" si="3"/>
        <v>183104</v>
      </c>
      <c r="I111" s="7">
        <f t="shared" si="4"/>
        <v>2.0820285405651258</v>
      </c>
      <c r="J111" s="1" t="str">
        <f t="shared" si="5"/>
        <v>Increase</v>
      </c>
    </row>
    <row r="112" spans="1:10" x14ac:dyDescent="0.25">
      <c r="A112" s="1" t="s">
        <v>127</v>
      </c>
      <c r="B112" s="1" t="s">
        <v>128</v>
      </c>
      <c r="C112" s="1" t="s">
        <v>1063</v>
      </c>
      <c r="D112" s="1" t="s">
        <v>1056</v>
      </c>
      <c r="E112" s="1" t="s">
        <v>1042</v>
      </c>
      <c r="F112" s="6">
        <v>771918</v>
      </c>
      <c r="G112" s="6">
        <v>271049</v>
      </c>
      <c r="H112" s="6">
        <f t="shared" si="3"/>
        <v>500869</v>
      </c>
      <c r="I112" s="7">
        <f t="shared" si="4"/>
        <v>1.8478909717431165</v>
      </c>
      <c r="J112" s="1" t="str">
        <f t="shared" si="5"/>
        <v>Increase</v>
      </c>
    </row>
    <row r="113" spans="1:10" x14ac:dyDescent="0.25">
      <c r="A113" s="1" t="s">
        <v>127</v>
      </c>
      <c r="B113" s="1" t="s">
        <v>128</v>
      </c>
      <c r="C113" s="1" t="s">
        <v>1060</v>
      </c>
      <c r="D113" s="1" t="s">
        <v>1056</v>
      </c>
      <c r="E113" s="1" t="s">
        <v>1040</v>
      </c>
      <c r="F113" s="6">
        <v>284077</v>
      </c>
      <c r="G113" s="6">
        <v>266774</v>
      </c>
      <c r="H113" s="6">
        <f t="shared" si="3"/>
        <v>17303</v>
      </c>
      <c r="I113" s="7">
        <f t="shared" si="4"/>
        <v>6.4860143792123667E-2</v>
      </c>
      <c r="J113" s="1" t="str">
        <f t="shared" si="5"/>
        <v>Increase</v>
      </c>
    </row>
    <row r="114" spans="1:10" x14ac:dyDescent="0.25">
      <c r="A114" s="1" t="s">
        <v>127</v>
      </c>
      <c r="B114" s="1" t="s">
        <v>128</v>
      </c>
      <c r="C114" s="1" t="s">
        <v>1060</v>
      </c>
      <c r="D114" s="1" t="s">
        <v>1056</v>
      </c>
      <c r="E114" s="1" t="s">
        <v>1041</v>
      </c>
      <c r="F114" s="6">
        <v>270852</v>
      </c>
      <c r="G114" s="6">
        <v>284077</v>
      </c>
      <c r="H114" s="6">
        <f t="shared" si="3"/>
        <v>-13225</v>
      </c>
      <c r="I114" s="7">
        <f t="shared" si="4"/>
        <v>-4.6554279297514406E-2</v>
      </c>
      <c r="J114" s="1" t="str">
        <f t="shared" si="5"/>
        <v>Decrease</v>
      </c>
    </row>
    <row r="115" spans="1:10" x14ac:dyDescent="0.25">
      <c r="A115" s="1" t="s">
        <v>127</v>
      </c>
      <c r="B115" s="1" t="s">
        <v>128</v>
      </c>
      <c r="C115" s="1" t="s">
        <v>1060</v>
      </c>
      <c r="D115" s="1" t="s">
        <v>1056</v>
      </c>
      <c r="E115" s="1" t="s">
        <v>1042</v>
      </c>
      <c r="F115" s="6">
        <v>275131</v>
      </c>
      <c r="G115" s="6">
        <v>270852</v>
      </c>
      <c r="H115" s="6">
        <f t="shared" si="3"/>
        <v>4279</v>
      </c>
      <c r="I115" s="7">
        <f t="shared" si="4"/>
        <v>1.5798295748231505E-2</v>
      </c>
      <c r="J115" s="1" t="str">
        <f t="shared" si="5"/>
        <v>Flat</v>
      </c>
    </row>
    <row r="116" spans="1:10" x14ac:dyDescent="0.25">
      <c r="A116" s="1" t="s">
        <v>127</v>
      </c>
      <c r="B116" s="1" t="s">
        <v>128</v>
      </c>
      <c r="C116" s="1" t="s">
        <v>1052</v>
      </c>
      <c r="D116" s="1" t="s">
        <v>1039</v>
      </c>
      <c r="E116" s="1" t="s">
        <v>1040</v>
      </c>
      <c r="F116" s="6">
        <v>210288</v>
      </c>
      <c r="G116" s="6">
        <v>175285</v>
      </c>
      <c r="H116" s="6">
        <f t="shared" si="3"/>
        <v>35003</v>
      </c>
      <c r="I116" s="7">
        <f t="shared" si="4"/>
        <v>0.19969193028496449</v>
      </c>
      <c r="J116" s="1" t="str">
        <f t="shared" si="5"/>
        <v>Increase</v>
      </c>
    </row>
    <row r="117" spans="1:10" x14ac:dyDescent="0.25">
      <c r="A117" s="1" t="s">
        <v>127</v>
      </c>
      <c r="B117" s="1" t="s">
        <v>128</v>
      </c>
      <c r="C117" s="1" t="s">
        <v>1052</v>
      </c>
      <c r="D117" s="1" t="s">
        <v>1039</v>
      </c>
      <c r="E117" s="1" t="s">
        <v>1041</v>
      </c>
      <c r="F117" s="6">
        <v>278183</v>
      </c>
      <c r="G117" s="6">
        <v>210288</v>
      </c>
      <c r="H117" s="6">
        <f t="shared" si="3"/>
        <v>67895</v>
      </c>
      <c r="I117" s="7">
        <f t="shared" si="4"/>
        <v>0.32286673514418324</v>
      </c>
      <c r="J117" s="1" t="str">
        <f t="shared" si="5"/>
        <v>Increase</v>
      </c>
    </row>
    <row r="118" spans="1:10" x14ac:dyDescent="0.25">
      <c r="A118" s="1" t="s">
        <v>127</v>
      </c>
      <c r="B118" s="1" t="s">
        <v>128</v>
      </c>
      <c r="C118" s="1" t="s">
        <v>1052</v>
      </c>
      <c r="D118" s="1" t="s">
        <v>1039</v>
      </c>
      <c r="E118" s="1" t="s">
        <v>1042</v>
      </c>
      <c r="F118" s="6">
        <v>476663</v>
      </c>
      <c r="G118" s="6">
        <v>278183</v>
      </c>
      <c r="H118" s="6">
        <f t="shared" si="3"/>
        <v>198480</v>
      </c>
      <c r="I118" s="7">
        <f t="shared" si="4"/>
        <v>0.71348716492380915</v>
      </c>
      <c r="J118" s="1" t="str">
        <f t="shared" si="5"/>
        <v>Increase</v>
      </c>
    </row>
    <row r="119" spans="1:10" x14ac:dyDescent="0.25">
      <c r="A119" s="1" t="s">
        <v>127</v>
      </c>
      <c r="B119" s="1" t="s">
        <v>128</v>
      </c>
      <c r="C119" s="1" t="s">
        <v>1064</v>
      </c>
      <c r="D119" s="1" t="s">
        <v>1062</v>
      </c>
      <c r="E119" s="1" t="s">
        <v>1040</v>
      </c>
      <c r="F119" s="6">
        <v>115759</v>
      </c>
      <c r="G119" s="6">
        <v>91070</v>
      </c>
      <c r="H119" s="6">
        <f t="shared" si="3"/>
        <v>24689</v>
      </c>
      <c r="I119" s="7">
        <f t="shared" si="4"/>
        <v>0.27109915449654109</v>
      </c>
      <c r="J119" s="1" t="str">
        <f t="shared" si="5"/>
        <v>Increase</v>
      </c>
    </row>
    <row r="120" spans="1:10" x14ac:dyDescent="0.25">
      <c r="A120" s="1" t="s">
        <v>127</v>
      </c>
      <c r="B120" s="1" t="s">
        <v>128</v>
      </c>
      <c r="C120" s="1" t="s">
        <v>1064</v>
      </c>
      <c r="D120" s="1" t="s">
        <v>1062</v>
      </c>
      <c r="E120" s="1" t="s">
        <v>1041</v>
      </c>
      <c r="F120" s="6">
        <v>211020</v>
      </c>
      <c r="G120" s="6">
        <v>115759</v>
      </c>
      <c r="H120" s="6">
        <f t="shared" si="3"/>
        <v>95261</v>
      </c>
      <c r="I120" s="7">
        <f t="shared" si="4"/>
        <v>0.82292521531803142</v>
      </c>
      <c r="J120" s="1" t="str">
        <f t="shared" si="5"/>
        <v>Increase</v>
      </c>
    </row>
    <row r="121" spans="1:10" x14ac:dyDescent="0.25">
      <c r="A121" s="1" t="s">
        <v>127</v>
      </c>
      <c r="B121" s="1" t="s">
        <v>128</v>
      </c>
      <c r="C121" s="1" t="s">
        <v>1064</v>
      </c>
      <c r="D121" s="1" t="s">
        <v>1062</v>
      </c>
      <c r="E121" s="1" t="s">
        <v>1042</v>
      </c>
      <c r="F121" s="6">
        <v>594504</v>
      </c>
      <c r="G121" s="6">
        <v>211020</v>
      </c>
      <c r="H121" s="6">
        <f t="shared" si="3"/>
        <v>383484</v>
      </c>
      <c r="I121" s="7">
        <f t="shared" si="4"/>
        <v>1.8172874609041798</v>
      </c>
      <c r="J121" s="1" t="str">
        <f t="shared" si="5"/>
        <v>Increase</v>
      </c>
    </row>
    <row r="122" spans="1:10" x14ac:dyDescent="0.25">
      <c r="A122" s="1" t="s">
        <v>131</v>
      </c>
      <c r="B122" s="1" t="s">
        <v>132</v>
      </c>
      <c r="C122" s="1" t="s">
        <v>1038</v>
      </c>
      <c r="D122" s="1" t="s">
        <v>1039</v>
      </c>
      <c r="E122" s="1" t="s">
        <v>1040</v>
      </c>
      <c r="F122" s="6">
        <v>649449</v>
      </c>
      <c r="G122" s="6">
        <v>619423</v>
      </c>
      <c r="H122" s="6">
        <f t="shared" si="3"/>
        <v>30026</v>
      </c>
      <c r="I122" s="7">
        <f t="shared" si="4"/>
        <v>4.8474144486078174E-2</v>
      </c>
      <c r="J122" s="1" t="str">
        <f t="shared" si="5"/>
        <v>Increase</v>
      </c>
    </row>
    <row r="123" spans="1:10" x14ac:dyDescent="0.25">
      <c r="A123" s="1" t="s">
        <v>131</v>
      </c>
      <c r="B123" s="1" t="s">
        <v>132</v>
      </c>
      <c r="C123" s="1" t="s">
        <v>1038</v>
      </c>
      <c r="D123" s="1" t="s">
        <v>1039</v>
      </c>
      <c r="E123" s="1" t="s">
        <v>1041</v>
      </c>
      <c r="F123" s="6">
        <v>685470</v>
      </c>
      <c r="G123" s="6">
        <v>649449</v>
      </c>
      <c r="H123" s="6">
        <f t="shared" si="3"/>
        <v>36021</v>
      </c>
      <c r="I123" s="7">
        <f t="shared" si="4"/>
        <v>5.5463939431733666E-2</v>
      </c>
      <c r="J123" s="1" t="str">
        <f t="shared" si="5"/>
        <v>Increase</v>
      </c>
    </row>
    <row r="124" spans="1:10" x14ac:dyDescent="0.25">
      <c r="A124" s="1" t="s">
        <v>131</v>
      </c>
      <c r="B124" s="1" t="s">
        <v>132</v>
      </c>
      <c r="C124" s="1" t="s">
        <v>1038</v>
      </c>
      <c r="D124" s="1" t="s">
        <v>1039</v>
      </c>
      <c r="E124" s="1" t="s">
        <v>1042</v>
      </c>
      <c r="F124" s="6">
        <v>763414</v>
      </c>
      <c r="G124" s="6">
        <v>685470</v>
      </c>
      <c r="H124" s="6">
        <f t="shared" si="3"/>
        <v>77944</v>
      </c>
      <c r="I124" s="7">
        <f t="shared" si="4"/>
        <v>0.11370884210833443</v>
      </c>
      <c r="J124" s="1" t="str">
        <f t="shared" si="5"/>
        <v>Increase</v>
      </c>
    </row>
    <row r="125" spans="1:10" x14ac:dyDescent="0.25">
      <c r="A125" s="1" t="s">
        <v>131</v>
      </c>
      <c r="B125" s="1" t="s">
        <v>132</v>
      </c>
      <c r="C125" s="1" t="s">
        <v>1043</v>
      </c>
      <c r="D125" s="1" t="s">
        <v>1044</v>
      </c>
      <c r="E125" s="1" t="s">
        <v>1040</v>
      </c>
      <c r="F125" s="6">
        <v>240844</v>
      </c>
      <c r="G125" s="6">
        <v>199661</v>
      </c>
      <c r="H125" s="6">
        <f t="shared" si="3"/>
        <v>41183</v>
      </c>
      <c r="I125" s="7">
        <f t="shared" si="4"/>
        <v>0.20626461852840564</v>
      </c>
      <c r="J125" s="1" t="str">
        <f t="shared" si="5"/>
        <v>Increase</v>
      </c>
    </row>
    <row r="126" spans="1:10" x14ac:dyDescent="0.25">
      <c r="A126" s="1" t="s">
        <v>131</v>
      </c>
      <c r="B126" s="1" t="s">
        <v>132</v>
      </c>
      <c r="C126" s="1" t="s">
        <v>1043</v>
      </c>
      <c r="D126" s="1" t="s">
        <v>1044</v>
      </c>
      <c r="E126" s="1" t="s">
        <v>1041</v>
      </c>
      <c r="F126" s="6">
        <v>278292</v>
      </c>
      <c r="G126" s="6">
        <v>240844</v>
      </c>
      <c r="H126" s="6">
        <f t="shared" si="3"/>
        <v>37448</v>
      </c>
      <c r="I126" s="7">
        <f t="shared" si="4"/>
        <v>0.15548653900450085</v>
      </c>
      <c r="J126" s="1" t="str">
        <f t="shared" si="5"/>
        <v>Increase</v>
      </c>
    </row>
    <row r="127" spans="1:10" x14ac:dyDescent="0.25">
      <c r="A127" s="1" t="s">
        <v>131</v>
      </c>
      <c r="B127" s="1" t="s">
        <v>132</v>
      </c>
      <c r="C127" s="1" t="s">
        <v>1043</v>
      </c>
      <c r="D127" s="1" t="s">
        <v>1044</v>
      </c>
      <c r="E127" s="1" t="s">
        <v>1042</v>
      </c>
      <c r="F127" s="6">
        <v>337734</v>
      </c>
      <c r="G127" s="6">
        <v>278292</v>
      </c>
      <c r="H127" s="6">
        <f t="shared" si="3"/>
        <v>59442</v>
      </c>
      <c r="I127" s="7">
        <f t="shared" si="4"/>
        <v>0.21359579147082919</v>
      </c>
      <c r="J127" s="1" t="str">
        <f t="shared" si="5"/>
        <v>Increase</v>
      </c>
    </row>
    <row r="128" spans="1:10" x14ac:dyDescent="0.25">
      <c r="A128" s="1" t="s">
        <v>131</v>
      </c>
      <c r="B128" s="1" t="s">
        <v>132</v>
      </c>
      <c r="C128" s="1" t="s">
        <v>1045</v>
      </c>
      <c r="D128" s="1" t="s">
        <v>1046</v>
      </c>
      <c r="E128" s="1" t="s">
        <v>1040</v>
      </c>
      <c r="F128" s="6">
        <v>41122</v>
      </c>
      <c r="G128" s="6">
        <v>38626</v>
      </c>
      <c r="H128" s="6">
        <f t="shared" si="3"/>
        <v>2496</v>
      </c>
      <c r="I128" s="7">
        <f t="shared" si="4"/>
        <v>6.4619686221715947E-2</v>
      </c>
      <c r="J128" s="1" t="str">
        <f t="shared" si="5"/>
        <v>Increase</v>
      </c>
    </row>
    <row r="129" spans="1:10" x14ac:dyDescent="0.25">
      <c r="A129" s="1" t="s">
        <v>131</v>
      </c>
      <c r="B129" s="1" t="s">
        <v>132</v>
      </c>
      <c r="C129" s="1" t="s">
        <v>1045</v>
      </c>
      <c r="D129" s="1" t="s">
        <v>1046</v>
      </c>
      <c r="E129" s="1" t="s">
        <v>1041</v>
      </c>
      <c r="F129" s="6">
        <v>41007</v>
      </c>
      <c r="G129" s="6">
        <v>41122</v>
      </c>
      <c r="H129" s="6">
        <f t="shared" si="3"/>
        <v>-115</v>
      </c>
      <c r="I129" s="7">
        <f t="shared" si="4"/>
        <v>-2.7965565877146052E-3</v>
      </c>
      <c r="J129" s="1" t="str">
        <f t="shared" si="5"/>
        <v>Flat</v>
      </c>
    </row>
    <row r="130" spans="1:10" x14ac:dyDescent="0.25">
      <c r="A130" s="1" t="s">
        <v>131</v>
      </c>
      <c r="B130" s="1" t="s">
        <v>132</v>
      </c>
      <c r="C130" s="1" t="s">
        <v>1045</v>
      </c>
      <c r="D130" s="1" t="s">
        <v>1046</v>
      </c>
      <c r="E130" s="1" t="s">
        <v>1042</v>
      </c>
      <c r="F130" s="6">
        <v>47758</v>
      </c>
      <c r="G130" s="6">
        <v>41007</v>
      </c>
      <c r="H130" s="6">
        <f t="shared" ref="H130:H193" si="6">F130-G130</f>
        <v>6751</v>
      </c>
      <c r="I130" s="7">
        <f t="shared" ref="I130:I193" si="7">H130/G130</f>
        <v>0.16463042895115468</v>
      </c>
      <c r="J130" s="1" t="str">
        <f t="shared" ref="J130:J193" si="8">IF(I130&gt;0.02,"Increase",IF(I130&lt;-0.02,"Decrease","Flat"))</f>
        <v>Increase</v>
      </c>
    </row>
    <row r="131" spans="1:10" x14ac:dyDescent="0.25">
      <c r="A131" s="1" t="s">
        <v>131</v>
      </c>
      <c r="B131" s="1" t="s">
        <v>132</v>
      </c>
      <c r="C131" s="1" t="s">
        <v>1047</v>
      </c>
      <c r="D131" s="1" t="s">
        <v>1048</v>
      </c>
      <c r="E131" s="1" t="s">
        <v>1040</v>
      </c>
      <c r="F131" s="6">
        <v>77923</v>
      </c>
      <c r="G131" s="6">
        <v>60076</v>
      </c>
      <c r="H131" s="6">
        <f t="shared" si="6"/>
        <v>17847</v>
      </c>
      <c r="I131" s="7">
        <f t="shared" si="7"/>
        <v>0.29707370663825822</v>
      </c>
      <c r="J131" s="1" t="str">
        <f t="shared" si="8"/>
        <v>Increase</v>
      </c>
    </row>
    <row r="132" spans="1:10" x14ac:dyDescent="0.25">
      <c r="A132" s="1" t="s">
        <v>131</v>
      </c>
      <c r="B132" s="1" t="s">
        <v>132</v>
      </c>
      <c r="C132" s="1" t="s">
        <v>1047</v>
      </c>
      <c r="D132" s="1" t="s">
        <v>1048</v>
      </c>
      <c r="E132" s="1" t="s">
        <v>1041</v>
      </c>
      <c r="F132" s="6">
        <v>93608</v>
      </c>
      <c r="G132" s="6">
        <v>77923</v>
      </c>
      <c r="H132" s="6">
        <f t="shared" si="6"/>
        <v>15685</v>
      </c>
      <c r="I132" s="7">
        <f t="shared" si="7"/>
        <v>0.20128845141999152</v>
      </c>
      <c r="J132" s="1" t="str">
        <f t="shared" si="8"/>
        <v>Increase</v>
      </c>
    </row>
    <row r="133" spans="1:10" x14ac:dyDescent="0.25">
      <c r="A133" s="1" t="s">
        <v>131</v>
      </c>
      <c r="B133" s="1" t="s">
        <v>132</v>
      </c>
      <c r="C133" s="1" t="s">
        <v>1047</v>
      </c>
      <c r="D133" s="1" t="s">
        <v>1048</v>
      </c>
      <c r="E133" s="1" t="s">
        <v>1042</v>
      </c>
      <c r="F133" s="6">
        <v>86685</v>
      </c>
      <c r="G133" s="6">
        <v>93608</v>
      </c>
      <c r="H133" s="6">
        <f t="shared" si="6"/>
        <v>-6923</v>
      </c>
      <c r="I133" s="7">
        <f t="shared" si="7"/>
        <v>-7.3957354072301515E-2</v>
      </c>
      <c r="J133" s="1" t="str">
        <f t="shared" si="8"/>
        <v>Decrease</v>
      </c>
    </row>
    <row r="134" spans="1:10" x14ac:dyDescent="0.25">
      <c r="A134" s="1" t="s">
        <v>131</v>
      </c>
      <c r="B134" s="1" t="s">
        <v>132</v>
      </c>
      <c r="C134" s="1" t="s">
        <v>1049</v>
      </c>
      <c r="D134" s="1" t="s">
        <v>1048</v>
      </c>
      <c r="E134" s="1" t="s">
        <v>1040</v>
      </c>
      <c r="F134" s="6">
        <v>100285</v>
      </c>
      <c r="G134" s="6">
        <v>88528</v>
      </c>
      <c r="H134" s="6">
        <f t="shared" si="6"/>
        <v>11757</v>
      </c>
      <c r="I134" s="7">
        <f t="shared" si="7"/>
        <v>0.13280544008675221</v>
      </c>
      <c r="J134" s="1" t="str">
        <f t="shared" si="8"/>
        <v>Increase</v>
      </c>
    </row>
    <row r="135" spans="1:10" x14ac:dyDescent="0.25">
      <c r="A135" s="1" t="s">
        <v>131</v>
      </c>
      <c r="B135" s="1" t="s">
        <v>132</v>
      </c>
      <c r="C135" s="1" t="s">
        <v>1049</v>
      </c>
      <c r="D135" s="1" t="s">
        <v>1048</v>
      </c>
      <c r="E135" s="1" t="s">
        <v>1041</v>
      </c>
      <c r="F135" s="6">
        <v>120153</v>
      </c>
      <c r="G135" s="6">
        <v>100285</v>
      </c>
      <c r="H135" s="6">
        <f t="shared" si="6"/>
        <v>19868</v>
      </c>
      <c r="I135" s="7">
        <f t="shared" si="7"/>
        <v>0.19811537119210251</v>
      </c>
      <c r="J135" s="1" t="str">
        <f t="shared" si="8"/>
        <v>Increase</v>
      </c>
    </row>
    <row r="136" spans="1:10" x14ac:dyDescent="0.25">
      <c r="A136" s="1" t="s">
        <v>131</v>
      </c>
      <c r="B136" s="1" t="s">
        <v>132</v>
      </c>
      <c r="C136" s="1" t="s">
        <v>1049</v>
      </c>
      <c r="D136" s="1" t="s">
        <v>1048</v>
      </c>
      <c r="E136" s="1" t="s">
        <v>1042</v>
      </c>
      <c r="F136" s="6">
        <v>145520</v>
      </c>
      <c r="G136" s="6">
        <v>120153</v>
      </c>
      <c r="H136" s="6">
        <f t="shared" si="6"/>
        <v>25367</v>
      </c>
      <c r="I136" s="7">
        <f t="shared" si="7"/>
        <v>0.21112248549765716</v>
      </c>
      <c r="J136" s="1" t="str">
        <f t="shared" si="8"/>
        <v>Increase</v>
      </c>
    </row>
    <row r="137" spans="1:10" x14ac:dyDescent="0.25">
      <c r="A137" s="1" t="s">
        <v>131</v>
      </c>
      <c r="B137" s="1" t="s">
        <v>132</v>
      </c>
      <c r="C137" s="1" t="s">
        <v>1064</v>
      </c>
      <c r="D137" s="1" t="s">
        <v>1062</v>
      </c>
      <c r="E137" s="1" t="s">
        <v>1040</v>
      </c>
      <c r="F137" s="6">
        <v>29345</v>
      </c>
      <c r="G137" s="6">
        <v>23753</v>
      </c>
      <c r="H137" s="6">
        <f t="shared" si="6"/>
        <v>5592</v>
      </c>
      <c r="I137" s="7">
        <f t="shared" si="7"/>
        <v>0.23542289395023785</v>
      </c>
      <c r="J137" s="1" t="str">
        <f t="shared" si="8"/>
        <v>Increase</v>
      </c>
    </row>
    <row r="138" spans="1:10" x14ac:dyDescent="0.25">
      <c r="A138" s="1" t="s">
        <v>131</v>
      </c>
      <c r="B138" s="1" t="s">
        <v>132</v>
      </c>
      <c r="C138" s="1" t="s">
        <v>1064</v>
      </c>
      <c r="D138" s="1" t="s">
        <v>1062</v>
      </c>
      <c r="E138" s="1" t="s">
        <v>1041</v>
      </c>
      <c r="F138" s="6">
        <v>95176</v>
      </c>
      <c r="G138" s="6">
        <v>29345</v>
      </c>
      <c r="H138" s="6">
        <f t="shared" si="6"/>
        <v>65831</v>
      </c>
      <c r="I138" s="7">
        <f t="shared" si="7"/>
        <v>2.2433463963196454</v>
      </c>
      <c r="J138" s="1" t="str">
        <f t="shared" si="8"/>
        <v>Increase</v>
      </c>
    </row>
    <row r="139" spans="1:10" x14ac:dyDescent="0.25">
      <c r="A139" s="1" t="s">
        <v>131</v>
      </c>
      <c r="B139" s="1" t="s">
        <v>132</v>
      </c>
      <c r="C139" s="1" t="s">
        <v>1064</v>
      </c>
      <c r="D139" s="1" t="s">
        <v>1062</v>
      </c>
      <c r="E139" s="1" t="s">
        <v>1042</v>
      </c>
      <c r="F139" s="6">
        <v>183266</v>
      </c>
      <c r="G139" s="6">
        <v>95176</v>
      </c>
      <c r="H139" s="6">
        <f t="shared" si="6"/>
        <v>88090</v>
      </c>
      <c r="I139" s="7">
        <f t="shared" si="7"/>
        <v>0.92554845759435156</v>
      </c>
      <c r="J139" s="1" t="str">
        <f t="shared" si="8"/>
        <v>Increase</v>
      </c>
    </row>
    <row r="140" spans="1:10" x14ac:dyDescent="0.25">
      <c r="A140" s="1" t="s">
        <v>131</v>
      </c>
      <c r="B140" s="1" t="s">
        <v>132</v>
      </c>
      <c r="C140" s="1" t="s">
        <v>1050</v>
      </c>
      <c r="D140" s="1" t="s">
        <v>1051</v>
      </c>
      <c r="E140" s="1" t="s">
        <v>1040</v>
      </c>
      <c r="F140" s="6">
        <v>24970</v>
      </c>
      <c r="G140" s="6">
        <v>21344</v>
      </c>
      <c r="H140" s="6">
        <f t="shared" si="6"/>
        <v>3626</v>
      </c>
      <c r="I140" s="7">
        <f t="shared" si="7"/>
        <v>0.16988380809595202</v>
      </c>
      <c r="J140" s="1" t="str">
        <f t="shared" si="8"/>
        <v>Increase</v>
      </c>
    </row>
    <row r="141" spans="1:10" x14ac:dyDescent="0.25">
      <c r="A141" s="1" t="s">
        <v>131</v>
      </c>
      <c r="B141" s="1" t="s">
        <v>132</v>
      </c>
      <c r="C141" s="1" t="s">
        <v>1050</v>
      </c>
      <c r="D141" s="1" t="s">
        <v>1051</v>
      </c>
      <c r="E141" s="1" t="s">
        <v>1041</v>
      </c>
      <c r="F141" s="6">
        <v>27134</v>
      </c>
      <c r="G141" s="6">
        <v>24970</v>
      </c>
      <c r="H141" s="6">
        <f t="shared" si="6"/>
        <v>2164</v>
      </c>
      <c r="I141" s="7">
        <f t="shared" si="7"/>
        <v>8.6663996796155385E-2</v>
      </c>
      <c r="J141" s="1" t="str">
        <f t="shared" si="8"/>
        <v>Increase</v>
      </c>
    </row>
    <row r="142" spans="1:10" x14ac:dyDescent="0.25">
      <c r="A142" s="1" t="s">
        <v>131</v>
      </c>
      <c r="B142" s="1" t="s">
        <v>132</v>
      </c>
      <c r="C142" s="1" t="s">
        <v>1050</v>
      </c>
      <c r="D142" s="1" t="s">
        <v>1051</v>
      </c>
      <c r="E142" s="1" t="s">
        <v>1042</v>
      </c>
      <c r="F142" s="6">
        <v>26837</v>
      </c>
      <c r="G142" s="6">
        <v>27134</v>
      </c>
      <c r="H142" s="6">
        <f t="shared" si="6"/>
        <v>-297</v>
      </c>
      <c r="I142" s="7">
        <f t="shared" si="7"/>
        <v>-1.0945677010392865E-2</v>
      </c>
      <c r="J142" s="1" t="str">
        <f t="shared" si="8"/>
        <v>Flat</v>
      </c>
    </row>
    <row r="143" spans="1:10" x14ac:dyDescent="0.25">
      <c r="A143" s="1" t="s">
        <v>131</v>
      </c>
      <c r="B143" s="1" t="s">
        <v>132</v>
      </c>
      <c r="C143" s="1" t="s">
        <v>1060</v>
      </c>
      <c r="D143" s="1" t="s">
        <v>1056</v>
      </c>
      <c r="E143" s="1" t="s">
        <v>1040</v>
      </c>
      <c r="F143" s="6">
        <v>166899</v>
      </c>
      <c r="G143" s="6">
        <v>137217</v>
      </c>
      <c r="H143" s="6">
        <f t="shared" si="6"/>
        <v>29682</v>
      </c>
      <c r="I143" s="7">
        <f t="shared" si="7"/>
        <v>0.21631430507881677</v>
      </c>
      <c r="J143" s="1" t="str">
        <f t="shared" si="8"/>
        <v>Increase</v>
      </c>
    </row>
    <row r="144" spans="1:10" x14ac:dyDescent="0.25">
      <c r="A144" s="1" t="s">
        <v>131</v>
      </c>
      <c r="B144" s="1" t="s">
        <v>132</v>
      </c>
      <c r="C144" s="1" t="s">
        <v>1060</v>
      </c>
      <c r="D144" s="1" t="s">
        <v>1056</v>
      </c>
      <c r="E144" s="1" t="s">
        <v>1041</v>
      </c>
      <c r="F144" s="6">
        <v>171527</v>
      </c>
      <c r="G144" s="6">
        <v>166899</v>
      </c>
      <c r="H144" s="6">
        <f t="shared" si="6"/>
        <v>4628</v>
      </c>
      <c r="I144" s="7">
        <f t="shared" si="7"/>
        <v>2.7729345292662029E-2</v>
      </c>
      <c r="J144" s="1" t="str">
        <f t="shared" si="8"/>
        <v>Increase</v>
      </c>
    </row>
    <row r="145" spans="1:10" x14ac:dyDescent="0.25">
      <c r="A145" s="1" t="s">
        <v>131</v>
      </c>
      <c r="B145" s="1" t="s">
        <v>132</v>
      </c>
      <c r="C145" s="1" t="s">
        <v>1060</v>
      </c>
      <c r="D145" s="1" t="s">
        <v>1056</v>
      </c>
      <c r="E145" s="1" t="s">
        <v>1042</v>
      </c>
      <c r="F145" s="6">
        <v>194089</v>
      </c>
      <c r="G145" s="6">
        <v>171527</v>
      </c>
      <c r="H145" s="6">
        <f t="shared" si="6"/>
        <v>22562</v>
      </c>
      <c r="I145" s="7">
        <f t="shared" si="7"/>
        <v>0.13153614299789537</v>
      </c>
      <c r="J145" s="1" t="str">
        <f t="shared" si="8"/>
        <v>Increase</v>
      </c>
    </row>
    <row r="146" spans="1:10" x14ac:dyDescent="0.25">
      <c r="A146" s="1" t="s">
        <v>131</v>
      </c>
      <c r="B146" s="1" t="s">
        <v>132</v>
      </c>
      <c r="C146" s="1" t="s">
        <v>1066</v>
      </c>
      <c r="D146" s="1" t="s">
        <v>1062</v>
      </c>
      <c r="E146" s="1" t="s">
        <v>1040</v>
      </c>
      <c r="F146" s="6">
        <v>40364</v>
      </c>
      <c r="G146" s="6">
        <v>34052</v>
      </c>
      <c r="H146" s="6">
        <f t="shared" si="6"/>
        <v>6312</v>
      </c>
      <c r="I146" s="7">
        <f t="shared" si="7"/>
        <v>0.18536356161165277</v>
      </c>
      <c r="J146" s="1" t="str">
        <f t="shared" si="8"/>
        <v>Increase</v>
      </c>
    </row>
    <row r="147" spans="1:10" x14ac:dyDescent="0.25">
      <c r="A147" s="1" t="s">
        <v>131</v>
      </c>
      <c r="B147" s="1" t="s">
        <v>132</v>
      </c>
      <c r="C147" s="1" t="s">
        <v>1066</v>
      </c>
      <c r="D147" s="1" t="s">
        <v>1062</v>
      </c>
      <c r="E147" s="1" t="s">
        <v>1041</v>
      </c>
      <c r="F147" s="6">
        <v>123452</v>
      </c>
      <c r="G147" s="6">
        <v>40364</v>
      </c>
      <c r="H147" s="6">
        <f t="shared" si="6"/>
        <v>83088</v>
      </c>
      <c r="I147" s="7">
        <f t="shared" si="7"/>
        <v>2.0584679417302545</v>
      </c>
      <c r="J147" s="1" t="str">
        <f t="shared" si="8"/>
        <v>Increase</v>
      </c>
    </row>
    <row r="148" spans="1:10" x14ac:dyDescent="0.25">
      <c r="A148" s="1" t="s">
        <v>131</v>
      </c>
      <c r="B148" s="1" t="s">
        <v>132</v>
      </c>
      <c r="C148" s="1" t="s">
        <v>1066</v>
      </c>
      <c r="D148" s="1" t="s">
        <v>1062</v>
      </c>
      <c r="E148" s="1" t="s">
        <v>1042</v>
      </c>
      <c r="F148" s="6">
        <v>283677</v>
      </c>
      <c r="G148" s="6">
        <v>123452</v>
      </c>
      <c r="H148" s="6">
        <f t="shared" si="6"/>
        <v>160225</v>
      </c>
      <c r="I148" s="7">
        <f t="shared" si="7"/>
        <v>1.2978728574668696</v>
      </c>
      <c r="J148" s="1" t="str">
        <f t="shared" si="8"/>
        <v>Increase</v>
      </c>
    </row>
    <row r="149" spans="1:10" x14ac:dyDescent="0.25">
      <c r="A149" s="1" t="s">
        <v>131</v>
      </c>
      <c r="B149" s="1" t="s">
        <v>132</v>
      </c>
      <c r="C149" s="1" t="s">
        <v>1065</v>
      </c>
      <c r="D149" s="1" t="s">
        <v>1056</v>
      </c>
      <c r="E149" s="1" t="s">
        <v>1040</v>
      </c>
      <c r="F149" s="6">
        <v>109684</v>
      </c>
      <c r="G149" s="6">
        <v>97598</v>
      </c>
      <c r="H149" s="6">
        <f t="shared" si="6"/>
        <v>12086</v>
      </c>
      <c r="I149" s="7">
        <f t="shared" si="7"/>
        <v>0.12383450480542633</v>
      </c>
      <c r="J149" s="1" t="str">
        <f t="shared" si="8"/>
        <v>Increase</v>
      </c>
    </row>
    <row r="150" spans="1:10" x14ac:dyDescent="0.25">
      <c r="A150" s="1" t="s">
        <v>131</v>
      </c>
      <c r="B150" s="1" t="s">
        <v>132</v>
      </c>
      <c r="C150" s="1" t="s">
        <v>1065</v>
      </c>
      <c r="D150" s="1" t="s">
        <v>1056</v>
      </c>
      <c r="E150" s="1" t="s">
        <v>1041</v>
      </c>
      <c r="F150" s="6">
        <v>136643</v>
      </c>
      <c r="G150" s="6">
        <v>109684</v>
      </c>
      <c r="H150" s="6">
        <f t="shared" si="6"/>
        <v>26959</v>
      </c>
      <c r="I150" s="7">
        <f t="shared" si="7"/>
        <v>0.24578789978483645</v>
      </c>
      <c r="J150" s="1" t="str">
        <f t="shared" si="8"/>
        <v>Increase</v>
      </c>
    </row>
    <row r="151" spans="1:10" x14ac:dyDescent="0.25">
      <c r="A151" s="1" t="s">
        <v>131</v>
      </c>
      <c r="B151" s="1" t="s">
        <v>132</v>
      </c>
      <c r="C151" s="1" t="s">
        <v>1065</v>
      </c>
      <c r="D151" s="1" t="s">
        <v>1056</v>
      </c>
      <c r="E151" s="1" t="s">
        <v>1042</v>
      </c>
      <c r="F151" s="6">
        <v>132977</v>
      </c>
      <c r="G151" s="6">
        <v>136643</v>
      </c>
      <c r="H151" s="6">
        <f t="shared" si="6"/>
        <v>-3666</v>
      </c>
      <c r="I151" s="7">
        <f t="shared" si="7"/>
        <v>-2.6829036247740461E-2</v>
      </c>
      <c r="J151" s="1" t="str">
        <f t="shared" si="8"/>
        <v>Decrease</v>
      </c>
    </row>
    <row r="152" spans="1:10" x14ac:dyDescent="0.25">
      <c r="A152" s="1" t="s">
        <v>135</v>
      </c>
      <c r="B152" s="1" t="s">
        <v>136</v>
      </c>
      <c r="C152" s="1" t="s">
        <v>1038</v>
      </c>
      <c r="D152" s="1" t="s">
        <v>1039</v>
      </c>
      <c r="E152" s="1" t="s">
        <v>1040</v>
      </c>
      <c r="F152" s="6">
        <v>1070995</v>
      </c>
      <c r="G152" s="6">
        <v>883216</v>
      </c>
      <c r="H152" s="6">
        <f t="shared" si="6"/>
        <v>187779</v>
      </c>
      <c r="I152" s="7">
        <f t="shared" si="7"/>
        <v>0.21260824079273927</v>
      </c>
      <c r="J152" s="1" t="str">
        <f t="shared" si="8"/>
        <v>Increase</v>
      </c>
    </row>
    <row r="153" spans="1:10" x14ac:dyDescent="0.25">
      <c r="A153" s="1" t="s">
        <v>135</v>
      </c>
      <c r="B153" s="1" t="s">
        <v>136</v>
      </c>
      <c r="C153" s="1" t="s">
        <v>1038</v>
      </c>
      <c r="D153" s="1" t="s">
        <v>1039</v>
      </c>
      <c r="E153" s="1" t="s">
        <v>1041</v>
      </c>
      <c r="F153" s="6">
        <v>1292249</v>
      </c>
      <c r="G153" s="6">
        <v>1070995</v>
      </c>
      <c r="H153" s="6">
        <f t="shared" si="6"/>
        <v>221254</v>
      </c>
      <c r="I153" s="7">
        <f t="shared" si="7"/>
        <v>0.20658733234048712</v>
      </c>
      <c r="J153" s="1" t="str">
        <f t="shared" si="8"/>
        <v>Increase</v>
      </c>
    </row>
    <row r="154" spans="1:10" x14ac:dyDescent="0.25">
      <c r="A154" s="1" t="s">
        <v>135</v>
      </c>
      <c r="B154" s="1" t="s">
        <v>136</v>
      </c>
      <c r="C154" s="1" t="s">
        <v>1038</v>
      </c>
      <c r="D154" s="1" t="s">
        <v>1039</v>
      </c>
      <c r="E154" s="1" t="s">
        <v>1042</v>
      </c>
      <c r="F154" s="6">
        <v>1249546</v>
      </c>
      <c r="G154" s="6">
        <v>1292249</v>
      </c>
      <c r="H154" s="6">
        <f t="shared" si="6"/>
        <v>-42703</v>
      </c>
      <c r="I154" s="7">
        <f t="shared" si="7"/>
        <v>-3.3045488911192814E-2</v>
      </c>
      <c r="J154" s="1" t="str">
        <f t="shared" si="8"/>
        <v>Decrease</v>
      </c>
    </row>
    <row r="155" spans="1:10" x14ac:dyDescent="0.25">
      <c r="A155" s="1" t="s">
        <v>135</v>
      </c>
      <c r="B155" s="1" t="s">
        <v>136</v>
      </c>
      <c r="C155" s="1" t="s">
        <v>1043</v>
      </c>
      <c r="D155" s="1" t="s">
        <v>1044</v>
      </c>
      <c r="E155" s="1" t="s">
        <v>1040</v>
      </c>
      <c r="F155" s="6">
        <v>644009</v>
      </c>
      <c r="G155" s="6">
        <v>558804</v>
      </c>
      <c r="H155" s="6">
        <f t="shared" si="6"/>
        <v>85205</v>
      </c>
      <c r="I155" s="7">
        <f t="shared" si="7"/>
        <v>0.15247743394821797</v>
      </c>
      <c r="J155" s="1" t="str">
        <f t="shared" si="8"/>
        <v>Increase</v>
      </c>
    </row>
    <row r="156" spans="1:10" x14ac:dyDescent="0.25">
      <c r="A156" s="1" t="s">
        <v>135</v>
      </c>
      <c r="B156" s="1" t="s">
        <v>136</v>
      </c>
      <c r="C156" s="1" t="s">
        <v>1043</v>
      </c>
      <c r="D156" s="1" t="s">
        <v>1044</v>
      </c>
      <c r="E156" s="1" t="s">
        <v>1041</v>
      </c>
      <c r="F156" s="6">
        <v>696666</v>
      </c>
      <c r="G156" s="6">
        <v>644009</v>
      </c>
      <c r="H156" s="6">
        <f t="shared" si="6"/>
        <v>52657</v>
      </c>
      <c r="I156" s="7">
        <f t="shared" si="7"/>
        <v>8.1764385280329935E-2</v>
      </c>
      <c r="J156" s="1" t="str">
        <f t="shared" si="8"/>
        <v>Increase</v>
      </c>
    </row>
    <row r="157" spans="1:10" x14ac:dyDescent="0.25">
      <c r="A157" s="1" t="s">
        <v>135</v>
      </c>
      <c r="B157" s="1" t="s">
        <v>136</v>
      </c>
      <c r="C157" s="1" t="s">
        <v>1043</v>
      </c>
      <c r="D157" s="1" t="s">
        <v>1044</v>
      </c>
      <c r="E157" s="1" t="s">
        <v>1042</v>
      </c>
      <c r="F157" s="6">
        <v>740390</v>
      </c>
      <c r="G157" s="6">
        <v>696666</v>
      </c>
      <c r="H157" s="6">
        <f t="shared" si="6"/>
        <v>43724</v>
      </c>
      <c r="I157" s="7">
        <f t="shared" si="7"/>
        <v>6.2761782547160333E-2</v>
      </c>
      <c r="J157" s="1" t="str">
        <f t="shared" si="8"/>
        <v>Increase</v>
      </c>
    </row>
    <row r="158" spans="1:10" x14ac:dyDescent="0.25">
      <c r="A158" s="1" t="s">
        <v>135</v>
      </c>
      <c r="B158" s="1" t="s">
        <v>136</v>
      </c>
      <c r="C158" s="1" t="s">
        <v>1045</v>
      </c>
      <c r="D158" s="1" t="s">
        <v>1046</v>
      </c>
      <c r="E158" s="1" t="s">
        <v>1040</v>
      </c>
      <c r="F158" s="6">
        <v>76586</v>
      </c>
      <c r="G158" s="6">
        <v>63960</v>
      </c>
      <c r="H158" s="6">
        <f t="shared" si="6"/>
        <v>12626</v>
      </c>
      <c r="I158" s="7">
        <f t="shared" si="7"/>
        <v>0.19740462789243277</v>
      </c>
      <c r="J158" s="1" t="str">
        <f t="shared" si="8"/>
        <v>Increase</v>
      </c>
    </row>
    <row r="159" spans="1:10" x14ac:dyDescent="0.25">
      <c r="A159" s="1" t="s">
        <v>135</v>
      </c>
      <c r="B159" s="1" t="s">
        <v>136</v>
      </c>
      <c r="C159" s="1" t="s">
        <v>1045</v>
      </c>
      <c r="D159" s="1" t="s">
        <v>1046</v>
      </c>
      <c r="E159" s="1" t="s">
        <v>1041</v>
      </c>
      <c r="F159" s="6">
        <v>80704</v>
      </c>
      <c r="G159" s="6">
        <v>76586</v>
      </c>
      <c r="H159" s="6">
        <f t="shared" si="6"/>
        <v>4118</v>
      </c>
      <c r="I159" s="7">
        <f t="shared" si="7"/>
        <v>5.3769618468127334E-2</v>
      </c>
      <c r="J159" s="1" t="str">
        <f t="shared" si="8"/>
        <v>Increase</v>
      </c>
    </row>
    <row r="160" spans="1:10" x14ac:dyDescent="0.25">
      <c r="A160" s="1" t="s">
        <v>135</v>
      </c>
      <c r="B160" s="1" t="s">
        <v>136</v>
      </c>
      <c r="C160" s="1" t="s">
        <v>1045</v>
      </c>
      <c r="D160" s="1" t="s">
        <v>1046</v>
      </c>
      <c r="E160" s="1" t="s">
        <v>1042</v>
      </c>
      <c r="F160" s="6">
        <v>92584</v>
      </c>
      <c r="G160" s="6">
        <v>80704</v>
      </c>
      <c r="H160" s="6">
        <f t="shared" si="6"/>
        <v>11880</v>
      </c>
      <c r="I160" s="7">
        <f t="shared" si="7"/>
        <v>0.14720459952418716</v>
      </c>
      <c r="J160" s="1" t="str">
        <f t="shared" si="8"/>
        <v>Increase</v>
      </c>
    </row>
    <row r="161" spans="1:10" x14ac:dyDescent="0.25">
      <c r="A161" s="1" t="s">
        <v>135</v>
      </c>
      <c r="B161" s="1" t="s">
        <v>136</v>
      </c>
      <c r="C161" s="1" t="s">
        <v>1047</v>
      </c>
      <c r="D161" s="1" t="s">
        <v>1048</v>
      </c>
      <c r="E161" s="1" t="s">
        <v>1040</v>
      </c>
      <c r="F161" s="6">
        <v>85835</v>
      </c>
      <c r="G161" s="6">
        <v>68027</v>
      </c>
      <c r="H161" s="6">
        <f t="shared" si="6"/>
        <v>17808</v>
      </c>
      <c r="I161" s="7">
        <f t="shared" si="7"/>
        <v>0.26177841151307568</v>
      </c>
      <c r="J161" s="1" t="str">
        <f t="shared" si="8"/>
        <v>Increase</v>
      </c>
    </row>
    <row r="162" spans="1:10" x14ac:dyDescent="0.25">
      <c r="A162" s="1" t="s">
        <v>135</v>
      </c>
      <c r="B162" s="1" t="s">
        <v>136</v>
      </c>
      <c r="C162" s="1" t="s">
        <v>1047</v>
      </c>
      <c r="D162" s="1" t="s">
        <v>1048</v>
      </c>
      <c r="E162" s="1" t="s">
        <v>1041</v>
      </c>
      <c r="F162" s="6">
        <v>95149</v>
      </c>
      <c r="G162" s="6">
        <v>85835</v>
      </c>
      <c r="H162" s="6">
        <f t="shared" si="6"/>
        <v>9314</v>
      </c>
      <c r="I162" s="7">
        <f t="shared" si="7"/>
        <v>0.10851051435894449</v>
      </c>
      <c r="J162" s="1" t="str">
        <f t="shared" si="8"/>
        <v>Increase</v>
      </c>
    </row>
    <row r="163" spans="1:10" x14ac:dyDescent="0.25">
      <c r="A163" s="1" t="s">
        <v>135</v>
      </c>
      <c r="B163" s="1" t="s">
        <v>136</v>
      </c>
      <c r="C163" s="1" t="s">
        <v>1047</v>
      </c>
      <c r="D163" s="1" t="s">
        <v>1048</v>
      </c>
      <c r="E163" s="1" t="s">
        <v>1042</v>
      </c>
      <c r="F163" s="6">
        <v>120010</v>
      </c>
      <c r="G163" s="6">
        <v>95149</v>
      </c>
      <c r="H163" s="6">
        <f t="shared" si="6"/>
        <v>24861</v>
      </c>
      <c r="I163" s="7">
        <f t="shared" si="7"/>
        <v>0.26128493205393644</v>
      </c>
      <c r="J163" s="1" t="str">
        <f t="shared" si="8"/>
        <v>Increase</v>
      </c>
    </row>
    <row r="164" spans="1:10" x14ac:dyDescent="0.25">
      <c r="A164" s="1" t="s">
        <v>135</v>
      </c>
      <c r="B164" s="1" t="s">
        <v>136</v>
      </c>
      <c r="C164" s="1" t="s">
        <v>1049</v>
      </c>
      <c r="D164" s="1" t="s">
        <v>1048</v>
      </c>
      <c r="E164" s="1" t="s">
        <v>1040</v>
      </c>
      <c r="F164" s="6">
        <v>231246</v>
      </c>
      <c r="G164" s="6">
        <v>219466</v>
      </c>
      <c r="H164" s="6">
        <f t="shared" si="6"/>
        <v>11780</v>
      </c>
      <c r="I164" s="7">
        <f t="shared" si="7"/>
        <v>5.3675740205772191E-2</v>
      </c>
      <c r="J164" s="1" t="str">
        <f t="shared" si="8"/>
        <v>Increase</v>
      </c>
    </row>
    <row r="165" spans="1:10" x14ac:dyDescent="0.25">
      <c r="A165" s="1" t="s">
        <v>135</v>
      </c>
      <c r="B165" s="1" t="s">
        <v>136</v>
      </c>
      <c r="C165" s="1" t="s">
        <v>1049</v>
      </c>
      <c r="D165" s="1" t="s">
        <v>1048</v>
      </c>
      <c r="E165" s="1" t="s">
        <v>1041</v>
      </c>
      <c r="F165" s="6">
        <v>248466</v>
      </c>
      <c r="G165" s="6">
        <v>231246</v>
      </c>
      <c r="H165" s="6">
        <f t="shared" si="6"/>
        <v>17220</v>
      </c>
      <c r="I165" s="7">
        <f t="shared" si="7"/>
        <v>7.4466152928050644E-2</v>
      </c>
      <c r="J165" s="1" t="str">
        <f t="shared" si="8"/>
        <v>Increase</v>
      </c>
    </row>
    <row r="166" spans="1:10" x14ac:dyDescent="0.25">
      <c r="A166" s="1" t="s">
        <v>135</v>
      </c>
      <c r="B166" s="1" t="s">
        <v>136</v>
      </c>
      <c r="C166" s="1" t="s">
        <v>1049</v>
      </c>
      <c r="D166" s="1" t="s">
        <v>1048</v>
      </c>
      <c r="E166" s="1" t="s">
        <v>1042</v>
      </c>
      <c r="F166" s="6">
        <v>285472</v>
      </c>
      <c r="G166" s="6">
        <v>248466</v>
      </c>
      <c r="H166" s="6">
        <f t="shared" si="6"/>
        <v>37006</v>
      </c>
      <c r="I166" s="7">
        <f t="shared" si="7"/>
        <v>0.14893788284916246</v>
      </c>
      <c r="J166" s="1" t="str">
        <f t="shared" si="8"/>
        <v>Increase</v>
      </c>
    </row>
    <row r="167" spans="1:10" x14ac:dyDescent="0.25">
      <c r="A167" s="1" t="s">
        <v>135</v>
      </c>
      <c r="B167" s="1" t="s">
        <v>136</v>
      </c>
      <c r="C167" s="1" t="s">
        <v>1050</v>
      </c>
      <c r="D167" s="1" t="s">
        <v>1051</v>
      </c>
      <c r="E167" s="1" t="s">
        <v>1040</v>
      </c>
      <c r="F167" s="6">
        <v>60064</v>
      </c>
      <c r="G167" s="6">
        <v>47318</v>
      </c>
      <c r="H167" s="6">
        <f t="shared" si="6"/>
        <v>12746</v>
      </c>
      <c r="I167" s="7">
        <f t="shared" si="7"/>
        <v>0.26936895050509319</v>
      </c>
      <c r="J167" s="1" t="str">
        <f t="shared" si="8"/>
        <v>Increase</v>
      </c>
    </row>
    <row r="168" spans="1:10" x14ac:dyDescent="0.25">
      <c r="A168" s="1" t="s">
        <v>135</v>
      </c>
      <c r="B168" s="1" t="s">
        <v>136</v>
      </c>
      <c r="C168" s="1" t="s">
        <v>1050</v>
      </c>
      <c r="D168" s="1" t="s">
        <v>1051</v>
      </c>
      <c r="E168" s="1" t="s">
        <v>1041</v>
      </c>
      <c r="F168" s="6">
        <v>66315</v>
      </c>
      <c r="G168" s="6">
        <v>60064</v>
      </c>
      <c r="H168" s="6">
        <f t="shared" si="6"/>
        <v>6251</v>
      </c>
      <c r="I168" s="7">
        <f t="shared" si="7"/>
        <v>0.10407232285562067</v>
      </c>
      <c r="J168" s="1" t="str">
        <f t="shared" si="8"/>
        <v>Increase</v>
      </c>
    </row>
    <row r="169" spans="1:10" x14ac:dyDescent="0.25">
      <c r="A169" s="1" t="s">
        <v>135</v>
      </c>
      <c r="B169" s="1" t="s">
        <v>136</v>
      </c>
      <c r="C169" s="1" t="s">
        <v>1050</v>
      </c>
      <c r="D169" s="1" t="s">
        <v>1051</v>
      </c>
      <c r="E169" s="1" t="s">
        <v>1042</v>
      </c>
      <c r="F169" s="6">
        <v>71132</v>
      </c>
      <c r="G169" s="6">
        <v>66315</v>
      </c>
      <c r="H169" s="6">
        <f t="shared" si="6"/>
        <v>4817</v>
      </c>
      <c r="I169" s="7">
        <f t="shared" si="7"/>
        <v>7.2638166327376907E-2</v>
      </c>
      <c r="J169" s="1" t="str">
        <f t="shared" si="8"/>
        <v>Increase</v>
      </c>
    </row>
    <row r="170" spans="1:10" x14ac:dyDescent="0.25">
      <c r="A170" s="1" t="s">
        <v>135</v>
      </c>
      <c r="B170" s="1" t="s">
        <v>136</v>
      </c>
      <c r="C170" s="1" t="s">
        <v>1061</v>
      </c>
      <c r="D170" s="1" t="s">
        <v>1062</v>
      </c>
      <c r="E170" s="1" t="s">
        <v>1040</v>
      </c>
      <c r="F170" s="6">
        <v>37006</v>
      </c>
      <c r="G170" s="6">
        <v>34323</v>
      </c>
      <c r="H170" s="6">
        <f t="shared" si="6"/>
        <v>2683</v>
      </c>
      <c r="I170" s="7">
        <f t="shared" si="7"/>
        <v>7.8169157707659587E-2</v>
      </c>
      <c r="J170" s="1" t="str">
        <f t="shared" si="8"/>
        <v>Increase</v>
      </c>
    </row>
    <row r="171" spans="1:10" x14ac:dyDescent="0.25">
      <c r="A171" s="1" t="s">
        <v>135</v>
      </c>
      <c r="B171" s="1" t="s">
        <v>136</v>
      </c>
      <c r="C171" s="1" t="s">
        <v>1061</v>
      </c>
      <c r="D171" s="1" t="s">
        <v>1062</v>
      </c>
      <c r="E171" s="1" t="s">
        <v>1041</v>
      </c>
      <c r="F171" s="6">
        <v>118581</v>
      </c>
      <c r="G171" s="6">
        <v>37006</v>
      </c>
      <c r="H171" s="6">
        <f t="shared" si="6"/>
        <v>81575</v>
      </c>
      <c r="I171" s="7">
        <f t="shared" si="7"/>
        <v>2.2043722639571963</v>
      </c>
      <c r="J171" s="1" t="str">
        <f t="shared" si="8"/>
        <v>Increase</v>
      </c>
    </row>
    <row r="172" spans="1:10" x14ac:dyDescent="0.25">
      <c r="A172" s="1" t="s">
        <v>135</v>
      </c>
      <c r="B172" s="1" t="s">
        <v>136</v>
      </c>
      <c r="C172" s="1" t="s">
        <v>1061</v>
      </c>
      <c r="D172" s="1" t="s">
        <v>1062</v>
      </c>
      <c r="E172" s="1" t="s">
        <v>1042</v>
      </c>
      <c r="F172" s="6">
        <v>303065</v>
      </c>
      <c r="G172" s="6">
        <v>118581</v>
      </c>
      <c r="H172" s="6">
        <f t="shared" si="6"/>
        <v>184484</v>
      </c>
      <c r="I172" s="7">
        <f t="shared" si="7"/>
        <v>1.5557635708924702</v>
      </c>
      <c r="J172" s="1" t="str">
        <f t="shared" si="8"/>
        <v>Increase</v>
      </c>
    </row>
    <row r="173" spans="1:10" x14ac:dyDescent="0.25">
      <c r="A173" s="1" t="s">
        <v>135</v>
      </c>
      <c r="B173" s="1" t="s">
        <v>136</v>
      </c>
      <c r="C173" s="1" t="s">
        <v>1066</v>
      </c>
      <c r="D173" s="1" t="s">
        <v>1062</v>
      </c>
      <c r="E173" s="1" t="s">
        <v>1040</v>
      </c>
      <c r="F173" s="6">
        <v>67375</v>
      </c>
      <c r="G173" s="6">
        <v>52526</v>
      </c>
      <c r="H173" s="6">
        <f t="shared" si="6"/>
        <v>14849</v>
      </c>
      <c r="I173" s="7">
        <f t="shared" si="7"/>
        <v>0.28269809237330085</v>
      </c>
      <c r="J173" s="1" t="str">
        <f t="shared" si="8"/>
        <v>Increase</v>
      </c>
    </row>
    <row r="174" spans="1:10" x14ac:dyDescent="0.25">
      <c r="A174" s="1" t="s">
        <v>135</v>
      </c>
      <c r="B174" s="1" t="s">
        <v>136</v>
      </c>
      <c r="C174" s="1" t="s">
        <v>1066</v>
      </c>
      <c r="D174" s="1" t="s">
        <v>1062</v>
      </c>
      <c r="E174" s="1" t="s">
        <v>1041</v>
      </c>
      <c r="F174" s="6">
        <v>175311</v>
      </c>
      <c r="G174" s="6">
        <v>67375</v>
      </c>
      <c r="H174" s="6">
        <f t="shared" si="6"/>
        <v>107936</v>
      </c>
      <c r="I174" s="7">
        <f t="shared" si="7"/>
        <v>1.6020185528756958</v>
      </c>
      <c r="J174" s="1" t="str">
        <f t="shared" si="8"/>
        <v>Increase</v>
      </c>
    </row>
    <row r="175" spans="1:10" x14ac:dyDescent="0.25">
      <c r="A175" s="1" t="s">
        <v>135</v>
      </c>
      <c r="B175" s="1" t="s">
        <v>136</v>
      </c>
      <c r="C175" s="1" t="s">
        <v>1066</v>
      </c>
      <c r="D175" s="1" t="s">
        <v>1062</v>
      </c>
      <c r="E175" s="1" t="s">
        <v>1042</v>
      </c>
      <c r="F175" s="6">
        <v>282186</v>
      </c>
      <c r="G175" s="6">
        <v>175311</v>
      </c>
      <c r="H175" s="6">
        <f t="shared" si="6"/>
        <v>106875</v>
      </c>
      <c r="I175" s="7">
        <f t="shared" si="7"/>
        <v>0.60963088454232761</v>
      </c>
      <c r="J175" s="1" t="str">
        <f t="shared" si="8"/>
        <v>Increase</v>
      </c>
    </row>
    <row r="176" spans="1:10" x14ac:dyDescent="0.25">
      <c r="A176" s="1" t="s">
        <v>135</v>
      </c>
      <c r="B176" s="1" t="s">
        <v>136</v>
      </c>
      <c r="C176" s="1" t="s">
        <v>1058</v>
      </c>
      <c r="D176" s="1" t="s">
        <v>1039</v>
      </c>
      <c r="E176" s="1" t="s">
        <v>1040</v>
      </c>
      <c r="F176" s="6">
        <v>137968</v>
      </c>
      <c r="G176" s="6">
        <v>114808</v>
      </c>
      <c r="H176" s="6">
        <f t="shared" si="6"/>
        <v>23160</v>
      </c>
      <c r="I176" s="7">
        <f t="shared" si="7"/>
        <v>0.2017281025712494</v>
      </c>
      <c r="J176" s="1" t="str">
        <f t="shared" si="8"/>
        <v>Increase</v>
      </c>
    </row>
    <row r="177" spans="1:10" x14ac:dyDescent="0.25">
      <c r="A177" s="1" t="s">
        <v>135</v>
      </c>
      <c r="B177" s="1" t="s">
        <v>136</v>
      </c>
      <c r="C177" s="1" t="s">
        <v>1058</v>
      </c>
      <c r="D177" s="1" t="s">
        <v>1039</v>
      </c>
      <c r="E177" s="1" t="s">
        <v>1041</v>
      </c>
      <c r="F177" s="6">
        <v>164641</v>
      </c>
      <c r="G177" s="6">
        <v>137968</v>
      </c>
      <c r="H177" s="6">
        <f t="shared" si="6"/>
        <v>26673</v>
      </c>
      <c r="I177" s="7">
        <f t="shared" si="7"/>
        <v>0.19332743824654994</v>
      </c>
      <c r="J177" s="1" t="str">
        <f t="shared" si="8"/>
        <v>Increase</v>
      </c>
    </row>
    <row r="178" spans="1:10" x14ac:dyDescent="0.25">
      <c r="A178" s="1" t="s">
        <v>135</v>
      </c>
      <c r="B178" s="1" t="s">
        <v>136</v>
      </c>
      <c r="C178" s="1" t="s">
        <v>1058</v>
      </c>
      <c r="D178" s="1" t="s">
        <v>1039</v>
      </c>
      <c r="E178" s="1" t="s">
        <v>1042</v>
      </c>
      <c r="F178" s="6">
        <v>180833</v>
      </c>
      <c r="G178" s="6">
        <v>164641</v>
      </c>
      <c r="H178" s="6">
        <f t="shared" si="6"/>
        <v>16192</v>
      </c>
      <c r="I178" s="7">
        <f t="shared" si="7"/>
        <v>9.8347313245181936E-2</v>
      </c>
      <c r="J178" s="1" t="str">
        <f t="shared" si="8"/>
        <v>Increase</v>
      </c>
    </row>
    <row r="179" spans="1:10" x14ac:dyDescent="0.25">
      <c r="A179" s="1" t="s">
        <v>135</v>
      </c>
      <c r="B179" s="1" t="s">
        <v>136</v>
      </c>
      <c r="C179" s="1" t="s">
        <v>1064</v>
      </c>
      <c r="D179" s="1" t="s">
        <v>1062</v>
      </c>
      <c r="E179" s="1" t="s">
        <v>1040</v>
      </c>
      <c r="F179" s="6">
        <v>130623</v>
      </c>
      <c r="G179" s="6">
        <v>106442</v>
      </c>
      <c r="H179" s="6">
        <f t="shared" si="6"/>
        <v>24181</v>
      </c>
      <c r="I179" s="7">
        <f t="shared" si="7"/>
        <v>0.22717536310854738</v>
      </c>
      <c r="J179" s="1" t="str">
        <f t="shared" si="8"/>
        <v>Increase</v>
      </c>
    </row>
    <row r="180" spans="1:10" x14ac:dyDescent="0.25">
      <c r="A180" s="1" t="s">
        <v>135</v>
      </c>
      <c r="B180" s="1" t="s">
        <v>136</v>
      </c>
      <c r="C180" s="1" t="s">
        <v>1064</v>
      </c>
      <c r="D180" s="1" t="s">
        <v>1062</v>
      </c>
      <c r="E180" s="1" t="s">
        <v>1041</v>
      </c>
      <c r="F180" s="6">
        <v>322705</v>
      </c>
      <c r="G180" s="6">
        <v>130623</v>
      </c>
      <c r="H180" s="6">
        <f t="shared" si="6"/>
        <v>192082</v>
      </c>
      <c r="I180" s="7">
        <f t="shared" si="7"/>
        <v>1.4705067254618251</v>
      </c>
      <c r="J180" s="1" t="str">
        <f t="shared" si="8"/>
        <v>Increase</v>
      </c>
    </row>
    <row r="181" spans="1:10" x14ac:dyDescent="0.25">
      <c r="A181" s="1" t="s">
        <v>135</v>
      </c>
      <c r="B181" s="1" t="s">
        <v>136</v>
      </c>
      <c r="C181" s="1" t="s">
        <v>1064</v>
      </c>
      <c r="D181" s="1" t="s">
        <v>1062</v>
      </c>
      <c r="E181" s="1" t="s">
        <v>1042</v>
      </c>
      <c r="F181" s="6">
        <v>668605</v>
      </c>
      <c r="G181" s="6">
        <v>322705</v>
      </c>
      <c r="H181" s="6">
        <f t="shared" si="6"/>
        <v>345900</v>
      </c>
      <c r="I181" s="7">
        <f t="shared" si="7"/>
        <v>1.0718767914968779</v>
      </c>
      <c r="J181" s="1" t="str">
        <f t="shared" si="8"/>
        <v>Increase</v>
      </c>
    </row>
    <row r="182" spans="1:10" x14ac:dyDescent="0.25">
      <c r="A182" s="1" t="s">
        <v>135</v>
      </c>
      <c r="B182" s="1" t="s">
        <v>136</v>
      </c>
      <c r="C182" s="1" t="s">
        <v>1060</v>
      </c>
      <c r="D182" s="1" t="s">
        <v>1056</v>
      </c>
      <c r="E182" s="1" t="s">
        <v>1040</v>
      </c>
      <c r="F182" s="6">
        <v>326522</v>
      </c>
      <c r="G182" s="6">
        <v>291387</v>
      </c>
      <c r="H182" s="6">
        <f t="shared" si="6"/>
        <v>35135</v>
      </c>
      <c r="I182" s="7">
        <f t="shared" si="7"/>
        <v>0.12057847467457368</v>
      </c>
      <c r="J182" s="1" t="str">
        <f t="shared" si="8"/>
        <v>Increase</v>
      </c>
    </row>
    <row r="183" spans="1:10" x14ac:dyDescent="0.25">
      <c r="A183" s="1" t="s">
        <v>135</v>
      </c>
      <c r="B183" s="1" t="s">
        <v>136</v>
      </c>
      <c r="C183" s="1" t="s">
        <v>1060</v>
      </c>
      <c r="D183" s="1" t="s">
        <v>1056</v>
      </c>
      <c r="E183" s="1" t="s">
        <v>1041</v>
      </c>
      <c r="F183" s="6">
        <v>324994</v>
      </c>
      <c r="G183" s="6">
        <v>326522</v>
      </c>
      <c r="H183" s="6">
        <f t="shared" si="6"/>
        <v>-1528</v>
      </c>
      <c r="I183" s="7">
        <f t="shared" si="7"/>
        <v>-4.6796234250678359E-3</v>
      </c>
      <c r="J183" s="1" t="str">
        <f t="shared" si="8"/>
        <v>Flat</v>
      </c>
    </row>
    <row r="184" spans="1:10" x14ac:dyDescent="0.25">
      <c r="A184" s="1" t="s">
        <v>135</v>
      </c>
      <c r="B184" s="1" t="s">
        <v>136</v>
      </c>
      <c r="C184" s="1" t="s">
        <v>1060</v>
      </c>
      <c r="D184" s="1" t="s">
        <v>1056</v>
      </c>
      <c r="E184" s="1" t="s">
        <v>1042</v>
      </c>
      <c r="F184" s="6">
        <v>396533</v>
      </c>
      <c r="G184" s="6">
        <v>324994</v>
      </c>
      <c r="H184" s="6">
        <f t="shared" si="6"/>
        <v>71539</v>
      </c>
      <c r="I184" s="7">
        <f t="shared" si="7"/>
        <v>0.22012406382887068</v>
      </c>
      <c r="J184" s="1" t="str">
        <f t="shared" si="8"/>
        <v>Increase</v>
      </c>
    </row>
    <row r="185" spans="1:10" x14ac:dyDescent="0.25">
      <c r="A185" s="1" t="s">
        <v>135</v>
      </c>
      <c r="B185" s="1" t="s">
        <v>136</v>
      </c>
      <c r="C185" s="1" t="s">
        <v>1057</v>
      </c>
      <c r="D185" s="1" t="s">
        <v>1048</v>
      </c>
      <c r="E185" s="1" t="s">
        <v>1040</v>
      </c>
      <c r="F185" s="6">
        <v>219313</v>
      </c>
      <c r="G185" s="6">
        <v>179812</v>
      </c>
      <c r="H185" s="6">
        <f t="shared" si="6"/>
        <v>39501</v>
      </c>
      <c r="I185" s="7">
        <f t="shared" si="7"/>
        <v>0.21967944297377262</v>
      </c>
      <c r="J185" s="1" t="str">
        <f t="shared" si="8"/>
        <v>Increase</v>
      </c>
    </row>
    <row r="186" spans="1:10" x14ac:dyDescent="0.25">
      <c r="A186" s="1" t="s">
        <v>135</v>
      </c>
      <c r="B186" s="1" t="s">
        <v>136</v>
      </c>
      <c r="C186" s="1" t="s">
        <v>1057</v>
      </c>
      <c r="D186" s="1" t="s">
        <v>1048</v>
      </c>
      <c r="E186" s="1" t="s">
        <v>1041</v>
      </c>
      <c r="F186" s="6">
        <v>174606</v>
      </c>
      <c r="G186" s="6">
        <v>219313</v>
      </c>
      <c r="H186" s="6">
        <f t="shared" si="6"/>
        <v>-44707</v>
      </c>
      <c r="I186" s="7">
        <f t="shared" si="7"/>
        <v>-0.20385020495821041</v>
      </c>
      <c r="J186" s="1" t="str">
        <f t="shared" si="8"/>
        <v>Decrease</v>
      </c>
    </row>
    <row r="187" spans="1:10" x14ac:dyDescent="0.25">
      <c r="A187" s="1" t="s">
        <v>135</v>
      </c>
      <c r="B187" s="1" t="s">
        <v>136</v>
      </c>
      <c r="C187" s="1" t="s">
        <v>1057</v>
      </c>
      <c r="D187" s="1" t="s">
        <v>1048</v>
      </c>
      <c r="E187" s="1" t="s">
        <v>1042</v>
      </c>
      <c r="F187" s="6">
        <v>150942</v>
      </c>
      <c r="G187" s="6">
        <v>174606</v>
      </c>
      <c r="H187" s="6">
        <f t="shared" si="6"/>
        <v>-23664</v>
      </c>
      <c r="I187" s="7">
        <f t="shared" si="7"/>
        <v>-0.13552798872890967</v>
      </c>
      <c r="J187" s="1" t="str">
        <f t="shared" si="8"/>
        <v>Decrease</v>
      </c>
    </row>
    <row r="188" spans="1:10" x14ac:dyDescent="0.25">
      <c r="A188" s="1" t="s">
        <v>135</v>
      </c>
      <c r="B188" s="1" t="s">
        <v>136</v>
      </c>
      <c r="C188" s="1" t="s">
        <v>1052</v>
      </c>
      <c r="D188" s="1" t="s">
        <v>1039</v>
      </c>
      <c r="E188" s="1" t="s">
        <v>1040</v>
      </c>
      <c r="F188" s="6">
        <v>623598</v>
      </c>
      <c r="G188" s="6">
        <v>509153</v>
      </c>
      <c r="H188" s="6">
        <f t="shared" si="6"/>
        <v>114445</v>
      </c>
      <c r="I188" s="7">
        <f t="shared" si="7"/>
        <v>0.22477526401690651</v>
      </c>
      <c r="J188" s="1" t="str">
        <f t="shared" si="8"/>
        <v>Increase</v>
      </c>
    </row>
    <row r="189" spans="1:10" x14ac:dyDescent="0.25">
      <c r="A189" s="1" t="s">
        <v>135</v>
      </c>
      <c r="B189" s="1" t="s">
        <v>136</v>
      </c>
      <c r="C189" s="1" t="s">
        <v>1052</v>
      </c>
      <c r="D189" s="1" t="s">
        <v>1039</v>
      </c>
      <c r="E189" s="1" t="s">
        <v>1041</v>
      </c>
      <c r="F189" s="6">
        <v>993810</v>
      </c>
      <c r="G189" s="6">
        <v>623598</v>
      </c>
      <c r="H189" s="6">
        <f t="shared" si="6"/>
        <v>370212</v>
      </c>
      <c r="I189" s="7">
        <f t="shared" si="7"/>
        <v>0.59367092261360688</v>
      </c>
      <c r="J189" s="1" t="str">
        <f t="shared" si="8"/>
        <v>Increase</v>
      </c>
    </row>
    <row r="190" spans="1:10" x14ac:dyDescent="0.25">
      <c r="A190" s="1" t="s">
        <v>135</v>
      </c>
      <c r="B190" s="1" t="s">
        <v>136</v>
      </c>
      <c r="C190" s="1" t="s">
        <v>1052</v>
      </c>
      <c r="D190" s="1" t="s">
        <v>1039</v>
      </c>
      <c r="E190" s="1" t="s">
        <v>1042</v>
      </c>
      <c r="F190" s="6">
        <v>1585513</v>
      </c>
      <c r="G190" s="6">
        <v>993810</v>
      </c>
      <c r="H190" s="6">
        <f t="shared" si="6"/>
        <v>591703</v>
      </c>
      <c r="I190" s="7">
        <f t="shared" si="7"/>
        <v>0.59538845453356271</v>
      </c>
      <c r="J190" s="1" t="str">
        <f t="shared" si="8"/>
        <v>Increase</v>
      </c>
    </row>
    <row r="191" spans="1:10" x14ac:dyDescent="0.25">
      <c r="A191" s="1" t="s">
        <v>139</v>
      </c>
      <c r="B191" s="1" t="s">
        <v>140</v>
      </c>
      <c r="C191" s="1" t="s">
        <v>1038</v>
      </c>
      <c r="D191" s="1" t="s">
        <v>1039</v>
      </c>
      <c r="E191" s="1" t="s">
        <v>1040</v>
      </c>
      <c r="F191" s="6">
        <v>632302</v>
      </c>
      <c r="G191" s="6">
        <v>548010</v>
      </c>
      <c r="H191" s="6">
        <f t="shared" si="6"/>
        <v>84292</v>
      </c>
      <c r="I191" s="7">
        <f t="shared" si="7"/>
        <v>0.15381471141037573</v>
      </c>
      <c r="J191" s="1" t="str">
        <f t="shared" si="8"/>
        <v>Increase</v>
      </c>
    </row>
    <row r="192" spans="1:10" x14ac:dyDescent="0.25">
      <c r="A192" s="1" t="s">
        <v>139</v>
      </c>
      <c r="B192" s="1" t="s">
        <v>140</v>
      </c>
      <c r="C192" s="1" t="s">
        <v>1038</v>
      </c>
      <c r="D192" s="1" t="s">
        <v>1039</v>
      </c>
      <c r="E192" s="1" t="s">
        <v>1041</v>
      </c>
      <c r="F192" s="6">
        <v>769962</v>
      </c>
      <c r="G192" s="6">
        <v>632302</v>
      </c>
      <c r="H192" s="6">
        <f t="shared" si="6"/>
        <v>137660</v>
      </c>
      <c r="I192" s="7">
        <f t="shared" si="7"/>
        <v>0.21771242222861861</v>
      </c>
      <c r="J192" s="1" t="str">
        <f t="shared" si="8"/>
        <v>Increase</v>
      </c>
    </row>
    <row r="193" spans="1:10" x14ac:dyDescent="0.25">
      <c r="A193" s="1" t="s">
        <v>139</v>
      </c>
      <c r="B193" s="1" t="s">
        <v>140</v>
      </c>
      <c r="C193" s="1" t="s">
        <v>1038</v>
      </c>
      <c r="D193" s="1" t="s">
        <v>1039</v>
      </c>
      <c r="E193" s="1" t="s">
        <v>1042</v>
      </c>
      <c r="F193" s="6">
        <v>902329</v>
      </c>
      <c r="G193" s="6">
        <v>769962</v>
      </c>
      <c r="H193" s="6">
        <f t="shared" si="6"/>
        <v>132367</v>
      </c>
      <c r="I193" s="7">
        <f t="shared" si="7"/>
        <v>0.17191367885687864</v>
      </c>
      <c r="J193" s="1" t="str">
        <f t="shared" si="8"/>
        <v>Increase</v>
      </c>
    </row>
    <row r="194" spans="1:10" x14ac:dyDescent="0.25">
      <c r="A194" s="1" t="s">
        <v>139</v>
      </c>
      <c r="B194" s="1" t="s">
        <v>140</v>
      </c>
      <c r="C194" s="1" t="s">
        <v>1043</v>
      </c>
      <c r="D194" s="1" t="s">
        <v>1044</v>
      </c>
      <c r="E194" s="1" t="s">
        <v>1040</v>
      </c>
      <c r="F194" s="6">
        <v>81974</v>
      </c>
      <c r="G194" s="6">
        <v>65443</v>
      </c>
      <c r="H194" s="6">
        <f t="shared" ref="H194:H257" si="9">F194-G194</f>
        <v>16531</v>
      </c>
      <c r="I194" s="7">
        <f t="shared" ref="I194:I257" si="10">H194/G194</f>
        <v>0.25260150054245678</v>
      </c>
      <c r="J194" s="1" t="str">
        <f t="shared" ref="J194:J257" si="11">IF(I194&gt;0.02,"Increase",IF(I194&lt;-0.02,"Decrease","Flat"))</f>
        <v>Increase</v>
      </c>
    </row>
    <row r="195" spans="1:10" x14ac:dyDescent="0.25">
      <c r="A195" s="1" t="s">
        <v>139</v>
      </c>
      <c r="B195" s="1" t="s">
        <v>140</v>
      </c>
      <c r="C195" s="1" t="s">
        <v>1043</v>
      </c>
      <c r="D195" s="1" t="s">
        <v>1044</v>
      </c>
      <c r="E195" s="1" t="s">
        <v>1041</v>
      </c>
      <c r="F195" s="6">
        <v>80622</v>
      </c>
      <c r="G195" s="6">
        <v>81974</v>
      </c>
      <c r="H195" s="6">
        <f t="shared" si="9"/>
        <v>-1352</v>
      </c>
      <c r="I195" s="7">
        <f t="shared" si="10"/>
        <v>-1.6493034376753604E-2</v>
      </c>
      <c r="J195" s="1" t="str">
        <f t="shared" si="11"/>
        <v>Flat</v>
      </c>
    </row>
    <row r="196" spans="1:10" x14ac:dyDescent="0.25">
      <c r="A196" s="1" t="s">
        <v>139</v>
      </c>
      <c r="B196" s="1" t="s">
        <v>140</v>
      </c>
      <c r="C196" s="1" t="s">
        <v>1043</v>
      </c>
      <c r="D196" s="1" t="s">
        <v>1044</v>
      </c>
      <c r="E196" s="1" t="s">
        <v>1042</v>
      </c>
      <c r="F196" s="6">
        <v>83231</v>
      </c>
      <c r="G196" s="6">
        <v>80622</v>
      </c>
      <c r="H196" s="6">
        <f t="shared" si="9"/>
        <v>2609</v>
      </c>
      <c r="I196" s="7">
        <f t="shared" si="10"/>
        <v>3.2360894048770808E-2</v>
      </c>
      <c r="J196" s="1" t="str">
        <f t="shared" si="11"/>
        <v>Increase</v>
      </c>
    </row>
    <row r="197" spans="1:10" x14ac:dyDescent="0.25">
      <c r="A197" s="1" t="s">
        <v>139</v>
      </c>
      <c r="B197" s="1" t="s">
        <v>140</v>
      </c>
      <c r="C197" s="1" t="s">
        <v>1045</v>
      </c>
      <c r="D197" s="1" t="s">
        <v>1046</v>
      </c>
      <c r="E197" s="1" t="s">
        <v>1040</v>
      </c>
      <c r="F197" s="6">
        <v>45135</v>
      </c>
      <c r="G197" s="6">
        <v>41291</v>
      </c>
      <c r="H197" s="6">
        <f t="shared" si="9"/>
        <v>3844</v>
      </c>
      <c r="I197" s="7">
        <f t="shared" si="10"/>
        <v>9.3095347654452543E-2</v>
      </c>
      <c r="J197" s="1" t="str">
        <f t="shared" si="11"/>
        <v>Increase</v>
      </c>
    </row>
    <row r="198" spans="1:10" x14ac:dyDescent="0.25">
      <c r="A198" s="1" t="s">
        <v>139</v>
      </c>
      <c r="B198" s="1" t="s">
        <v>140</v>
      </c>
      <c r="C198" s="1" t="s">
        <v>1045</v>
      </c>
      <c r="D198" s="1" t="s">
        <v>1046</v>
      </c>
      <c r="E198" s="1" t="s">
        <v>1041</v>
      </c>
      <c r="F198" s="6">
        <v>44617</v>
      </c>
      <c r="G198" s="6">
        <v>45135</v>
      </c>
      <c r="H198" s="6">
        <f t="shared" si="9"/>
        <v>-518</v>
      </c>
      <c r="I198" s="7">
        <f t="shared" si="10"/>
        <v>-1.1476681067907389E-2</v>
      </c>
      <c r="J198" s="1" t="str">
        <f t="shared" si="11"/>
        <v>Flat</v>
      </c>
    </row>
    <row r="199" spans="1:10" x14ac:dyDescent="0.25">
      <c r="A199" s="1" t="s">
        <v>139</v>
      </c>
      <c r="B199" s="1" t="s">
        <v>140</v>
      </c>
      <c r="C199" s="1" t="s">
        <v>1045</v>
      </c>
      <c r="D199" s="1" t="s">
        <v>1046</v>
      </c>
      <c r="E199" s="1" t="s">
        <v>1042</v>
      </c>
      <c r="F199" s="6">
        <v>48486</v>
      </c>
      <c r="G199" s="6">
        <v>44617</v>
      </c>
      <c r="H199" s="6">
        <f t="shared" si="9"/>
        <v>3869</v>
      </c>
      <c r="I199" s="7">
        <f t="shared" si="10"/>
        <v>8.6715825806307018E-2</v>
      </c>
      <c r="J199" s="1" t="str">
        <f t="shared" si="11"/>
        <v>Increase</v>
      </c>
    </row>
    <row r="200" spans="1:10" x14ac:dyDescent="0.25">
      <c r="A200" s="1" t="s">
        <v>139</v>
      </c>
      <c r="B200" s="1" t="s">
        <v>140</v>
      </c>
      <c r="C200" s="1" t="s">
        <v>1047</v>
      </c>
      <c r="D200" s="1" t="s">
        <v>1048</v>
      </c>
      <c r="E200" s="1" t="s">
        <v>1040</v>
      </c>
      <c r="F200" s="6">
        <v>36878</v>
      </c>
      <c r="G200" s="6">
        <v>28418</v>
      </c>
      <c r="H200" s="6">
        <f t="shared" si="9"/>
        <v>8460</v>
      </c>
      <c r="I200" s="7">
        <f t="shared" si="10"/>
        <v>0.297698641705961</v>
      </c>
      <c r="J200" s="1" t="str">
        <f t="shared" si="11"/>
        <v>Increase</v>
      </c>
    </row>
    <row r="201" spans="1:10" x14ac:dyDescent="0.25">
      <c r="A201" s="1" t="s">
        <v>139</v>
      </c>
      <c r="B201" s="1" t="s">
        <v>140</v>
      </c>
      <c r="C201" s="1" t="s">
        <v>1047</v>
      </c>
      <c r="D201" s="1" t="s">
        <v>1048</v>
      </c>
      <c r="E201" s="1" t="s">
        <v>1041</v>
      </c>
      <c r="F201" s="6">
        <v>39643</v>
      </c>
      <c r="G201" s="6">
        <v>36878</v>
      </c>
      <c r="H201" s="6">
        <f t="shared" si="9"/>
        <v>2765</v>
      </c>
      <c r="I201" s="7">
        <f t="shared" si="10"/>
        <v>7.4976951027712999E-2</v>
      </c>
      <c r="J201" s="1" t="str">
        <f t="shared" si="11"/>
        <v>Increase</v>
      </c>
    </row>
    <row r="202" spans="1:10" x14ac:dyDescent="0.25">
      <c r="A202" s="1" t="s">
        <v>139</v>
      </c>
      <c r="B202" s="1" t="s">
        <v>140</v>
      </c>
      <c r="C202" s="1" t="s">
        <v>1047</v>
      </c>
      <c r="D202" s="1" t="s">
        <v>1048</v>
      </c>
      <c r="E202" s="1" t="s">
        <v>1042</v>
      </c>
      <c r="F202" s="6">
        <v>42092</v>
      </c>
      <c r="G202" s="6">
        <v>39643</v>
      </c>
      <c r="H202" s="6">
        <f t="shared" si="9"/>
        <v>2449</v>
      </c>
      <c r="I202" s="7">
        <f t="shared" si="10"/>
        <v>6.1776353959084832E-2</v>
      </c>
      <c r="J202" s="1" t="str">
        <f t="shared" si="11"/>
        <v>Increase</v>
      </c>
    </row>
    <row r="203" spans="1:10" x14ac:dyDescent="0.25">
      <c r="A203" s="1" t="s">
        <v>139</v>
      </c>
      <c r="B203" s="1" t="s">
        <v>140</v>
      </c>
      <c r="C203" s="1" t="s">
        <v>1049</v>
      </c>
      <c r="D203" s="1" t="s">
        <v>1048</v>
      </c>
      <c r="E203" s="1" t="s">
        <v>1040</v>
      </c>
      <c r="F203" s="6">
        <v>59819</v>
      </c>
      <c r="G203" s="6">
        <v>58524</v>
      </c>
      <c r="H203" s="6">
        <f t="shared" si="9"/>
        <v>1295</v>
      </c>
      <c r="I203" s="7">
        <f t="shared" si="10"/>
        <v>2.2127674116601735E-2</v>
      </c>
      <c r="J203" s="1" t="str">
        <f t="shared" si="11"/>
        <v>Increase</v>
      </c>
    </row>
    <row r="204" spans="1:10" x14ac:dyDescent="0.25">
      <c r="A204" s="1" t="s">
        <v>139</v>
      </c>
      <c r="B204" s="1" t="s">
        <v>140</v>
      </c>
      <c r="C204" s="1" t="s">
        <v>1049</v>
      </c>
      <c r="D204" s="1" t="s">
        <v>1048</v>
      </c>
      <c r="E204" s="1" t="s">
        <v>1041</v>
      </c>
      <c r="F204" s="6">
        <v>61645</v>
      </c>
      <c r="G204" s="6">
        <v>59819</v>
      </c>
      <c r="H204" s="6">
        <f t="shared" si="9"/>
        <v>1826</v>
      </c>
      <c r="I204" s="7">
        <f t="shared" si="10"/>
        <v>3.0525418345341782E-2</v>
      </c>
      <c r="J204" s="1" t="str">
        <f t="shared" si="11"/>
        <v>Increase</v>
      </c>
    </row>
    <row r="205" spans="1:10" x14ac:dyDescent="0.25">
      <c r="A205" s="1" t="s">
        <v>139</v>
      </c>
      <c r="B205" s="1" t="s">
        <v>140</v>
      </c>
      <c r="C205" s="1" t="s">
        <v>1049</v>
      </c>
      <c r="D205" s="1" t="s">
        <v>1048</v>
      </c>
      <c r="E205" s="1" t="s">
        <v>1042</v>
      </c>
      <c r="F205" s="6">
        <v>65069</v>
      </c>
      <c r="G205" s="6">
        <v>61645</v>
      </c>
      <c r="H205" s="6">
        <f t="shared" si="9"/>
        <v>3424</v>
      </c>
      <c r="I205" s="7">
        <f t="shared" si="10"/>
        <v>5.5543839727471817E-2</v>
      </c>
      <c r="J205" s="1" t="str">
        <f t="shared" si="11"/>
        <v>Increase</v>
      </c>
    </row>
    <row r="206" spans="1:10" x14ac:dyDescent="0.25">
      <c r="A206" s="1" t="s">
        <v>139</v>
      </c>
      <c r="B206" s="1" t="s">
        <v>140</v>
      </c>
      <c r="C206" s="1" t="s">
        <v>1061</v>
      </c>
      <c r="D206" s="1" t="s">
        <v>1062</v>
      </c>
      <c r="E206" s="1" t="s">
        <v>1040</v>
      </c>
      <c r="F206" s="6">
        <v>24477</v>
      </c>
      <c r="G206" s="6">
        <v>22345</v>
      </c>
      <c r="H206" s="6">
        <f t="shared" si="9"/>
        <v>2132</v>
      </c>
      <c r="I206" s="7">
        <f t="shared" si="10"/>
        <v>9.5412844036697253E-2</v>
      </c>
      <c r="J206" s="1" t="str">
        <f t="shared" si="11"/>
        <v>Increase</v>
      </c>
    </row>
    <row r="207" spans="1:10" x14ac:dyDescent="0.25">
      <c r="A207" s="1" t="s">
        <v>139</v>
      </c>
      <c r="B207" s="1" t="s">
        <v>140</v>
      </c>
      <c r="C207" s="1" t="s">
        <v>1061</v>
      </c>
      <c r="D207" s="1" t="s">
        <v>1062</v>
      </c>
      <c r="E207" s="1" t="s">
        <v>1041</v>
      </c>
      <c r="F207" s="6">
        <v>78447</v>
      </c>
      <c r="G207" s="6">
        <v>24477</v>
      </c>
      <c r="H207" s="6">
        <f t="shared" si="9"/>
        <v>53970</v>
      </c>
      <c r="I207" s="7">
        <f t="shared" si="10"/>
        <v>2.2049270743963723</v>
      </c>
      <c r="J207" s="1" t="str">
        <f t="shared" si="11"/>
        <v>Increase</v>
      </c>
    </row>
    <row r="208" spans="1:10" x14ac:dyDescent="0.25">
      <c r="A208" s="1" t="s">
        <v>139</v>
      </c>
      <c r="B208" s="1" t="s">
        <v>140</v>
      </c>
      <c r="C208" s="1" t="s">
        <v>1061</v>
      </c>
      <c r="D208" s="1" t="s">
        <v>1062</v>
      </c>
      <c r="E208" s="1" t="s">
        <v>1042</v>
      </c>
      <c r="F208" s="6">
        <v>238632</v>
      </c>
      <c r="G208" s="6">
        <v>78447</v>
      </c>
      <c r="H208" s="6">
        <f t="shared" si="9"/>
        <v>160185</v>
      </c>
      <c r="I208" s="7">
        <f t="shared" si="10"/>
        <v>2.0419518910857013</v>
      </c>
      <c r="J208" s="1" t="str">
        <f t="shared" si="11"/>
        <v>Increase</v>
      </c>
    </row>
    <row r="209" spans="1:10" x14ac:dyDescent="0.25">
      <c r="A209" s="1" t="s">
        <v>139</v>
      </c>
      <c r="B209" s="1" t="s">
        <v>140</v>
      </c>
      <c r="C209" s="1" t="s">
        <v>1058</v>
      </c>
      <c r="D209" s="1" t="s">
        <v>1039</v>
      </c>
      <c r="E209" s="1" t="s">
        <v>1040</v>
      </c>
      <c r="F209" s="6">
        <v>46878</v>
      </c>
      <c r="G209" s="6">
        <v>42271</v>
      </c>
      <c r="H209" s="6">
        <f t="shared" si="9"/>
        <v>4607</v>
      </c>
      <c r="I209" s="7">
        <f t="shared" si="10"/>
        <v>0.10898724894135459</v>
      </c>
      <c r="J209" s="1" t="str">
        <f t="shared" si="11"/>
        <v>Increase</v>
      </c>
    </row>
    <row r="210" spans="1:10" x14ac:dyDescent="0.25">
      <c r="A210" s="1" t="s">
        <v>139</v>
      </c>
      <c r="B210" s="1" t="s">
        <v>140</v>
      </c>
      <c r="C210" s="1" t="s">
        <v>1058</v>
      </c>
      <c r="D210" s="1" t="s">
        <v>1039</v>
      </c>
      <c r="E210" s="1" t="s">
        <v>1041</v>
      </c>
      <c r="F210" s="6">
        <v>50169</v>
      </c>
      <c r="G210" s="6">
        <v>46878</v>
      </c>
      <c r="H210" s="6">
        <f t="shared" si="9"/>
        <v>3291</v>
      </c>
      <c r="I210" s="7">
        <f t="shared" si="10"/>
        <v>7.0203506975553567E-2</v>
      </c>
      <c r="J210" s="1" t="str">
        <f t="shared" si="11"/>
        <v>Increase</v>
      </c>
    </row>
    <row r="211" spans="1:10" x14ac:dyDescent="0.25">
      <c r="A211" s="1" t="s">
        <v>139</v>
      </c>
      <c r="B211" s="1" t="s">
        <v>140</v>
      </c>
      <c r="C211" s="1" t="s">
        <v>1058</v>
      </c>
      <c r="D211" s="1" t="s">
        <v>1039</v>
      </c>
      <c r="E211" s="1" t="s">
        <v>1042</v>
      </c>
      <c r="F211" s="6">
        <v>54119</v>
      </c>
      <c r="G211" s="6">
        <v>50169</v>
      </c>
      <c r="H211" s="6">
        <f t="shared" si="9"/>
        <v>3950</v>
      </c>
      <c r="I211" s="7">
        <f t="shared" si="10"/>
        <v>7.873387948733282E-2</v>
      </c>
      <c r="J211" s="1" t="str">
        <f t="shared" si="11"/>
        <v>Increase</v>
      </c>
    </row>
    <row r="212" spans="1:10" x14ac:dyDescent="0.25">
      <c r="A212" s="1" t="s">
        <v>139</v>
      </c>
      <c r="B212" s="1" t="s">
        <v>140</v>
      </c>
      <c r="C212" s="1" t="s">
        <v>1059</v>
      </c>
      <c r="D212" s="1" t="s">
        <v>1039</v>
      </c>
      <c r="E212" s="1" t="s">
        <v>1040</v>
      </c>
      <c r="F212" s="6">
        <v>65068</v>
      </c>
      <c r="G212" s="6">
        <v>53437</v>
      </c>
      <c r="H212" s="6">
        <f t="shared" si="9"/>
        <v>11631</v>
      </c>
      <c r="I212" s="7">
        <f t="shared" si="10"/>
        <v>0.21765817691861444</v>
      </c>
      <c r="J212" s="1" t="str">
        <f t="shared" si="11"/>
        <v>Increase</v>
      </c>
    </row>
    <row r="213" spans="1:10" x14ac:dyDescent="0.25">
      <c r="A213" s="1" t="s">
        <v>139</v>
      </c>
      <c r="B213" s="1" t="s">
        <v>140</v>
      </c>
      <c r="C213" s="1" t="s">
        <v>1059</v>
      </c>
      <c r="D213" s="1" t="s">
        <v>1039</v>
      </c>
      <c r="E213" s="1" t="s">
        <v>1041</v>
      </c>
      <c r="F213" s="6">
        <v>45220</v>
      </c>
      <c r="G213" s="6">
        <v>65068</v>
      </c>
      <c r="H213" s="6">
        <f t="shared" si="9"/>
        <v>-19848</v>
      </c>
      <c r="I213" s="7">
        <f t="shared" si="10"/>
        <v>-0.30503473289481775</v>
      </c>
      <c r="J213" s="1" t="str">
        <f t="shared" si="11"/>
        <v>Decrease</v>
      </c>
    </row>
    <row r="214" spans="1:10" x14ac:dyDescent="0.25">
      <c r="A214" s="1" t="s">
        <v>139</v>
      </c>
      <c r="B214" s="1" t="s">
        <v>140</v>
      </c>
      <c r="C214" s="1" t="s">
        <v>1059</v>
      </c>
      <c r="D214" s="1" t="s">
        <v>1039</v>
      </c>
      <c r="E214" s="1" t="s">
        <v>1042</v>
      </c>
      <c r="F214" s="6">
        <v>36128</v>
      </c>
      <c r="G214" s="6">
        <v>45220</v>
      </c>
      <c r="H214" s="6">
        <f t="shared" si="9"/>
        <v>-9092</v>
      </c>
      <c r="I214" s="7">
        <f t="shared" si="10"/>
        <v>-0.20106147722246792</v>
      </c>
      <c r="J214" s="1" t="str">
        <f t="shared" si="11"/>
        <v>Decrease</v>
      </c>
    </row>
    <row r="215" spans="1:10" x14ac:dyDescent="0.25">
      <c r="A215" s="1" t="s">
        <v>139</v>
      </c>
      <c r="B215" s="1" t="s">
        <v>140</v>
      </c>
      <c r="C215" s="1" t="s">
        <v>1065</v>
      </c>
      <c r="D215" s="1" t="s">
        <v>1056</v>
      </c>
      <c r="E215" s="1" t="s">
        <v>1040</v>
      </c>
      <c r="F215" s="6">
        <v>54165</v>
      </c>
      <c r="G215" s="6">
        <v>45067</v>
      </c>
      <c r="H215" s="6">
        <f t="shared" si="9"/>
        <v>9098</v>
      </c>
      <c r="I215" s="7">
        <f t="shared" si="10"/>
        <v>0.2018772050502585</v>
      </c>
      <c r="J215" s="1" t="str">
        <f t="shared" si="11"/>
        <v>Increase</v>
      </c>
    </row>
    <row r="216" spans="1:10" x14ac:dyDescent="0.25">
      <c r="A216" s="1" t="s">
        <v>139</v>
      </c>
      <c r="B216" s="1" t="s">
        <v>140</v>
      </c>
      <c r="C216" s="1" t="s">
        <v>1065</v>
      </c>
      <c r="D216" s="1" t="s">
        <v>1056</v>
      </c>
      <c r="E216" s="1" t="s">
        <v>1041</v>
      </c>
      <c r="F216" s="6">
        <v>53568</v>
      </c>
      <c r="G216" s="6">
        <v>54165</v>
      </c>
      <c r="H216" s="6">
        <f t="shared" si="9"/>
        <v>-597</v>
      </c>
      <c r="I216" s="7">
        <f t="shared" si="10"/>
        <v>-1.102187759623373E-2</v>
      </c>
      <c r="J216" s="1" t="str">
        <f t="shared" si="11"/>
        <v>Flat</v>
      </c>
    </row>
    <row r="217" spans="1:10" x14ac:dyDescent="0.25">
      <c r="A217" s="1" t="s">
        <v>139</v>
      </c>
      <c r="B217" s="1" t="s">
        <v>140</v>
      </c>
      <c r="C217" s="1" t="s">
        <v>1065</v>
      </c>
      <c r="D217" s="1" t="s">
        <v>1056</v>
      </c>
      <c r="E217" s="1" t="s">
        <v>1042</v>
      </c>
      <c r="F217" s="6">
        <v>55753</v>
      </c>
      <c r="G217" s="6">
        <v>53568</v>
      </c>
      <c r="H217" s="6">
        <f t="shared" si="9"/>
        <v>2185</v>
      </c>
      <c r="I217" s="7">
        <f t="shared" si="10"/>
        <v>4.078927718040621E-2</v>
      </c>
      <c r="J217" s="1" t="str">
        <f t="shared" si="11"/>
        <v>Increase</v>
      </c>
    </row>
    <row r="218" spans="1:10" x14ac:dyDescent="0.25">
      <c r="A218" s="1" t="s">
        <v>139</v>
      </c>
      <c r="B218" s="1" t="s">
        <v>140</v>
      </c>
      <c r="C218" s="1" t="s">
        <v>1050</v>
      </c>
      <c r="D218" s="1" t="s">
        <v>1051</v>
      </c>
      <c r="E218" s="1" t="s">
        <v>1040</v>
      </c>
      <c r="F218" s="6">
        <v>40015</v>
      </c>
      <c r="G218" s="6">
        <v>39215</v>
      </c>
      <c r="H218" s="6">
        <f t="shared" si="9"/>
        <v>800</v>
      </c>
      <c r="I218" s="7">
        <f t="shared" si="10"/>
        <v>2.0400357006247611E-2</v>
      </c>
      <c r="J218" s="1" t="str">
        <f t="shared" si="11"/>
        <v>Increase</v>
      </c>
    </row>
    <row r="219" spans="1:10" x14ac:dyDescent="0.25">
      <c r="A219" s="1" t="s">
        <v>139</v>
      </c>
      <c r="B219" s="1" t="s">
        <v>140</v>
      </c>
      <c r="C219" s="1" t="s">
        <v>1050</v>
      </c>
      <c r="D219" s="1" t="s">
        <v>1051</v>
      </c>
      <c r="E219" s="1" t="s">
        <v>1041</v>
      </c>
      <c r="F219" s="6">
        <v>41282</v>
      </c>
      <c r="G219" s="6">
        <v>40015</v>
      </c>
      <c r="H219" s="6">
        <f t="shared" si="9"/>
        <v>1267</v>
      </c>
      <c r="I219" s="7">
        <f t="shared" si="10"/>
        <v>3.166312632762714E-2</v>
      </c>
      <c r="J219" s="1" t="str">
        <f t="shared" si="11"/>
        <v>Increase</v>
      </c>
    </row>
    <row r="220" spans="1:10" x14ac:dyDescent="0.25">
      <c r="A220" s="1" t="s">
        <v>139</v>
      </c>
      <c r="B220" s="1" t="s">
        <v>140</v>
      </c>
      <c r="C220" s="1" t="s">
        <v>1050</v>
      </c>
      <c r="D220" s="1" t="s">
        <v>1051</v>
      </c>
      <c r="E220" s="1" t="s">
        <v>1042</v>
      </c>
      <c r="F220" s="6">
        <v>42583</v>
      </c>
      <c r="G220" s="6">
        <v>41282</v>
      </c>
      <c r="H220" s="6">
        <f t="shared" si="9"/>
        <v>1301</v>
      </c>
      <c r="I220" s="7">
        <f t="shared" si="10"/>
        <v>3.1514945981299357E-2</v>
      </c>
      <c r="J220" s="1" t="str">
        <f t="shared" si="11"/>
        <v>Increase</v>
      </c>
    </row>
    <row r="221" spans="1:10" x14ac:dyDescent="0.25">
      <c r="A221" s="1" t="s">
        <v>144</v>
      </c>
      <c r="B221" s="1" t="s">
        <v>145</v>
      </c>
      <c r="C221" s="1" t="s">
        <v>1038</v>
      </c>
      <c r="D221" s="1" t="s">
        <v>1039</v>
      </c>
      <c r="E221" s="1" t="s">
        <v>1040</v>
      </c>
      <c r="F221" s="6">
        <v>919165</v>
      </c>
      <c r="G221" s="6">
        <v>734939</v>
      </c>
      <c r="H221" s="6">
        <f t="shared" si="9"/>
        <v>184226</v>
      </c>
      <c r="I221" s="7">
        <f t="shared" si="10"/>
        <v>0.25066842282148588</v>
      </c>
      <c r="J221" s="1" t="str">
        <f t="shared" si="11"/>
        <v>Increase</v>
      </c>
    </row>
    <row r="222" spans="1:10" x14ac:dyDescent="0.25">
      <c r="A222" s="1" t="s">
        <v>144</v>
      </c>
      <c r="B222" s="1" t="s">
        <v>145</v>
      </c>
      <c r="C222" s="1" t="s">
        <v>1038</v>
      </c>
      <c r="D222" s="1" t="s">
        <v>1039</v>
      </c>
      <c r="E222" s="1" t="s">
        <v>1041</v>
      </c>
      <c r="F222" s="6">
        <v>1093425</v>
      </c>
      <c r="G222" s="6">
        <v>919165</v>
      </c>
      <c r="H222" s="6">
        <f t="shared" si="9"/>
        <v>174260</v>
      </c>
      <c r="I222" s="7">
        <f t="shared" si="10"/>
        <v>0.18958511257500013</v>
      </c>
      <c r="J222" s="1" t="str">
        <f t="shared" si="11"/>
        <v>Increase</v>
      </c>
    </row>
    <row r="223" spans="1:10" x14ac:dyDescent="0.25">
      <c r="A223" s="1" t="s">
        <v>144</v>
      </c>
      <c r="B223" s="1" t="s">
        <v>145</v>
      </c>
      <c r="C223" s="1" t="s">
        <v>1038</v>
      </c>
      <c r="D223" s="1" t="s">
        <v>1039</v>
      </c>
      <c r="E223" s="1" t="s">
        <v>1042</v>
      </c>
      <c r="F223" s="6">
        <v>992012</v>
      </c>
      <c r="G223" s="6">
        <v>1093425</v>
      </c>
      <c r="H223" s="6">
        <f t="shared" si="9"/>
        <v>-101413</v>
      </c>
      <c r="I223" s="7">
        <f t="shared" si="10"/>
        <v>-9.2748016553490187E-2</v>
      </c>
      <c r="J223" s="1" t="str">
        <f t="shared" si="11"/>
        <v>Decrease</v>
      </c>
    </row>
    <row r="224" spans="1:10" x14ac:dyDescent="0.25">
      <c r="A224" s="1" t="s">
        <v>144</v>
      </c>
      <c r="B224" s="1" t="s">
        <v>145</v>
      </c>
      <c r="C224" s="1" t="s">
        <v>1043</v>
      </c>
      <c r="D224" s="1" t="s">
        <v>1044</v>
      </c>
      <c r="E224" s="1" t="s">
        <v>1040</v>
      </c>
      <c r="F224" s="6">
        <v>314365</v>
      </c>
      <c r="G224" s="6">
        <v>276654</v>
      </c>
      <c r="H224" s="6">
        <f t="shared" si="9"/>
        <v>37711</v>
      </c>
      <c r="I224" s="7">
        <f t="shared" si="10"/>
        <v>0.13631106002443485</v>
      </c>
      <c r="J224" s="1" t="str">
        <f t="shared" si="11"/>
        <v>Increase</v>
      </c>
    </row>
    <row r="225" spans="1:10" x14ac:dyDescent="0.25">
      <c r="A225" s="1" t="s">
        <v>144</v>
      </c>
      <c r="B225" s="1" t="s">
        <v>145</v>
      </c>
      <c r="C225" s="1" t="s">
        <v>1043</v>
      </c>
      <c r="D225" s="1" t="s">
        <v>1044</v>
      </c>
      <c r="E225" s="1" t="s">
        <v>1041</v>
      </c>
      <c r="F225" s="6">
        <v>339320</v>
      </c>
      <c r="G225" s="6">
        <v>314365</v>
      </c>
      <c r="H225" s="6">
        <f t="shared" si="9"/>
        <v>24955</v>
      </c>
      <c r="I225" s="7">
        <f t="shared" si="10"/>
        <v>7.9382246751387719E-2</v>
      </c>
      <c r="J225" s="1" t="str">
        <f t="shared" si="11"/>
        <v>Increase</v>
      </c>
    </row>
    <row r="226" spans="1:10" x14ac:dyDescent="0.25">
      <c r="A226" s="1" t="s">
        <v>144</v>
      </c>
      <c r="B226" s="1" t="s">
        <v>145</v>
      </c>
      <c r="C226" s="1" t="s">
        <v>1043</v>
      </c>
      <c r="D226" s="1" t="s">
        <v>1044</v>
      </c>
      <c r="E226" s="1" t="s">
        <v>1042</v>
      </c>
      <c r="F226" s="6">
        <v>421443</v>
      </c>
      <c r="G226" s="6">
        <v>339320</v>
      </c>
      <c r="H226" s="6">
        <f t="shared" si="9"/>
        <v>82123</v>
      </c>
      <c r="I226" s="7">
        <f t="shared" si="10"/>
        <v>0.2420222798538253</v>
      </c>
      <c r="J226" s="1" t="str">
        <f t="shared" si="11"/>
        <v>Increase</v>
      </c>
    </row>
    <row r="227" spans="1:10" x14ac:dyDescent="0.25">
      <c r="A227" s="1" t="s">
        <v>144</v>
      </c>
      <c r="B227" s="1" t="s">
        <v>145</v>
      </c>
      <c r="C227" s="1" t="s">
        <v>1045</v>
      </c>
      <c r="D227" s="1" t="s">
        <v>1046</v>
      </c>
      <c r="E227" s="1" t="s">
        <v>1040</v>
      </c>
      <c r="F227" s="6">
        <v>44374</v>
      </c>
      <c r="G227" s="6">
        <v>40933</v>
      </c>
      <c r="H227" s="6">
        <f t="shared" si="9"/>
        <v>3441</v>
      </c>
      <c r="I227" s="7">
        <f t="shared" si="10"/>
        <v>8.4064202477218866E-2</v>
      </c>
      <c r="J227" s="1" t="str">
        <f t="shared" si="11"/>
        <v>Increase</v>
      </c>
    </row>
    <row r="228" spans="1:10" x14ac:dyDescent="0.25">
      <c r="A228" s="1" t="s">
        <v>144</v>
      </c>
      <c r="B228" s="1" t="s">
        <v>145</v>
      </c>
      <c r="C228" s="1" t="s">
        <v>1045</v>
      </c>
      <c r="D228" s="1" t="s">
        <v>1046</v>
      </c>
      <c r="E228" s="1" t="s">
        <v>1041</v>
      </c>
      <c r="F228" s="6">
        <v>54385</v>
      </c>
      <c r="G228" s="6">
        <v>44374</v>
      </c>
      <c r="H228" s="6">
        <f t="shared" si="9"/>
        <v>10011</v>
      </c>
      <c r="I228" s="7">
        <f t="shared" si="10"/>
        <v>0.22560508405823229</v>
      </c>
      <c r="J228" s="1" t="str">
        <f t="shared" si="11"/>
        <v>Increase</v>
      </c>
    </row>
    <row r="229" spans="1:10" x14ac:dyDescent="0.25">
      <c r="A229" s="1" t="s">
        <v>144</v>
      </c>
      <c r="B229" s="1" t="s">
        <v>145</v>
      </c>
      <c r="C229" s="1" t="s">
        <v>1045</v>
      </c>
      <c r="D229" s="1" t="s">
        <v>1046</v>
      </c>
      <c r="E229" s="1" t="s">
        <v>1042</v>
      </c>
      <c r="F229" s="6">
        <v>54673</v>
      </c>
      <c r="G229" s="6">
        <v>54385</v>
      </c>
      <c r="H229" s="6">
        <f t="shared" si="9"/>
        <v>288</v>
      </c>
      <c r="I229" s="7">
        <f t="shared" si="10"/>
        <v>5.2955778247678591E-3</v>
      </c>
      <c r="J229" s="1" t="str">
        <f t="shared" si="11"/>
        <v>Flat</v>
      </c>
    </row>
    <row r="230" spans="1:10" x14ac:dyDescent="0.25">
      <c r="A230" s="1" t="s">
        <v>144</v>
      </c>
      <c r="B230" s="1" t="s">
        <v>145</v>
      </c>
      <c r="C230" s="1" t="s">
        <v>1047</v>
      </c>
      <c r="D230" s="1" t="s">
        <v>1048</v>
      </c>
      <c r="E230" s="1" t="s">
        <v>1040</v>
      </c>
      <c r="F230" s="6">
        <v>140625</v>
      </c>
      <c r="G230" s="6">
        <v>135107</v>
      </c>
      <c r="H230" s="6">
        <f t="shared" si="9"/>
        <v>5518</v>
      </c>
      <c r="I230" s="7">
        <f t="shared" si="10"/>
        <v>4.0841703242615116E-2</v>
      </c>
      <c r="J230" s="1" t="str">
        <f t="shared" si="11"/>
        <v>Increase</v>
      </c>
    </row>
    <row r="231" spans="1:10" x14ac:dyDescent="0.25">
      <c r="A231" s="1" t="s">
        <v>144</v>
      </c>
      <c r="B231" s="1" t="s">
        <v>145</v>
      </c>
      <c r="C231" s="1" t="s">
        <v>1047</v>
      </c>
      <c r="D231" s="1" t="s">
        <v>1048</v>
      </c>
      <c r="E231" s="1" t="s">
        <v>1041</v>
      </c>
      <c r="F231" s="6">
        <v>169070</v>
      </c>
      <c r="G231" s="6">
        <v>140625</v>
      </c>
      <c r="H231" s="6">
        <f t="shared" si="9"/>
        <v>28445</v>
      </c>
      <c r="I231" s="7">
        <f t="shared" si="10"/>
        <v>0.20227555555555554</v>
      </c>
      <c r="J231" s="1" t="str">
        <f t="shared" si="11"/>
        <v>Increase</v>
      </c>
    </row>
    <row r="232" spans="1:10" x14ac:dyDescent="0.25">
      <c r="A232" s="1" t="s">
        <v>144</v>
      </c>
      <c r="B232" s="1" t="s">
        <v>145</v>
      </c>
      <c r="C232" s="1" t="s">
        <v>1047</v>
      </c>
      <c r="D232" s="1" t="s">
        <v>1048</v>
      </c>
      <c r="E232" s="1" t="s">
        <v>1042</v>
      </c>
      <c r="F232" s="6">
        <v>203384</v>
      </c>
      <c r="G232" s="6">
        <v>169070</v>
      </c>
      <c r="H232" s="6">
        <f t="shared" si="9"/>
        <v>34314</v>
      </c>
      <c r="I232" s="7">
        <f t="shared" si="10"/>
        <v>0.20295735494174011</v>
      </c>
      <c r="J232" s="1" t="str">
        <f t="shared" si="11"/>
        <v>Increase</v>
      </c>
    </row>
    <row r="233" spans="1:10" x14ac:dyDescent="0.25">
      <c r="A233" s="1" t="s">
        <v>144</v>
      </c>
      <c r="B233" s="1" t="s">
        <v>145</v>
      </c>
      <c r="C233" s="1" t="s">
        <v>1049</v>
      </c>
      <c r="D233" s="1" t="s">
        <v>1048</v>
      </c>
      <c r="E233" s="1" t="s">
        <v>1040</v>
      </c>
      <c r="F233" s="6">
        <v>41877</v>
      </c>
      <c r="G233" s="6">
        <v>38307</v>
      </c>
      <c r="H233" s="6">
        <f t="shared" si="9"/>
        <v>3570</v>
      </c>
      <c r="I233" s="7">
        <f t="shared" si="10"/>
        <v>9.3194455321481712E-2</v>
      </c>
      <c r="J233" s="1" t="str">
        <f t="shared" si="11"/>
        <v>Increase</v>
      </c>
    </row>
    <row r="234" spans="1:10" x14ac:dyDescent="0.25">
      <c r="A234" s="1" t="s">
        <v>144</v>
      </c>
      <c r="B234" s="1" t="s">
        <v>145</v>
      </c>
      <c r="C234" s="1" t="s">
        <v>1049</v>
      </c>
      <c r="D234" s="1" t="s">
        <v>1048</v>
      </c>
      <c r="E234" s="1" t="s">
        <v>1041</v>
      </c>
      <c r="F234" s="6">
        <v>40063</v>
      </c>
      <c r="G234" s="6">
        <v>41877</v>
      </c>
      <c r="H234" s="6">
        <f t="shared" si="9"/>
        <v>-1814</v>
      </c>
      <c r="I234" s="7">
        <f t="shared" si="10"/>
        <v>-4.3317334097475943E-2</v>
      </c>
      <c r="J234" s="1" t="str">
        <f t="shared" si="11"/>
        <v>Decrease</v>
      </c>
    </row>
    <row r="235" spans="1:10" x14ac:dyDescent="0.25">
      <c r="A235" s="1" t="s">
        <v>144</v>
      </c>
      <c r="B235" s="1" t="s">
        <v>145</v>
      </c>
      <c r="C235" s="1" t="s">
        <v>1049</v>
      </c>
      <c r="D235" s="1" t="s">
        <v>1048</v>
      </c>
      <c r="E235" s="1" t="s">
        <v>1042</v>
      </c>
      <c r="F235" s="6">
        <v>47872</v>
      </c>
      <c r="G235" s="6">
        <v>40063</v>
      </c>
      <c r="H235" s="6">
        <f t="shared" si="9"/>
        <v>7809</v>
      </c>
      <c r="I235" s="7">
        <f t="shared" si="10"/>
        <v>0.19491800414347402</v>
      </c>
      <c r="J235" s="1" t="str">
        <f t="shared" si="11"/>
        <v>Increase</v>
      </c>
    </row>
    <row r="236" spans="1:10" x14ac:dyDescent="0.25">
      <c r="A236" s="1" t="s">
        <v>144</v>
      </c>
      <c r="B236" s="1" t="s">
        <v>145</v>
      </c>
      <c r="C236" s="1" t="s">
        <v>1065</v>
      </c>
      <c r="D236" s="1" t="s">
        <v>1056</v>
      </c>
      <c r="E236" s="1" t="s">
        <v>1040</v>
      </c>
      <c r="F236" s="6">
        <v>122072</v>
      </c>
      <c r="G236" s="6">
        <v>112686</v>
      </c>
      <c r="H236" s="6">
        <f t="shared" si="9"/>
        <v>9386</v>
      </c>
      <c r="I236" s="7">
        <f t="shared" si="10"/>
        <v>8.3293399357506695E-2</v>
      </c>
      <c r="J236" s="1" t="str">
        <f t="shared" si="11"/>
        <v>Increase</v>
      </c>
    </row>
    <row r="237" spans="1:10" x14ac:dyDescent="0.25">
      <c r="A237" s="1" t="s">
        <v>144</v>
      </c>
      <c r="B237" s="1" t="s">
        <v>145</v>
      </c>
      <c r="C237" s="1" t="s">
        <v>1065</v>
      </c>
      <c r="D237" s="1" t="s">
        <v>1056</v>
      </c>
      <c r="E237" s="1" t="s">
        <v>1041</v>
      </c>
      <c r="F237" s="6">
        <v>150393</v>
      </c>
      <c r="G237" s="6">
        <v>122072</v>
      </c>
      <c r="H237" s="6">
        <f t="shared" si="9"/>
        <v>28321</v>
      </c>
      <c r="I237" s="7">
        <f t="shared" si="10"/>
        <v>0.23200242479847957</v>
      </c>
      <c r="J237" s="1" t="str">
        <f t="shared" si="11"/>
        <v>Increase</v>
      </c>
    </row>
    <row r="238" spans="1:10" x14ac:dyDescent="0.25">
      <c r="A238" s="1" t="s">
        <v>144</v>
      </c>
      <c r="B238" s="1" t="s">
        <v>145</v>
      </c>
      <c r="C238" s="1" t="s">
        <v>1065</v>
      </c>
      <c r="D238" s="1" t="s">
        <v>1056</v>
      </c>
      <c r="E238" s="1" t="s">
        <v>1042</v>
      </c>
      <c r="F238" s="6">
        <v>191299</v>
      </c>
      <c r="G238" s="6">
        <v>150393</v>
      </c>
      <c r="H238" s="6">
        <f t="shared" si="9"/>
        <v>40906</v>
      </c>
      <c r="I238" s="7">
        <f t="shared" si="10"/>
        <v>0.27199404227590379</v>
      </c>
      <c r="J238" s="1" t="str">
        <f t="shared" si="11"/>
        <v>Increase</v>
      </c>
    </row>
    <row r="239" spans="1:10" x14ac:dyDescent="0.25">
      <c r="A239" s="1" t="s">
        <v>144</v>
      </c>
      <c r="B239" s="1" t="s">
        <v>145</v>
      </c>
      <c r="C239" s="1" t="s">
        <v>1052</v>
      </c>
      <c r="D239" s="1" t="s">
        <v>1039</v>
      </c>
      <c r="E239" s="1" t="s">
        <v>1040</v>
      </c>
      <c r="F239" s="6">
        <v>327927</v>
      </c>
      <c r="G239" s="6">
        <v>281027</v>
      </c>
      <c r="H239" s="6">
        <f t="shared" si="9"/>
        <v>46900</v>
      </c>
      <c r="I239" s="7">
        <f t="shared" si="10"/>
        <v>0.16688787910058464</v>
      </c>
      <c r="J239" s="1" t="str">
        <f t="shared" si="11"/>
        <v>Increase</v>
      </c>
    </row>
    <row r="240" spans="1:10" x14ac:dyDescent="0.25">
      <c r="A240" s="1" t="s">
        <v>144</v>
      </c>
      <c r="B240" s="1" t="s">
        <v>145</v>
      </c>
      <c r="C240" s="1" t="s">
        <v>1052</v>
      </c>
      <c r="D240" s="1" t="s">
        <v>1039</v>
      </c>
      <c r="E240" s="1" t="s">
        <v>1041</v>
      </c>
      <c r="F240" s="6">
        <v>497073</v>
      </c>
      <c r="G240" s="6">
        <v>327927</v>
      </c>
      <c r="H240" s="6">
        <f t="shared" si="9"/>
        <v>169146</v>
      </c>
      <c r="I240" s="7">
        <f t="shared" si="10"/>
        <v>0.51580382219213428</v>
      </c>
      <c r="J240" s="1" t="str">
        <f t="shared" si="11"/>
        <v>Increase</v>
      </c>
    </row>
    <row r="241" spans="1:10" x14ac:dyDescent="0.25">
      <c r="A241" s="1" t="s">
        <v>144</v>
      </c>
      <c r="B241" s="1" t="s">
        <v>145</v>
      </c>
      <c r="C241" s="1" t="s">
        <v>1052</v>
      </c>
      <c r="D241" s="1" t="s">
        <v>1039</v>
      </c>
      <c r="E241" s="1" t="s">
        <v>1042</v>
      </c>
      <c r="F241" s="6">
        <v>741844</v>
      </c>
      <c r="G241" s="6">
        <v>497073</v>
      </c>
      <c r="H241" s="6">
        <f t="shared" si="9"/>
        <v>244771</v>
      </c>
      <c r="I241" s="7">
        <f t="shared" si="10"/>
        <v>0.49242465392407153</v>
      </c>
      <c r="J241" s="1" t="str">
        <f t="shared" si="11"/>
        <v>Increase</v>
      </c>
    </row>
    <row r="242" spans="1:10" x14ac:dyDescent="0.25">
      <c r="A242" s="1" t="s">
        <v>144</v>
      </c>
      <c r="B242" s="1" t="s">
        <v>145</v>
      </c>
      <c r="C242" s="1" t="s">
        <v>1066</v>
      </c>
      <c r="D242" s="1" t="s">
        <v>1062</v>
      </c>
      <c r="E242" s="1" t="s">
        <v>1040</v>
      </c>
      <c r="F242" s="6">
        <v>29208</v>
      </c>
      <c r="G242" s="6">
        <v>23721</v>
      </c>
      <c r="H242" s="6">
        <f t="shared" si="9"/>
        <v>5487</v>
      </c>
      <c r="I242" s="7">
        <f t="shared" si="10"/>
        <v>0.23131402554698369</v>
      </c>
      <c r="J242" s="1" t="str">
        <f t="shared" si="11"/>
        <v>Increase</v>
      </c>
    </row>
    <row r="243" spans="1:10" x14ac:dyDescent="0.25">
      <c r="A243" s="1" t="s">
        <v>144</v>
      </c>
      <c r="B243" s="1" t="s">
        <v>145</v>
      </c>
      <c r="C243" s="1" t="s">
        <v>1066</v>
      </c>
      <c r="D243" s="1" t="s">
        <v>1062</v>
      </c>
      <c r="E243" s="1" t="s">
        <v>1041</v>
      </c>
      <c r="F243" s="6">
        <v>75635</v>
      </c>
      <c r="G243" s="6">
        <v>29208</v>
      </c>
      <c r="H243" s="6">
        <f t="shared" si="9"/>
        <v>46427</v>
      </c>
      <c r="I243" s="7">
        <f t="shared" si="10"/>
        <v>1.5895302656806354</v>
      </c>
      <c r="J243" s="1" t="str">
        <f t="shared" si="11"/>
        <v>Increase</v>
      </c>
    </row>
    <row r="244" spans="1:10" x14ac:dyDescent="0.25">
      <c r="A244" s="1" t="s">
        <v>144</v>
      </c>
      <c r="B244" s="1" t="s">
        <v>145</v>
      </c>
      <c r="C244" s="1" t="s">
        <v>1066</v>
      </c>
      <c r="D244" s="1" t="s">
        <v>1062</v>
      </c>
      <c r="E244" s="1" t="s">
        <v>1042</v>
      </c>
      <c r="F244" s="6">
        <v>218179</v>
      </c>
      <c r="G244" s="6">
        <v>75635</v>
      </c>
      <c r="H244" s="6">
        <f t="shared" si="9"/>
        <v>142544</v>
      </c>
      <c r="I244" s="7">
        <f t="shared" si="10"/>
        <v>1.8846301315528524</v>
      </c>
      <c r="J244" s="1" t="str">
        <f t="shared" si="11"/>
        <v>Increase</v>
      </c>
    </row>
    <row r="245" spans="1:10" x14ac:dyDescent="0.25">
      <c r="A245" s="1" t="s">
        <v>144</v>
      </c>
      <c r="B245" s="1" t="s">
        <v>145</v>
      </c>
      <c r="C245" s="1" t="s">
        <v>1055</v>
      </c>
      <c r="D245" s="1" t="s">
        <v>1056</v>
      </c>
      <c r="E245" s="1" t="s">
        <v>1040</v>
      </c>
      <c r="F245" s="6">
        <v>200639</v>
      </c>
      <c r="G245" s="6">
        <v>158119</v>
      </c>
      <c r="H245" s="6">
        <f t="shared" si="9"/>
        <v>42520</v>
      </c>
      <c r="I245" s="7">
        <f t="shared" si="10"/>
        <v>0.26891138952308069</v>
      </c>
      <c r="J245" s="1" t="str">
        <f t="shared" si="11"/>
        <v>Increase</v>
      </c>
    </row>
    <row r="246" spans="1:10" x14ac:dyDescent="0.25">
      <c r="A246" s="1" t="s">
        <v>144</v>
      </c>
      <c r="B246" s="1" t="s">
        <v>145</v>
      </c>
      <c r="C246" s="1" t="s">
        <v>1055</v>
      </c>
      <c r="D246" s="1" t="s">
        <v>1056</v>
      </c>
      <c r="E246" s="1" t="s">
        <v>1041</v>
      </c>
      <c r="F246" s="6">
        <v>229504</v>
      </c>
      <c r="G246" s="6">
        <v>200639</v>
      </c>
      <c r="H246" s="6">
        <f t="shared" si="9"/>
        <v>28865</v>
      </c>
      <c r="I246" s="7">
        <f t="shared" si="10"/>
        <v>0.14386535020609154</v>
      </c>
      <c r="J246" s="1" t="str">
        <f t="shared" si="11"/>
        <v>Increase</v>
      </c>
    </row>
    <row r="247" spans="1:10" x14ac:dyDescent="0.25">
      <c r="A247" s="1" t="s">
        <v>144</v>
      </c>
      <c r="B247" s="1" t="s">
        <v>145</v>
      </c>
      <c r="C247" s="1" t="s">
        <v>1055</v>
      </c>
      <c r="D247" s="1" t="s">
        <v>1056</v>
      </c>
      <c r="E247" s="1" t="s">
        <v>1042</v>
      </c>
      <c r="F247" s="6">
        <v>292145</v>
      </c>
      <c r="G247" s="6">
        <v>229504</v>
      </c>
      <c r="H247" s="6">
        <f t="shared" si="9"/>
        <v>62641</v>
      </c>
      <c r="I247" s="7">
        <f t="shared" si="10"/>
        <v>0.27294077663134414</v>
      </c>
      <c r="J247" s="1" t="str">
        <f t="shared" si="11"/>
        <v>Increase</v>
      </c>
    </row>
    <row r="248" spans="1:10" x14ac:dyDescent="0.25">
      <c r="A248" s="1" t="s">
        <v>144</v>
      </c>
      <c r="B248" s="1" t="s">
        <v>145</v>
      </c>
      <c r="C248" s="1" t="s">
        <v>1058</v>
      </c>
      <c r="D248" s="1" t="s">
        <v>1039</v>
      </c>
      <c r="E248" s="1" t="s">
        <v>1040</v>
      </c>
      <c r="F248" s="6">
        <v>92714</v>
      </c>
      <c r="G248" s="6">
        <v>86870</v>
      </c>
      <c r="H248" s="6">
        <f t="shared" si="9"/>
        <v>5844</v>
      </c>
      <c r="I248" s="7">
        <f t="shared" si="10"/>
        <v>6.7272936571889028E-2</v>
      </c>
      <c r="J248" s="1" t="str">
        <f t="shared" si="11"/>
        <v>Increase</v>
      </c>
    </row>
    <row r="249" spans="1:10" x14ac:dyDescent="0.25">
      <c r="A249" s="1" t="s">
        <v>144</v>
      </c>
      <c r="B249" s="1" t="s">
        <v>145</v>
      </c>
      <c r="C249" s="1" t="s">
        <v>1058</v>
      </c>
      <c r="D249" s="1" t="s">
        <v>1039</v>
      </c>
      <c r="E249" s="1" t="s">
        <v>1041</v>
      </c>
      <c r="F249" s="6">
        <v>100926</v>
      </c>
      <c r="G249" s="6">
        <v>92714</v>
      </c>
      <c r="H249" s="6">
        <f t="shared" si="9"/>
        <v>8212</v>
      </c>
      <c r="I249" s="7">
        <f t="shared" si="10"/>
        <v>8.8573462476001466E-2</v>
      </c>
      <c r="J249" s="1" t="str">
        <f t="shared" si="11"/>
        <v>Increase</v>
      </c>
    </row>
    <row r="250" spans="1:10" x14ac:dyDescent="0.25">
      <c r="A250" s="1" t="s">
        <v>144</v>
      </c>
      <c r="B250" s="1" t="s">
        <v>145</v>
      </c>
      <c r="C250" s="1" t="s">
        <v>1058</v>
      </c>
      <c r="D250" s="1" t="s">
        <v>1039</v>
      </c>
      <c r="E250" s="1" t="s">
        <v>1042</v>
      </c>
      <c r="F250" s="6">
        <v>113555</v>
      </c>
      <c r="G250" s="6">
        <v>100926</v>
      </c>
      <c r="H250" s="6">
        <f t="shared" si="9"/>
        <v>12629</v>
      </c>
      <c r="I250" s="7">
        <f t="shared" si="10"/>
        <v>0.12513128430731427</v>
      </c>
      <c r="J250" s="1" t="str">
        <f t="shared" si="11"/>
        <v>Increase</v>
      </c>
    </row>
    <row r="251" spans="1:10" x14ac:dyDescent="0.25">
      <c r="A251" s="1" t="s">
        <v>144</v>
      </c>
      <c r="B251" s="1" t="s">
        <v>145</v>
      </c>
      <c r="C251" s="1" t="s">
        <v>1053</v>
      </c>
      <c r="D251" s="1" t="s">
        <v>1054</v>
      </c>
      <c r="E251" s="1" t="s">
        <v>1040</v>
      </c>
      <c r="F251" s="6">
        <v>114251</v>
      </c>
      <c r="G251" s="6">
        <v>97579</v>
      </c>
      <c r="H251" s="6">
        <f t="shared" si="9"/>
        <v>16672</v>
      </c>
      <c r="I251" s="7">
        <f t="shared" si="10"/>
        <v>0.17085643427376793</v>
      </c>
      <c r="J251" s="1" t="str">
        <f t="shared" si="11"/>
        <v>Increase</v>
      </c>
    </row>
    <row r="252" spans="1:10" x14ac:dyDescent="0.25">
      <c r="A252" s="1" t="s">
        <v>144</v>
      </c>
      <c r="B252" s="1" t="s">
        <v>145</v>
      </c>
      <c r="C252" s="1" t="s">
        <v>1053</v>
      </c>
      <c r="D252" s="1" t="s">
        <v>1054</v>
      </c>
      <c r="E252" s="1" t="s">
        <v>1041</v>
      </c>
      <c r="F252" s="6">
        <v>120531</v>
      </c>
      <c r="G252" s="6">
        <v>114251</v>
      </c>
      <c r="H252" s="6">
        <f t="shared" si="9"/>
        <v>6280</v>
      </c>
      <c r="I252" s="7">
        <f t="shared" si="10"/>
        <v>5.4966696133950686E-2</v>
      </c>
      <c r="J252" s="1" t="str">
        <f t="shared" si="11"/>
        <v>Increase</v>
      </c>
    </row>
    <row r="253" spans="1:10" x14ac:dyDescent="0.25">
      <c r="A253" s="1" t="s">
        <v>144</v>
      </c>
      <c r="B253" s="1" t="s">
        <v>145</v>
      </c>
      <c r="C253" s="1" t="s">
        <v>1053</v>
      </c>
      <c r="D253" s="1" t="s">
        <v>1054</v>
      </c>
      <c r="E253" s="1" t="s">
        <v>1042</v>
      </c>
      <c r="F253" s="6">
        <v>115077</v>
      </c>
      <c r="G253" s="6">
        <v>120531</v>
      </c>
      <c r="H253" s="6">
        <f t="shared" si="9"/>
        <v>-5454</v>
      </c>
      <c r="I253" s="7">
        <f t="shared" si="10"/>
        <v>-4.5249769768773179E-2</v>
      </c>
      <c r="J253" s="1" t="str">
        <f t="shared" si="11"/>
        <v>Decrease</v>
      </c>
    </row>
    <row r="254" spans="1:10" x14ac:dyDescent="0.25">
      <c r="A254" s="1" t="s">
        <v>144</v>
      </c>
      <c r="B254" s="1" t="s">
        <v>145</v>
      </c>
      <c r="C254" s="1" t="s">
        <v>1064</v>
      </c>
      <c r="D254" s="1" t="s">
        <v>1062</v>
      </c>
      <c r="E254" s="1" t="s">
        <v>1040</v>
      </c>
      <c r="F254" s="6">
        <v>49601</v>
      </c>
      <c r="G254" s="6">
        <v>38431</v>
      </c>
      <c r="H254" s="6">
        <f t="shared" si="9"/>
        <v>11170</v>
      </c>
      <c r="I254" s="7">
        <f t="shared" si="10"/>
        <v>0.29065077671671308</v>
      </c>
      <c r="J254" s="1" t="str">
        <f t="shared" si="11"/>
        <v>Increase</v>
      </c>
    </row>
    <row r="255" spans="1:10" x14ac:dyDescent="0.25">
      <c r="A255" s="1" t="s">
        <v>144</v>
      </c>
      <c r="B255" s="1" t="s">
        <v>145</v>
      </c>
      <c r="C255" s="1" t="s">
        <v>1064</v>
      </c>
      <c r="D255" s="1" t="s">
        <v>1062</v>
      </c>
      <c r="E255" s="1" t="s">
        <v>1041</v>
      </c>
      <c r="F255" s="6">
        <v>148559</v>
      </c>
      <c r="G255" s="6">
        <v>49601</v>
      </c>
      <c r="H255" s="6">
        <f t="shared" si="9"/>
        <v>98958</v>
      </c>
      <c r="I255" s="7">
        <f t="shared" si="10"/>
        <v>1.995080744339832</v>
      </c>
      <c r="J255" s="1" t="str">
        <f t="shared" si="11"/>
        <v>Increase</v>
      </c>
    </row>
    <row r="256" spans="1:10" x14ac:dyDescent="0.25">
      <c r="A256" s="1" t="s">
        <v>144</v>
      </c>
      <c r="B256" s="1" t="s">
        <v>145</v>
      </c>
      <c r="C256" s="1" t="s">
        <v>1064</v>
      </c>
      <c r="D256" s="1" t="s">
        <v>1062</v>
      </c>
      <c r="E256" s="1" t="s">
        <v>1042</v>
      </c>
      <c r="F256" s="6">
        <v>290694</v>
      </c>
      <c r="G256" s="6">
        <v>148559</v>
      </c>
      <c r="H256" s="6">
        <f t="shared" si="9"/>
        <v>142135</v>
      </c>
      <c r="I256" s="7">
        <f t="shared" si="10"/>
        <v>0.95675792109532243</v>
      </c>
      <c r="J256" s="1" t="str">
        <f t="shared" si="11"/>
        <v>Increase</v>
      </c>
    </row>
    <row r="257" spans="1:10" x14ac:dyDescent="0.25">
      <c r="A257" s="1" t="s">
        <v>144</v>
      </c>
      <c r="B257" s="1" t="s">
        <v>145</v>
      </c>
      <c r="C257" s="1" t="s">
        <v>1060</v>
      </c>
      <c r="D257" s="1" t="s">
        <v>1056</v>
      </c>
      <c r="E257" s="1" t="s">
        <v>1040</v>
      </c>
      <c r="F257" s="6">
        <v>74045</v>
      </c>
      <c r="G257" s="6">
        <v>66214</v>
      </c>
      <c r="H257" s="6">
        <f t="shared" si="9"/>
        <v>7831</v>
      </c>
      <c r="I257" s="7">
        <f t="shared" si="10"/>
        <v>0.11826803999154258</v>
      </c>
      <c r="J257" s="1" t="str">
        <f t="shared" si="11"/>
        <v>Increase</v>
      </c>
    </row>
    <row r="258" spans="1:10" x14ac:dyDescent="0.25">
      <c r="A258" s="1" t="s">
        <v>144</v>
      </c>
      <c r="B258" s="1" t="s">
        <v>145</v>
      </c>
      <c r="C258" s="1" t="s">
        <v>1060</v>
      </c>
      <c r="D258" s="1" t="s">
        <v>1056</v>
      </c>
      <c r="E258" s="1" t="s">
        <v>1041</v>
      </c>
      <c r="F258" s="6">
        <v>71328</v>
      </c>
      <c r="G258" s="6">
        <v>74045</v>
      </c>
      <c r="H258" s="6">
        <f t="shared" ref="H258:H295" si="12">F258-G258</f>
        <v>-2717</v>
      </c>
      <c r="I258" s="7">
        <f t="shared" ref="I258:I295" si="13">H258/G258</f>
        <v>-3.6693902356674996E-2</v>
      </c>
      <c r="J258" s="1" t="str">
        <f t="shared" ref="J258:J295" si="14">IF(I258&gt;0.02,"Increase",IF(I258&lt;-0.02,"Decrease","Flat"))</f>
        <v>Decrease</v>
      </c>
    </row>
    <row r="259" spans="1:10" x14ac:dyDescent="0.25">
      <c r="A259" s="1" t="s">
        <v>144</v>
      </c>
      <c r="B259" s="1" t="s">
        <v>145</v>
      </c>
      <c r="C259" s="1" t="s">
        <v>1060</v>
      </c>
      <c r="D259" s="1" t="s">
        <v>1056</v>
      </c>
      <c r="E259" s="1" t="s">
        <v>1042</v>
      </c>
      <c r="F259" s="6">
        <v>83099</v>
      </c>
      <c r="G259" s="6">
        <v>71328</v>
      </c>
      <c r="H259" s="6">
        <f t="shared" si="12"/>
        <v>11771</v>
      </c>
      <c r="I259" s="7">
        <f t="shared" si="13"/>
        <v>0.16502635711081201</v>
      </c>
      <c r="J259" s="1" t="str">
        <f t="shared" si="14"/>
        <v>Increase</v>
      </c>
    </row>
    <row r="260" spans="1:10" x14ac:dyDescent="0.25">
      <c r="A260" s="1" t="s">
        <v>144</v>
      </c>
      <c r="B260" s="1" t="s">
        <v>145</v>
      </c>
      <c r="C260" s="1" t="s">
        <v>1061</v>
      </c>
      <c r="D260" s="1" t="s">
        <v>1062</v>
      </c>
      <c r="E260" s="1" t="s">
        <v>1040</v>
      </c>
      <c r="F260" s="6">
        <v>64634</v>
      </c>
      <c r="G260" s="6">
        <v>51542</v>
      </c>
      <c r="H260" s="6">
        <f t="shared" si="12"/>
        <v>13092</v>
      </c>
      <c r="I260" s="7">
        <f t="shared" si="13"/>
        <v>0.2540064413488029</v>
      </c>
      <c r="J260" s="1" t="str">
        <f t="shared" si="14"/>
        <v>Increase</v>
      </c>
    </row>
    <row r="261" spans="1:10" x14ac:dyDescent="0.25">
      <c r="A261" s="1" t="s">
        <v>144</v>
      </c>
      <c r="B261" s="1" t="s">
        <v>145</v>
      </c>
      <c r="C261" s="1" t="s">
        <v>1061</v>
      </c>
      <c r="D261" s="1" t="s">
        <v>1062</v>
      </c>
      <c r="E261" s="1" t="s">
        <v>1041</v>
      </c>
      <c r="F261" s="6">
        <v>146310</v>
      </c>
      <c r="G261" s="6">
        <v>64634</v>
      </c>
      <c r="H261" s="6">
        <f t="shared" si="12"/>
        <v>81676</v>
      </c>
      <c r="I261" s="7">
        <f t="shared" si="13"/>
        <v>1.2636692762323236</v>
      </c>
      <c r="J261" s="1" t="str">
        <f t="shared" si="14"/>
        <v>Increase</v>
      </c>
    </row>
    <row r="262" spans="1:10" x14ac:dyDescent="0.25">
      <c r="A262" s="1" t="s">
        <v>144</v>
      </c>
      <c r="B262" s="1" t="s">
        <v>145</v>
      </c>
      <c r="C262" s="1" t="s">
        <v>1061</v>
      </c>
      <c r="D262" s="1" t="s">
        <v>1062</v>
      </c>
      <c r="E262" s="1" t="s">
        <v>1042</v>
      </c>
      <c r="F262" s="6">
        <v>298898</v>
      </c>
      <c r="G262" s="6">
        <v>146310</v>
      </c>
      <c r="H262" s="6">
        <f t="shared" si="12"/>
        <v>152588</v>
      </c>
      <c r="I262" s="7">
        <f t="shared" si="13"/>
        <v>1.0429088920784635</v>
      </c>
      <c r="J262" s="1" t="str">
        <f t="shared" si="14"/>
        <v>Increase</v>
      </c>
    </row>
    <row r="263" spans="1:10" x14ac:dyDescent="0.25">
      <c r="A263" s="1" t="s">
        <v>148</v>
      </c>
      <c r="B263" s="1" t="s">
        <v>149</v>
      </c>
      <c r="C263" s="1" t="s">
        <v>1038</v>
      </c>
      <c r="D263" s="1" t="s">
        <v>1039</v>
      </c>
      <c r="E263" s="1" t="s">
        <v>1040</v>
      </c>
      <c r="F263" s="6">
        <v>529659</v>
      </c>
      <c r="G263" s="6">
        <v>477244</v>
      </c>
      <c r="H263" s="6">
        <f t="shared" si="12"/>
        <v>52415</v>
      </c>
      <c r="I263" s="7">
        <f t="shared" si="13"/>
        <v>0.10982851539254553</v>
      </c>
      <c r="J263" s="1" t="str">
        <f t="shared" si="14"/>
        <v>Increase</v>
      </c>
    </row>
    <row r="264" spans="1:10" x14ac:dyDescent="0.25">
      <c r="A264" s="1" t="s">
        <v>148</v>
      </c>
      <c r="B264" s="1" t="s">
        <v>149</v>
      </c>
      <c r="C264" s="1" t="s">
        <v>1038</v>
      </c>
      <c r="D264" s="1" t="s">
        <v>1039</v>
      </c>
      <c r="E264" s="1" t="s">
        <v>1041</v>
      </c>
      <c r="F264" s="6">
        <v>464283</v>
      </c>
      <c r="G264" s="6">
        <v>529659</v>
      </c>
      <c r="H264" s="6">
        <f t="shared" si="12"/>
        <v>-65376</v>
      </c>
      <c r="I264" s="7">
        <f t="shared" si="13"/>
        <v>-0.12343035802280335</v>
      </c>
      <c r="J264" s="1" t="str">
        <f t="shared" si="14"/>
        <v>Decrease</v>
      </c>
    </row>
    <row r="265" spans="1:10" x14ac:dyDescent="0.25">
      <c r="A265" s="1" t="s">
        <v>148</v>
      </c>
      <c r="B265" s="1" t="s">
        <v>149</v>
      </c>
      <c r="C265" s="1" t="s">
        <v>1038</v>
      </c>
      <c r="D265" s="1" t="s">
        <v>1039</v>
      </c>
      <c r="E265" s="1" t="s">
        <v>1042</v>
      </c>
      <c r="F265" s="6">
        <v>392476</v>
      </c>
      <c r="G265" s="6">
        <v>464283</v>
      </c>
      <c r="H265" s="6">
        <f t="shared" si="12"/>
        <v>-71807</v>
      </c>
      <c r="I265" s="7">
        <f t="shared" si="13"/>
        <v>-0.15466213494786585</v>
      </c>
      <c r="J265" s="1" t="str">
        <f t="shared" si="14"/>
        <v>Decrease</v>
      </c>
    </row>
    <row r="266" spans="1:10" x14ac:dyDescent="0.25">
      <c r="A266" s="1" t="s">
        <v>148</v>
      </c>
      <c r="B266" s="1" t="s">
        <v>149</v>
      </c>
      <c r="C266" s="1" t="s">
        <v>1043</v>
      </c>
      <c r="D266" s="1" t="s">
        <v>1044</v>
      </c>
      <c r="E266" s="1" t="s">
        <v>1040</v>
      </c>
      <c r="F266" s="6">
        <v>214571</v>
      </c>
      <c r="G266" s="6">
        <v>183374</v>
      </c>
      <c r="H266" s="6">
        <f t="shared" si="12"/>
        <v>31197</v>
      </c>
      <c r="I266" s="7">
        <f t="shared" si="13"/>
        <v>0.17012771712456509</v>
      </c>
      <c r="J266" s="1" t="str">
        <f t="shared" si="14"/>
        <v>Increase</v>
      </c>
    </row>
    <row r="267" spans="1:10" x14ac:dyDescent="0.25">
      <c r="A267" s="1" t="s">
        <v>148</v>
      </c>
      <c r="B267" s="1" t="s">
        <v>149</v>
      </c>
      <c r="C267" s="1" t="s">
        <v>1043</v>
      </c>
      <c r="D267" s="1" t="s">
        <v>1044</v>
      </c>
      <c r="E267" s="1" t="s">
        <v>1041</v>
      </c>
      <c r="F267" s="6">
        <v>201855</v>
      </c>
      <c r="G267" s="6">
        <v>214571</v>
      </c>
      <c r="H267" s="6">
        <f t="shared" si="12"/>
        <v>-12716</v>
      </c>
      <c r="I267" s="7">
        <f t="shared" si="13"/>
        <v>-5.9262435277833446E-2</v>
      </c>
      <c r="J267" s="1" t="str">
        <f t="shared" si="14"/>
        <v>Decrease</v>
      </c>
    </row>
    <row r="268" spans="1:10" x14ac:dyDescent="0.25">
      <c r="A268" s="1" t="s">
        <v>148</v>
      </c>
      <c r="B268" s="1" t="s">
        <v>149</v>
      </c>
      <c r="C268" s="1" t="s">
        <v>1043</v>
      </c>
      <c r="D268" s="1" t="s">
        <v>1044</v>
      </c>
      <c r="E268" s="1" t="s">
        <v>1042</v>
      </c>
      <c r="F268" s="6">
        <v>189643</v>
      </c>
      <c r="G268" s="6">
        <v>201855</v>
      </c>
      <c r="H268" s="6">
        <f t="shared" si="12"/>
        <v>-12212</v>
      </c>
      <c r="I268" s="7">
        <f t="shared" si="13"/>
        <v>-6.049887295335761E-2</v>
      </c>
      <c r="J268" s="1" t="str">
        <f t="shared" si="14"/>
        <v>Decrease</v>
      </c>
    </row>
    <row r="269" spans="1:10" x14ac:dyDescent="0.25">
      <c r="A269" s="1" t="s">
        <v>148</v>
      </c>
      <c r="B269" s="1" t="s">
        <v>149</v>
      </c>
      <c r="C269" s="1" t="s">
        <v>1045</v>
      </c>
      <c r="D269" s="1" t="s">
        <v>1046</v>
      </c>
      <c r="E269" s="1" t="s">
        <v>1040</v>
      </c>
      <c r="F269" s="6">
        <v>37272</v>
      </c>
      <c r="G269" s="6">
        <v>30649</v>
      </c>
      <c r="H269" s="6">
        <f t="shared" si="12"/>
        <v>6623</v>
      </c>
      <c r="I269" s="7">
        <f t="shared" si="13"/>
        <v>0.21609187901725993</v>
      </c>
      <c r="J269" s="1" t="str">
        <f t="shared" si="14"/>
        <v>Increase</v>
      </c>
    </row>
    <row r="270" spans="1:10" x14ac:dyDescent="0.25">
      <c r="A270" s="1" t="s">
        <v>148</v>
      </c>
      <c r="B270" s="1" t="s">
        <v>149</v>
      </c>
      <c r="C270" s="1" t="s">
        <v>1045</v>
      </c>
      <c r="D270" s="1" t="s">
        <v>1046</v>
      </c>
      <c r="E270" s="1" t="s">
        <v>1041</v>
      </c>
      <c r="F270" s="6">
        <v>36015</v>
      </c>
      <c r="G270" s="6">
        <v>37272</v>
      </c>
      <c r="H270" s="6">
        <f t="shared" si="12"/>
        <v>-1257</v>
      </c>
      <c r="I270" s="7">
        <f t="shared" si="13"/>
        <v>-3.3725048293625243E-2</v>
      </c>
      <c r="J270" s="1" t="str">
        <f t="shared" si="14"/>
        <v>Decrease</v>
      </c>
    </row>
    <row r="271" spans="1:10" x14ac:dyDescent="0.25">
      <c r="A271" s="1" t="s">
        <v>148</v>
      </c>
      <c r="B271" s="1" t="s">
        <v>149</v>
      </c>
      <c r="C271" s="1" t="s">
        <v>1045</v>
      </c>
      <c r="D271" s="1" t="s">
        <v>1046</v>
      </c>
      <c r="E271" s="1" t="s">
        <v>1042</v>
      </c>
      <c r="F271" s="6">
        <v>28911</v>
      </c>
      <c r="G271" s="6">
        <v>36015</v>
      </c>
      <c r="H271" s="6">
        <f t="shared" si="12"/>
        <v>-7104</v>
      </c>
      <c r="I271" s="7">
        <f t="shared" si="13"/>
        <v>-0.19725114535610164</v>
      </c>
      <c r="J271" s="1" t="str">
        <f t="shared" si="14"/>
        <v>Decrease</v>
      </c>
    </row>
    <row r="272" spans="1:10" x14ac:dyDescent="0.25">
      <c r="A272" s="1" t="s">
        <v>148</v>
      </c>
      <c r="B272" s="1" t="s">
        <v>149</v>
      </c>
      <c r="C272" s="1" t="s">
        <v>1047</v>
      </c>
      <c r="D272" s="1" t="s">
        <v>1048</v>
      </c>
      <c r="E272" s="1" t="s">
        <v>1040</v>
      </c>
      <c r="F272" s="6">
        <v>60845</v>
      </c>
      <c r="G272" s="6">
        <v>48201</v>
      </c>
      <c r="H272" s="6">
        <f t="shared" si="12"/>
        <v>12644</v>
      </c>
      <c r="I272" s="7">
        <f t="shared" si="13"/>
        <v>0.26231820916578497</v>
      </c>
      <c r="J272" s="1" t="str">
        <f t="shared" si="14"/>
        <v>Increase</v>
      </c>
    </row>
    <row r="273" spans="1:10" x14ac:dyDescent="0.25">
      <c r="A273" s="1" t="s">
        <v>148</v>
      </c>
      <c r="B273" s="1" t="s">
        <v>149</v>
      </c>
      <c r="C273" s="1" t="s">
        <v>1047</v>
      </c>
      <c r="D273" s="1" t="s">
        <v>1048</v>
      </c>
      <c r="E273" s="1" t="s">
        <v>1041</v>
      </c>
      <c r="F273" s="6">
        <v>63153</v>
      </c>
      <c r="G273" s="6">
        <v>60845</v>
      </c>
      <c r="H273" s="6">
        <f t="shared" si="12"/>
        <v>2308</v>
      </c>
      <c r="I273" s="7">
        <f t="shared" si="13"/>
        <v>3.7932451310707535E-2</v>
      </c>
      <c r="J273" s="1" t="str">
        <f t="shared" si="14"/>
        <v>Increase</v>
      </c>
    </row>
    <row r="274" spans="1:10" x14ac:dyDescent="0.25">
      <c r="A274" s="1" t="s">
        <v>148</v>
      </c>
      <c r="B274" s="1" t="s">
        <v>149</v>
      </c>
      <c r="C274" s="1" t="s">
        <v>1047</v>
      </c>
      <c r="D274" s="1" t="s">
        <v>1048</v>
      </c>
      <c r="E274" s="1" t="s">
        <v>1042</v>
      </c>
      <c r="F274" s="6">
        <v>58507</v>
      </c>
      <c r="G274" s="6">
        <v>63153</v>
      </c>
      <c r="H274" s="6">
        <f t="shared" si="12"/>
        <v>-4646</v>
      </c>
      <c r="I274" s="7">
        <f t="shared" si="13"/>
        <v>-7.3567368137697334E-2</v>
      </c>
      <c r="J274" s="1" t="str">
        <f t="shared" si="14"/>
        <v>Decrease</v>
      </c>
    </row>
    <row r="275" spans="1:10" x14ac:dyDescent="0.25">
      <c r="A275" s="1" t="s">
        <v>148</v>
      </c>
      <c r="B275" s="1" t="s">
        <v>149</v>
      </c>
      <c r="C275" s="1" t="s">
        <v>1049</v>
      </c>
      <c r="D275" s="1" t="s">
        <v>1048</v>
      </c>
      <c r="E275" s="1" t="s">
        <v>1040</v>
      </c>
      <c r="F275" s="6">
        <v>57720</v>
      </c>
      <c r="G275" s="6">
        <v>45395</v>
      </c>
      <c r="H275" s="6">
        <f t="shared" si="12"/>
        <v>12325</v>
      </c>
      <c r="I275" s="7">
        <f t="shared" si="13"/>
        <v>0.27150567243088447</v>
      </c>
      <c r="J275" s="1" t="str">
        <f t="shared" si="14"/>
        <v>Increase</v>
      </c>
    </row>
    <row r="276" spans="1:10" x14ac:dyDescent="0.25">
      <c r="A276" s="1" t="s">
        <v>148</v>
      </c>
      <c r="B276" s="1" t="s">
        <v>149</v>
      </c>
      <c r="C276" s="1" t="s">
        <v>1049</v>
      </c>
      <c r="D276" s="1" t="s">
        <v>1048</v>
      </c>
      <c r="E276" s="1" t="s">
        <v>1041</v>
      </c>
      <c r="F276" s="6">
        <v>53410</v>
      </c>
      <c r="G276" s="6">
        <v>57720</v>
      </c>
      <c r="H276" s="6">
        <f t="shared" si="12"/>
        <v>-4310</v>
      </c>
      <c r="I276" s="7">
        <f t="shared" si="13"/>
        <v>-7.467082467082467E-2</v>
      </c>
      <c r="J276" s="1" t="str">
        <f t="shared" si="14"/>
        <v>Decrease</v>
      </c>
    </row>
    <row r="277" spans="1:10" x14ac:dyDescent="0.25">
      <c r="A277" s="1" t="s">
        <v>148</v>
      </c>
      <c r="B277" s="1" t="s">
        <v>149</v>
      </c>
      <c r="C277" s="1" t="s">
        <v>1049</v>
      </c>
      <c r="D277" s="1" t="s">
        <v>1048</v>
      </c>
      <c r="E277" s="1" t="s">
        <v>1042</v>
      </c>
      <c r="F277" s="6">
        <v>46478</v>
      </c>
      <c r="G277" s="6">
        <v>53410</v>
      </c>
      <c r="H277" s="6">
        <f t="shared" si="12"/>
        <v>-6932</v>
      </c>
      <c r="I277" s="7">
        <f t="shared" si="13"/>
        <v>-0.12978842913312114</v>
      </c>
      <c r="J277" s="1" t="str">
        <f t="shared" si="14"/>
        <v>Decrease</v>
      </c>
    </row>
    <row r="278" spans="1:10" x14ac:dyDescent="0.25">
      <c r="A278" s="1" t="s">
        <v>148</v>
      </c>
      <c r="B278" s="1" t="s">
        <v>149</v>
      </c>
      <c r="C278" s="1" t="s">
        <v>1053</v>
      </c>
      <c r="D278" s="1" t="s">
        <v>1054</v>
      </c>
      <c r="E278" s="1" t="s">
        <v>1040</v>
      </c>
      <c r="F278" s="6">
        <v>100079</v>
      </c>
      <c r="G278" s="6">
        <v>80436</v>
      </c>
      <c r="H278" s="6">
        <f t="shared" si="12"/>
        <v>19643</v>
      </c>
      <c r="I278" s="7">
        <f t="shared" si="13"/>
        <v>0.2442065741707693</v>
      </c>
      <c r="J278" s="1" t="str">
        <f t="shared" si="14"/>
        <v>Increase</v>
      </c>
    </row>
    <row r="279" spans="1:10" x14ac:dyDescent="0.25">
      <c r="A279" s="1" t="s">
        <v>148</v>
      </c>
      <c r="B279" s="1" t="s">
        <v>149</v>
      </c>
      <c r="C279" s="1" t="s">
        <v>1053</v>
      </c>
      <c r="D279" s="1" t="s">
        <v>1054</v>
      </c>
      <c r="E279" s="1" t="s">
        <v>1041</v>
      </c>
      <c r="F279" s="6">
        <v>93451</v>
      </c>
      <c r="G279" s="6">
        <v>100079</v>
      </c>
      <c r="H279" s="6">
        <f t="shared" si="12"/>
        <v>-6628</v>
      </c>
      <c r="I279" s="7">
        <f t="shared" si="13"/>
        <v>-6.6227680132695171E-2</v>
      </c>
      <c r="J279" s="1" t="str">
        <f t="shared" si="14"/>
        <v>Decrease</v>
      </c>
    </row>
    <row r="280" spans="1:10" x14ac:dyDescent="0.25">
      <c r="A280" s="1" t="s">
        <v>148</v>
      </c>
      <c r="B280" s="1" t="s">
        <v>149</v>
      </c>
      <c r="C280" s="1" t="s">
        <v>1053</v>
      </c>
      <c r="D280" s="1" t="s">
        <v>1054</v>
      </c>
      <c r="E280" s="1" t="s">
        <v>1042</v>
      </c>
      <c r="F280" s="6">
        <v>94982</v>
      </c>
      <c r="G280" s="6">
        <v>93451</v>
      </c>
      <c r="H280" s="6">
        <f t="shared" si="12"/>
        <v>1531</v>
      </c>
      <c r="I280" s="7">
        <f t="shared" si="13"/>
        <v>1.6382917250751732E-2</v>
      </c>
      <c r="J280" s="1" t="str">
        <f t="shared" si="14"/>
        <v>Flat</v>
      </c>
    </row>
    <row r="281" spans="1:10" x14ac:dyDescent="0.25">
      <c r="A281" s="1" t="s">
        <v>148</v>
      </c>
      <c r="B281" s="1" t="s">
        <v>149</v>
      </c>
      <c r="C281" s="1" t="s">
        <v>1052</v>
      </c>
      <c r="D281" s="1" t="s">
        <v>1039</v>
      </c>
      <c r="E281" s="1" t="s">
        <v>1040</v>
      </c>
      <c r="F281" s="6">
        <v>143534</v>
      </c>
      <c r="G281" s="6">
        <v>117884</v>
      </c>
      <c r="H281" s="6">
        <f t="shared" si="12"/>
        <v>25650</v>
      </c>
      <c r="I281" s="7">
        <f t="shared" si="13"/>
        <v>0.2175867802246276</v>
      </c>
      <c r="J281" s="1" t="str">
        <f t="shared" si="14"/>
        <v>Increase</v>
      </c>
    </row>
    <row r="282" spans="1:10" x14ac:dyDescent="0.25">
      <c r="A282" s="1" t="s">
        <v>148</v>
      </c>
      <c r="B282" s="1" t="s">
        <v>149</v>
      </c>
      <c r="C282" s="1" t="s">
        <v>1052</v>
      </c>
      <c r="D282" s="1" t="s">
        <v>1039</v>
      </c>
      <c r="E282" s="1" t="s">
        <v>1041</v>
      </c>
      <c r="F282" s="6">
        <v>191165</v>
      </c>
      <c r="G282" s="6">
        <v>143534</v>
      </c>
      <c r="H282" s="6">
        <f t="shared" si="12"/>
        <v>47631</v>
      </c>
      <c r="I282" s="7">
        <f t="shared" si="13"/>
        <v>0.33184471971797624</v>
      </c>
      <c r="J282" s="1" t="str">
        <f t="shared" si="14"/>
        <v>Increase</v>
      </c>
    </row>
    <row r="283" spans="1:10" x14ac:dyDescent="0.25">
      <c r="A283" s="1" t="s">
        <v>148</v>
      </c>
      <c r="B283" s="1" t="s">
        <v>149</v>
      </c>
      <c r="C283" s="1" t="s">
        <v>1052</v>
      </c>
      <c r="D283" s="1" t="s">
        <v>1039</v>
      </c>
      <c r="E283" s="1" t="s">
        <v>1042</v>
      </c>
      <c r="F283" s="6">
        <v>299726</v>
      </c>
      <c r="G283" s="6">
        <v>191165</v>
      </c>
      <c r="H283" s="6">
        <f t="shared" si="12"/>
        <v>108561</v>
      </c>
      <c r="I283" s="7">
        <f t="shared" si="13"/>
        <v>0.56789161195825599</v>
      </c>
      <c r="J283" s="1" t="str">
        <f t="shared" si="14"/>
        <v>Increase</v>
      </c>
    </row>
    <row r="284" spans="1:10" x14ac:dyDescent="0.25">
      <c r="A284" s="1" t="s">
        <v>148</v>
      </c>
      <c r="B284" s="1" t="s">
        <v>149</v>
      </c>
      <c r="C284" s="1" t="s">
        <v>1055</v>
      </c>
      <c r="D284" s="1" t="s">
        <v>1056</v>
      </c>
      <c r="E284" s="1" t="s">
        <v>1040</v>
      </c>
      <c r="F284" s="6">
        <v>183903</v>
      </c>
      <c r="G284" s="6">
        <v>148359</v>
      </c>
      <c r="H284" s="6">
        <f t="shared" si="12"/>
        <v>35544</v>
      </c>
      <c r="I284" s="7">
        <f t="shared" si="13"/>
        <v>0.23958101631852466</v>
      </c>
      <c r="J284" s="1" t="str">
        <f t="shared" si="14"/>
        <v>Increase</v>
      </c>
    </row>
    <row r="285" spans="1:10" x14ac:dyDescent="0.25">
      <c r="A285" s="1" t="s">
        <v>148</v>
      </c>
      <c r="B285" s="1" t="s">
        <v>149</v>
      </c>
      <c r="C285" s="1" t="s">
        <v>1055</v>
      </c>
      <c r="D285" s="1" t="s">
        <v>1056</v>
      </c>
      <c r="E285" s="1" t="s">
        <v>1041</v>
      </c>
      <c r="F285" s="6">
        <v>179310</v>
      </c>
      <c r="G285" s="6">
        <v>183903</v>
      </c>
      <c r="H285" s="6">
        <f t="shared" si="12"/>
        <v>-4593</v>
      </c>
      <c r="I285" s="7">
        <f t="shared" si="13"/>
        <v>-2.4975122754930589E-2</v>
      </c>
      <c r="J285" s="1" t="str">
        <f t="shared" si="14"/>
        <v>Decrease</v>
      </c>
    </row>
    <row r="286" spans="1:10" x14ac:dyDescent="0.25">
      <c r="A286" s="1" t="s">
        <v>148</v>
      </c>
      <c r="B286" s="1" t="s">
        <v>149</v>
      </c>
      <c r="C286" s="1" t="s">
        <v>1055</v>
      </c>
      <c r="D286" s="1" t="s">
        <v>1056</v>
      </c>
      <c r="E286" s="1" t="s">
        <v>1042</v>
      </c>
      <c r="F286" s="6">
        <v>178950</v>
      </c>
      <c r="G286" s="6">
        <v>179310</v>
      </c>
      <c r="H286" s="6">
        <f t="shared" si="12"/>
        <v>-360</v>
      </c>
      <c r="I286" s="7">
        <f t="shared" si="13"/>
        <v>-2.0076961686464781E-3</v>
      </c>
      <c r="J286" s="1" t="str">
        <f t="shared" si="14"/>
        <v>Flat</v>
      </c>
    </row>
    <row r="287" spans="1:10" x14ac:dyDescent="0.25">
      <c r="A287" s="1" t="s">
        <v>148</v>
      </c>
      <c r="B287" s="1" t="s">
        <v>149</v>
      </c>
      <c r="C287" s="1" t="s">
        <v>1060</v>
      </c>
      <c r="D287" s="1" t="s">
        <v>1056</v>
      </c>
      <c r="E287" s="1" t="s">
        <v>1040</v>
      </c>
      <c r="F287" s="6">
        <v>54483</v>
      </c>
      <c r="G287" s="6">
        <v>49828</v>
      </c>
      <c r="H287" s="6">
        <f t="shared" si="12"/>
        <v>4655</v>
      </c>
      <c r="I287" s="7">
        <f t="shared" si="13"/>
        <v>9.3421369511118249E-2</v>
      </c>
      <c r="J287" s="1" t="str">
        <f t="shared" si="14"/>
        <v>Increase</v>
      </c>
    </row>
    <row r="288" spans="1:10" x14ac:dyDescent="0.25">
      <c r="A288" s="1" t="s">
        <v>148</v>
      </c>
      <c r="B288" s="1" t="s">
        <v>149</v>
      </c>
      <c r="C288" s="1" t="s">
        <v>1060</v>
      </c>
      <c r="D288" s="1" t="s">
        <v>1056</v>
      </c>
      <c r="E288" s="1" t="s">
        <v>1041</v>
      </c>
      <c r="F288" s="6">
        <v>45832</v>
      </c>
      <c r="G288" s="6">
        <v>54483</v>
      </c>
      <c r="H288" s="6">
        <f t="shared" si="12"/>
        <v>-8651</v>
      </c>
      <c r="I288" s="7">
        <f t="shared" si="13"/>
        <v>-0.15878347374410368</v>
      </c>
      <c r="J288" s="1" t="str">
        <f t="shared" si="14"/>
        <v>Decrease</v>
      </c>
    </row>
    <row r="289" spans="1:10" x14ac:dyDescent="0.25">
      <c r="A289" s="1" t="s">
        <v>148</v>
      </c>
      <c r="B289" s="1" t="s">
        <v>149</v>
      </c>
      <c r="C289" s="1" t="s">
        <v>1060</v>
      </c>
      <c r="D289" s="1" t="s">
        <v>1056</v>
      </c>
      <c r="E289" s="1" t="s">
        <v>1042</v>
      </c>
      <c r="F289" s="6">
        <v>36927</v>
      </c>
      <c r="G289" s="6">
        <v>45832</v>
      </c>
      <c r="H289" s="6">
        <f t="shared" si="12"/>
        <v>-8905</v>
      </c>
      <c r="I289" s="7">
        <f t="shared" si="13"/>
        <v>-0.19429656135451212</v>
      </c>
      <c r="J289" s="1" t="str">
        <f t="shared" si="14"/>
        <v>Decrease</v>
      </c>
    </row>
    <row r="290" spans="1:10" x14ac:dyDescent="0.25">
      <c r="A290" s="1" t="s">
        <v>148</v>
      </c>
      <c r="B290" s="1" t="s">
        <v>149</v>
      </c>
      <c r="C290" s="1" t="s">
        <v>1057</v>
      </c>
      <c r="D290" s="1" t="s">
        <v>1048</v>
      </c>
      <c r="E290" s="1" t="s">
        <v>1040</v>
      </c>
      <c r="F290" s="6">
        <v>97645</v>
      </c>
      <c r="G290" s="6">
        <v>76691</v>
      </c>
      <c r="H290" s="6">
        <f t="shared" si="12"/>
        <v>20954</v>
      </c>
      <c r="I290" s="7">
        <f t="shared" si="13"/>
        <v>0.27322632381896178</v>
      </c>
      <c r="J290" s="1" t="str">
        <f t="shared" si="14"/>
        <v>Increase</v>
      </c>
    </row>
    <row r="291" spans="1:10" x14ac:dyDescent="0.25">
      <c r="A291" s="1" t="s">
        <v>148</v>
      </c>
      <c r="B291" s="1" t="s">
        <v>149</v>
      </c>
      <c r="C291" s="1" t="s">
        <v>1057</v>
      </c>
      <c r="D291" s="1" t="s">
        <v>1048</v>
      </c>
      <c r="E291" s="1" t="s">
        <v>1041</v>
      </c>
      <c r="F291" s="6">
        <v>75640</v>
      </c>
      <c r="G291" s="6">
        <v>97645</v>
      </c>
      <c r="H291" s="6">
        <f t="shared" si="12"/>
        <v>-22005</v>
      </c>
      <c r="I291" s="7">
        <f t="shared" si="13"/>
        <v>-0.2253571611449639</v>
      </c>
      <c r="J291" s="1" t="str">
        <f t="shared" si="14"/>
        <v>Decrease</v>
      </c>
    </row>
    <row r="292" spans="1:10" x14ac:dyDescent="0.25">
      <c r="A292" s="1" t="s">
        <v>148</v>
      </c>
      <c r="B292" s="1" t="s">
        <v>149</v>
      </c>
      <c r="C292" s="1" t="s">
        <v>1057</v>
      </c>
      <c r="D292" s="1" t="s">
        <v>1048</v>
      </c>
      <c r="E292" s="1" t="s">
        <v>1042</v>
      </c>
      <c r="F292" s="6">
        <v>61962</v>
      </c>
      <c r="G292" s="6">
        <v>75640</v>
      </c>
      <c r="H292" s="6">
        <f t="shared" si="12"/>
        <v>-13678</v>
      </c>
      <c r="I292" s="7">
        <f t="shared" si="13"/>
        <v>-0.18083024854574301</v>
      </c>
      <c r="J292" s="1" t="str">
        <f t="shared" si="14"/>
        <v>Decrease</v>
      </c>
    </row>
    <row r="293" spans="1:10" x14ac:dyDescent="0.25">
      <c r="A293" s="1" t="s">
        <v>148</v>
      </c>
      <c r="B293" s="1" t="s">
        <v>149</v>
      </c>
      <c r="C293" s="1" t="s">
        <v>1050</v>
      </c>
      <c r="D293" s="1" t="s">
        <v>1051</v>
      </c>
      <c r="E293" s="1" t="s">
        <v>1040</v>
      </c>
      <c r="F293" s="6">
        <v>79421</v>
      </c>
      <c r="G293" s="6">
        <v>68210</v>
      </c>
      <c r="H293" s="6">
        <f t="shared" si="12"/>
        <v>11211</v>
      </c>
      <c r="I293" s="7">
        <f t="shared" si="13"/>
        <v>0.16436006450667057</v>
      </c>
      <c r="J293" s="1" t="str">
        <f t="shared" si="14"/>
        <v>Increase</v>
      </c>
    </row>
    <row r="294" spans="1:10" x14ac:dyDescent="0.25">
      <c r="A294" s="1" t="s">
        <v>148</v>
      </c>
      <c r="B294" s="1" t="s">
        <v>149</v>
      </c>
      <c r="C294" s="1" t="s">
        <v>1050</v>
      </c>
      <c r="D294" s="1" t="s">
        <v>1051</v>
      </c>
      <c r="E294" s="1" t="s">
        <v>1041</v>
      </c>
      <c r="F294" s="6">
        <v>89719</v>
      </c>
      <c r="G294" s="6">
        <v>79421</v>
      </c>
      <c r="H294" s="6">
        <f t="shared" si="12"/>
        <v>10298</v>
      </c>
      <c r="I294" s="7">
        <f t="shared" si="13"/>
        <v>0.12966343914078141</v>
      </c>
      <c r="J294" s="1" t="str">
        <f t="shared" si="14"/>
        <v>Increase</v>
      </c>
    </row>
    <row r="295" spans="1:10" x14ac:dyDescent="0.25">
      <c r="A295" s="1" t="s">
        <v>148</v>
      </c>
      <c r="B295" s="1" t="s">
        <v>149</v>
      </c>
      <c r="C295" s="1" t="s">
        <v>1050</v>
      </c>
      <c r="D295" s="1" t="s">
        <v>1051</v>
      </c>
      <c r="E295" s="1" t="s">
        <v>1042</v>
      </c>
      <c r="F295" s="6">
        <v>88158</v>
      </c>
      <c r="G295" s="6">
        <v>89719</v>
      </c>
      <c r="H295" s="6">
        <f t="shared" si="12"/>
        <v>-1561</v>
      </c>
      <c r="I295" s="7">
        <f t="shared" si="13"/>
        <v>-1.7398767262229851E-2</v>
      </c>
      <c r="J295" s="1" t="str">
        <f t="shared" si="14"/>
        <v>Flat</v>
      </c>
    </row>
  </sheetData>
  <conditionalFormatting sqref="I2:I295">
    <cfRule type="cellIs" dxfId="5" priority="1" operator="greaterThan">
      <formula>0</formula>
    </cfRule>
    <cfRule type="cellIs" dxfId="4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2DF4-141B-43FE-A64D-C73DF34427CF}">
  <dimension ref="A1:I289"/>
  <sheetViews>
    <sheetView workbookViewId="0">
      <pane ySplit="1" topLeftCell="A2" activePane="bottomLeft" state="frozen"/>
      <selection pane="bottomLeft" activeCell="B7" sqref="B7"/>
    </sheetView>
  </sheetViews>
  <sheetFormatPr defaultRowHeight="15" x14ac:dyDescent="0.25"/>
  <cols>
    <col min="1" max="1" width="14.85546875" bestFit="1" customWidth="1"/>
    <col min="2" max="2" width="22" bestFit="1" customWidth="1"/>
    <col min="3" max="3" width="14.7109375" bestFit="1" customWidth="1"/>
    <col min="4" max="4" width="17.140625" bestFit="1" customWidth="1"/>
    <col min="5" max="5" width="20.42578125" bestFit="1" customWidth="1"/>
    <col min="6" max="6" width="16.85546875" bestFit="1" customWidth="1"/>
    <col min="7" max="7" width="15.5703125" bestFit="1" customWidth="1"/>
    <col min="8" max="8" width="18.7109375" bestFit="1" customWidth="1"/>
    <col min="9" max="9" width="20.140625" bestFit="1" customWidth="1"/>
  </cols>
  <sheetData>
    <row r="1" spans="1:9" x14ac:dyDescent="0.25">
      <c r="A1" s="3" t="s">
        <v>27</v>
      </c>
      <c r="B1" s="3" t="s">
        <v>105</v>
      </c>
      <c r="C1" s="3" t="s">
        <v>1067</v>
      </c>
      <c r="D1" s="3" t="s">
        <v>1068</v>
      </c>
      <c r="E1" s="3" t="s">
        <v>1069</v>
      </c>
      <c r="F1" s="3" t="s">
        <v>1070</v>
      </c>
      <c r="G1" s="3" t="s">
        <v>1071</v>
      </c>
      <c r="H1" s="3" t="s">
        <v>1072</v>
      </c>
      <c r="I1" s="3" t="s">
        <v>1073</v>
      </c>
    </row>
    <row r="2" spans="1:9" x14ac:dyDescent="0.25">
      <c r="A2" s="1" t="s">
        <v>117</v>
      </c>
      <c r="B2" s="1" t="s">
        <v>118</v>
      </c>
      <c r="C2" s="10">
        <v>45200</v>
      </c>
      <c r="D2" s="6">
        <v>411598</v>
      </c>
      <c r="E2" s="6">
        <v>223546</v>
      </c>
      <c r="F2" s="6">
        <v>46330</v>
      </c>
      <c r="G2" s="6">
        <v>3858</v>
      </c>
      <c r="H2" s="6">
        <v>137864</v>
      </c>
      <c r="I2" s="7"/>
    </row>
    <row r="3" spans="1:9" x14ac:dyDescent="0.25">
      <c r="A3" s="1" t="s">
        <v>117</v>
      </c>
      <c r="B3" s="1" t="s">
        <v>118</v>
      </c>
      <c r="C3" s="10">
        <v>45231</v>
      </c>
      <c r="D3" s="6">
        <v>406368</v>
      </c>
      <c r="E3" s="6">
        <v>220904</v>
      </c>
      <c r="F3" s="6">
        <v>45682</v>
      </c>
      <c r="G3" s="6">
        <v>3857</v>
      </c>
      <c r="H3" s="6">
        <v>135924</v>
      </c>
      <c r="I3" s="7">
        <f t="shared" ref="I3:I37" si="0">(D3-D2)/D2</f>
        <v>-1.2706572918235754E-2</v>
      </c>
    </row>
    <row r="4" spans="1:9" x14ac:dyDescent="0.25">
      <c r="A4" s="1" t="s">
        <v>117</v>
      </c>
      <c r="B4" s="1" t="s">
        <v>118</v>
      </c>
      <c r="C4" s="10">
        <v>45261</v>
      </c>
      <c r="D4" s="6">
        <v>417663</v>
      </c>
      <c r="E4" s="6">
        <v>227243</v>
      </c>
      <c r="F4" s="6">
        <v>49238</v>
      </c>
      <c r="G4" s="6">
        <v>4318</v>
      </c>
      <c r="H4" s="6">
        <v>136864</v>
      </c>
      <c r="I4" s="7">
        <f t="shared" si="0"/>
        <v>2.7795003543586109E-2</v>
      </c>
    </row>
    <row r="5" spans="1:9" x14ac:dyDescent="0.25">
      <c r="A5" s="1" t="s">
        <v>117</v>
      </c>
      <c r="B5" s="1" t="s">
        <v>118</v>
      </c>
      <c r="C5" s="10">
        <v>45292</v>
      </c>
      <c r="D5" s="6">
        <v>397173</v>
      </c>
      <c r="E5" s="6">
        <v>216281</v>
      </c>
      <c r="F5" s="6">
        <v>46765</v>
      </c>
      <c r="G5" s="6">
        <v>4321</v>
      </c>
      <c r="H5" s="6">
        <v>129807</v>
      </c>
      <c r="I5" s="7">
        <f t="shared" si="0"/>
        <v>-4.9058690858419345E-2</v>
      </c>
    </row>
    <row r="6" spans="1:9" x14ac:dyDescent="0.25">
      <c r="A6" s="1" t="s">
        <v>117</v>
      </c>
      <c r="B6" s="1" t="s">
        <v>118</v>
      </c>
      <c r="C6" s="10">
        <v>45323</v>
      </c>
      <c r="D6" s="6">
        <v>410042</v>
      </c>
      <c r="E6" s="6">
        <v>223475</v>
      </c>
      <c r="F6" s="6">
        <v>48222</v>
      </c>
      <c r="G6" s="6">
        <v>4737</v>
      </c>
      <c r="H6" s="6">
        <v>133608</v>
      </c>
      <c r="I6" s="7">
        <f t="shared" si="0"/>
        <v>3.2401497584176167E-2</v>
      </c>
    </row>
    <row r="7" spans="1:9" x14ac:dyDescent="0.25">
      <c r="A7" s="1" t="s">
        <v>117</v>
      </c>
      <c r="B7" s="1" t="s">
        <v>118</v>
      </c>
      <c r="C7" s="10">
        <v>45352</v>
      </c>
      <c r="D7" s="6">
        <v>456671</v>
      </c>
      <c r="E7" s="6">
        <v>249091</v>
      </c>
      <c r="F7" s="6">
        <v>51088</v>
      </c>
      <c r="G7" s="6">
        <v>5368</v>
      </c>
      <c r="H7" s="6">
        <v>151125</v>
      </c>
      <c r="I7" s="7">
        <f t="shared" si="0"/>
        <v>0.1137176191707191</v>
      </c>
    </row>
    <row r="8" spans="1:9" x14ac:dyDescent="0.25">
      <c r="A8" s="1" t="s">
        <v>117</v>
      </c>
      <c r="B8" s="1" t="s">
        <v>118</v>
      </c>
      <c r="C8" s="10">
        <v>45383</v>
      </c>
      <c r="D8" s="6">
        <v>416853</v>
      </c>
      <c r="E8" s="6">
        <v>227553</v>
      </c>
      <c r="F8" s="6">
        <v>48909</v>
      </c>
      <c r="G8" s="6">
        <v>5515</v>
      </c>
      <c r="H8" s="6">
        <v>134876</v>
      </c>
      <c r="I8" s="7">
        <f t="shared" si="0"/>
        <v>-8.7191873361785618E-2</v>
      </c>
    </row>
    <row r="9" spans="1:9" x14ac:dyDescent="0.25">
      <c r="A9" s="1" t="s">
        <v>117</v>
      </c>
      <c r="B9" s="1" t="s">
        <v>118</v>
      </c>
      <c r="C9" s="10">
        <v>45413</v>
      </c>
      <c r="D9" s="6">
        <v>420087</v>
      </c>
      <c r="E9" s="6">
        <v>229496</v>
      </c>
      <c r="F9" s="6">
        <v>49233</v>
      </c>
      <c r="G9" s="6">
        <v>5967</v>
      </c>
      <c r="H9" s="6">
        <v>135391</v>
      </c>
      <c r="I9" s="7">
        <f t="shared" si="0"/>
        <v>7.7581305640117742E-3</v>
      </c>
    </row>
    <row r="10" spans="1:9" x14ac:dyDescent="0.25">
      <c r="A10" s="1" t="s">
        <v>117</v>
      </c>
      <c r="B10" s="1" t="s">
        <v>118</v>
      </c>
      <c r="C10" s="10">
        <v>45444</v>
      </c>
      <c r="D10" s="6">
        <v>450594</v>
      </c>
      <c r="E10" s="6">
        <v>246349</v>
      </c>
      <c r="F10" s="6">
        <v>52750</v>
      </c>
      <c r="G10" s="6">
        <v>6874</v>
      </c>
      <c r="H10" s="6">
        <v>144620</v>
      </c>
      <c r="I10" s="7">
        <f t="shared" si="0"/>
        <v>7.2620671432346157E-2</v>
      </c>
    </row>
    <row r="11" spans="1:9" x14ac:dyDescent="0.25">
      <c r="A11" s="1" t="s">
        <v>117</v>
      </c>
      <c r="B11" s="1" t="s">
        <v>118</v>
      </c>
      <c r="C11" s="10">
        <v>45474</v>
      </c>
      <c r="D11" s="6">
        <v>438098</v>
      </c>
      <c r="E11" s="6">
        <v>239695</v>
      </c>
      <c r="F11" s="6">
        <v>53928</v>
      </c>
      <c r="G11" s="6">
        <v>7553</v>
      </c>
      <c r="H11" s="6">
        <v>136922</v>
      </c>
      <c r="I11" s="7">
        <f t="shared" si="0"/>
        <v>-2.7732282276284194E-2</v>
      </c>
    </row>
    <row r="12" spans="1:9" x14ac:dyDescent="0.25">
      <c r="A12" s="1" t="s">
        <v>117</v>
      </c>
      <c r="B12" s="1" t="s">
        <v>118</v>
      </c>
      <c r="C12" s="10">
        <v>45505</v>
      </c>
      <c r="D12" s="6">
        <v>443705</v>
      </c>
      <c r="E12" s="6">
        <v>242939</v>
      </c>
      <c r="F12" s="6">
        <v>54561</v>
      </c>
      <c r="G12" s="6">
        <v>8203</v>
      </c>
      <c r="H12" s="6">
        <v>138002</v>
      </c>
      <c r="I12" s="7">
        <f t="shared" si="0"/>
        <v>1.2798506270286556E-2</v>
      </c>
    </row>
    <row r="13" spans="1:9" x14ac:dyDescent="0.25">
      <c r="A13" s="1" t="s">
        <v>117</v>
      </c>
      <c r="B13" s="1" t="s">
        <v>118</v>
      </c>
      <c r="C13" s="10">
        <v>45536</v>
      </c>
      <c r="D13" s="6">
        <v>451420</v>
      </c>
      <c r="E13" s="6">
        <v>247338</v>
      </c>
      <c r="F13" s="6">
        <v>52680</v>
      </c>
      <c r="G13" s="6">
        <v>8490</v>
      </c>
      <c r="H13" s="6">
        <v>142913</v>
      </c>
      <c r="I13" s="7">
        <f t="shared" si="0"/>
        <v>1.738767875052118E-2</v>
      </c>
    </row>
    <row r="14" spans="1:9" x14ac:dyDescent="0.25">
      <c r="A14" s="1" t="s">
        <v>117</v>
      </c>
      <c r="B14" s="1" t="s">
        <v>118</v>
      </c>
      <c r="C14" s="10">
        <v>45566</v>
      </c>
      <c r="D14" s="6">
        <v>477983</v>
      </c>
      <c r="E14" s="6">
        <v>262073</v>
      </c>
      <c r="F14" s="6">
        <v>53070</v>
      </c>
      <c r="G14" s="6">
        <v>9151</v>
      </c>
      <c r="H14" s="6">
        <v>153690</v>
      </c>
      <c r="I14" s="7">
        <f t="shared" si="0"/>
        <v>5.8843205883656019E-2</v>
      </c>
    </row>
    <row r="15" spans="1:9" x14ac:dyDescent="0.25">
      <c r="A15" s="1" t="s">
        <v>117</v>
      </c>
      <c r="B15" s="1" t="s">
        <v>118</v>
      </c>
      <c r="C15" s="10">
        <v>45597</v>
      </c>
      <c r="D15" s="6">
        <v>488753</v>
      </c>
      <c r="E15" s="6">
        <v>268159</v>
      </c>
      <c r="F15" s="6">
        <v>54212</v>
      </c>
      <c r="G15" s="6">
        <v>9983</v>
      </c>
      <c r="H15" s="6">
        <v>156400</v>
      </c>
      <c r="I15" s="7">
        <f t="shared" si="0"/>
        <v>2.2532182106895015E-2</v>
      </c>
    </row>
    <row r="16" spans="1:9" x14ac:dyDescent="0.25">
      <c r="A16" s="1" t="s">
        <v>117</v>
      </c>
      <c r="B16" s="1" t="s">
        <v>118</v>
      </c>
      <c r="C16" s="10">
        <v>45627</v>
      </c>
      <c r="D16" s="6">
        <v>463998</v>
      </c>
      <c r="E16" s="6">
        <v>254745</v>
      </c>
      <c r="F16" s="6">
        <v>53987</v>
      </c>
      <c r="G16" s="6">
        <v>10595</v>
      </c>
      <c r="H16" s="6">
        <v>144671</v>
      </c>
      <c r="I16" s="7">
        <f t="shared" si="0"/>
        <v>-5.0649305477408833E-2</v>
      </c>
    </row>
    <row r="17" spans="1:9" x14ac:dyDescent="0.25">
      <c r="A17" s="1" t="s">
        <v>117</v>
      </c>
      <c r="B17" s="1" t="s">
        <v>118</v>
      </c>
      <c r="C17" s="10">
        <v>45658</v>
      </c>
      <c r="D17" s="6">
        <v>472771</v>
      </c>
      <c r="E17" s="6">
        <v>259729</v>
      </c>
      <c r="F17" s="6">
        <v>54956</v>
      </c>
      <c r="G17" s="6">
        <v>11471</v>
      </c>
      <c r="H17" s="6">
        <v>146615</v>
      </c>
      <c r="I17" s="7">
        <f t="shared" si="0"/>
        <v>1.8907409083659843E-2</v>
      </c>
    </row>
    <row r="18" spans="1:9" x14ac:dyDescent="0.25">
      <c r="A18" s="1" t="s">
        <v>117</v>
      </c>
      <c r="B18" s="1" t="s">
        <v>118</v>
      </c>
      <c r="C18" s="10">
        <v>45689</v>
      </c>
      <c r="D18" s="6">
        <v>473580</v>
      </c>
      <c r="E18" s="6">
        <v>260338</v>
      </c>
      <c r="F18" s="6">
        <v>54998</v>
      </c>
      <c r="G18" s="6">
        <v>12185</v>
      </c>
      <c r="H18" s="6">
        <v>146058</v>
      </c>
      <c r="I18" s="7">
        <f t="shared" si="0"/>
        <v>1.7111878689682744E-3</v>
      </c>
    </row>
    <row r="19" spans="1:9" x14ac:dyDescent="0.25">
      <c r="A19" s="1" t="s">
        <v>117</v>
      </c>
      <c r="B19" s="1" t="s">
        <v>118</v>
      </c>
      <c r="C19" s="10">
        <v>45717</v>
      </c>
      <c r="D19" s="6">
        <v>519111</v>
      </c>
      <c r="E19" s="6">
        <v>285544</v>
      </c>
      <c r="F19" s="6">
        <v>57363</v>
      </c>
      <c r="G19" s="6">
        <v>13463</v>
      </c>
      <c r="H19" s="6">
        <v>162741</v>
      </c>
      <c r="I19" s="7">
        <f t="shared" si="0"/>
        <v>9.6142151273280116E-2</v>
      </c>
    </row>
    <row r="20" spans="1:9" x14ac:dyDescent="0.25">
      <c r="A20" s="1" t="s">
        <v>117</v>
      </c>
      <c r="B20" s="1" t="s">
        <v>118</v>
      </c>
      <c r="C20" s="10">
        <v>45748</v>
      </c>
      <c r="D20" s="6">
        <v>498827</v>
      </c>
      <c r="E20" s="6">
        <v>274553</v>
      </c>
      <c r="F20" s="6">
        <v>57826</v>
      </c>
      <c r="G20" s="6">
        <v>14349</v>
      </c>
      <c r="H20" s="6">
        <v>152099</v>
      </c>
      <c r="I20" s="7">
        <f t="shared" si="0"/>
        <v>-3.9074494664917525E-2</v>
      </c>
    </row>
    <row r="21" spans="1:9" x14ac:dyDescent="0.25">
      <c r="A21" s="1" t="s">
        <v>117</v>
      </c>
      <c r="B21" s="1" t="s">
        <v>118</v>
      </c>
      <c r="C21" s="10">
        <v>45778</v>
      </c>
      <c r="D21" s="6">
        <v>506415</v>
      </c>
      <c r="E21" s="6">
        <v>278895</v>
      </c>
      <c r="F21" s="6">
        <v>58654</v>
      </c>
      <c r="G21" s="6">
        <v>15359</v>
      </c>
      <c r="H21" s="6">
        <v>153507</v>
      </c>
      <c r="I21" s="7">
        <f t="shared" si="0"/>
        <v>1.521168661680302E-2</v>
      </c>
    </row>
    <row r="22" spans="1:9" x14ac:dyDescent="0.25">
      <c r="A22" s="1" t="s">
        <v>117</v>
      </c>
      <c r="B22" s="1" t="s">
        <v>118</v>
      </c>
      <c r="C22" s="10">
        <v>45809</v>
      </c>
      <c r="D22" s="6">
        <v>511641</v>
      </c>
      <c r="E22" s="6">
        <v>281937</v>
      </c>
      <c r="F22" s="6">
        <v>59208</v>
      </c>
      <c r="G22" s="6">
        <v>16331</v>
      </c>
      <c r="H22" s="6">
        <v>154165</v>
      </c>
      <c r="I22" s="7">
        <f t="shared" si="0"/>
        <v>1.0319599537928379E-2</v>
      </c>
    </row>
    <row r="23" spans="1:9" x14ac:dyDescent="0.25">
      <c r="A23" s="1" t="s">
        <v>117</v>
      </c>
      <c r="B23" s="1" t="s">
        <v>118</v>
      </c>
      <c r="C23" s="10">
        <v>45839</v>
      </c>
      <c r="D23" s="6">
        <v>459125</v>
      </c>
      <c r="E23" s="6">
        <v>253142</v>
      </c>
      <c r="F23" s="6">
        <v>55880</v>
      </c>
      <c r="G23" s="6">
        <v>16207</v>
      </c>
      <c r="H23" s="6">
        <v>133895</v>
      </c>
      <c r="I23" s="7">
        <f t="shared" si="0"/>
        <v>-0.10264228238159177</v>
      </c>
    </row>
    <row r="24" spans="1:9" x14ac:dyDescent="0.25">
      <c r="A24" s="1" t="s">
        <v>117</v>
      </c>
      <c r="B24" s="1" t="s">
        <v>118</v>
      </c>
      <c r="C24" s="10">
        <v>45870</v>
      </c>
      <c r="D24" s="6">
        <v>483739</v>
      </c>
      <c r="E24" s="6">
        <v>266862</v>
      </c>
      <c r="F24" s="6">
        <v>58827</v>
      </c>
      <c r="G24" s="6">
        <v>17911</v>
      </c>
      <c r="H24" s="6">
        <v>140138</v>
      </c>
      <c r="I24" s="7">
        <f t="shared" si="0"/>
        <v>5.3610672474816226E-2</v>
      </c>
    </row>
    <row r="25" spans="1:9" x14ac:dyDescent="0.25">
      <c r="A25" s="1" t="s">
        <v>117</v>
      </c>
      <c r="B25" s="1" t="s">
        <v>118</v>
      </c>
      <c r="C25" s="10">
        <v>45901</v>
      </c>
      <c r="D25" s="6">
        <v>534788</v>
      </c>
      <c r="E25" s="6">
        <v>295185</v>
      </c>
      <c r="F25" s="6">
        <v>61733</v>
      </c>
      <c r="G25" s="6">
        <v>19700</v>
      </c>
      <c r="H25" s="6">
        <v>158169</v>
      </c>
      <c r="I25" s="7">
        <f t="shared" si="0"/>
        <v>0.10553004822848686</v>
      </c>
    </row>
    <row r="26" spans="1:9" x14ac:dyDescent="0.25">
      <c r="A26" s="1" t="s">
        <v>117</v>
      </c>
      <c r="B26" s="1" t="s">
        <v>118</v>
      </c>
      <c r="C26" s="10">
        <v>45931</v>
      </c>
      <c r="D26" s="6">
        <v>552490</v>
      </c>
      <c r="E26" s="6">
        <v>305120</v>
      </c>
      <c r="F26" s="6">
        <v>60691</v>
      </c>
      <c r="G26" s="6">
        <v>20268</v>
      </c>
      <c r="H26" s="6">
        <v>166411</v>
      </c>
      <c r="I26" s="7">
        <f t="shared" si="0"/>
        <v>3.3100967112201472E-2</v>
      </c>
    </row>
    <row r="27" spans="1:9" x14ac:dyDescent="0.25">
      <c r="A27" s="1" t="s">
        <v>117</v>
      </c>
      <c r="B27" s="1" t="s">
        <v>118</v>
      </c>
      <c r="C27" s="10">
        <v>45962</v>
      </c>
      <c r="D27" s="6">
        <v>528103</v>
      </c>
      <c r="E27" s="6">
        <v>291805</v>
      </c>
      <c r="F27" s="6">
        <v>57967</v>
      </c>
      <c r="G27" s="6">
        <v>20230</v>
      </c>
      <c r="H27" s="6">
        <v>158102</v>
      </c>
      <c r="I27" s="7">
        <f t="shared" si="0"/>
        <v>-4.4140165432858515E-2</v>
      </c>
    </row>
    <row r="28" spans="1:9" x14ac:dyDescent="0.25">
      <c r="A28" s="1" t="s">
        <v>117</v>
      </c>
      <c r="B28" s="1" t="s">
        <v>118</v>
      </c>
      <c r="C28" s="10">
        <v>45992</v>
      </c>
      <c r="D28" s="6">
        <v>550814</v>
      </c>
      <c r="E28" s="6">
        <v>304511</v>
      </c>
      <c r="F28" s="6">
        <v>63434</v>
      </c>
      <c r="G28" s="6">
        <v>23101</v>
      </c>
      <c r="H28" s="6">
        <v>159768</v>
      </c>
      <c r="I28" s="7">
        <f t="shared" si="0"/>
        <v>4.300486836848115E-2</v>
      </c>
    </row>
    <row r="29" spans="1:9" x14ac:dyDescent="0.25">
      <c r="A29" s="1" t="s">
        <v>117</v>
      </c>
      <c r="B29" s="1" t="s">
        <v>118</v>
      </c>
      <c r="C29" s="10">
        <v>46023</v>
      </c>
      <c r="D29" s="6">
        <v>516655</v>
      </c>
      <c r="E29" s="6">
        <v>285770</v>
      </c>
      <c r="F29" s="6">
        <v>59455</v>
      </c>
      <c r="G29" s="6">
        <v>22565</v>
      </c>
      <c r="H29" s="6">
        <v>148864</v>
      </c>
      <c r="I29" s="7">
        <f t="shared" si="0"/>
        <v>-6.201548980236523E-2</v>
      </c>
    </row>
    <row r="30" spans="1:9" x14ac:dyDescent="0.25">
      <c r="A30" s="1" t="s">
        <v>117</v>
      </c>
      <c r="B30" s="1" t="s">
        <v>118</v>
      </c>
      <c r="C30" s="10">
        <v>46054</v>
      </c>
      <c r="D30" s="6">
        <v>542637</v>
      </c>
      <c r="E30" s="6">
        <v>300290</v>
      </c>
      <c r="F30" s="6">
        <v>62399</v>
      </c>
      <c r="G30" s="6">
        <v>24650</v>
      </c>
      <c r="H30" s="6">
        <v>155298</v>
      </c>
      <c r="I30" s="7">
        <f t="shared" si="0"/>
        <v>5.028887749078205E-2</v>
      </c>
    </row>
    <row r="31" spans="1:9" x14ac:dyDescent="0.25">
      <c r="A31" s="1" t="s">
        <v>117</v>
      </c>
      <c r="B31" s="1" t="s">
        <v>118</v>
      </c>
      <c r="C31" s="10">
        <v>46082</v>
      </c>
      <c r="D31" s="6">
        <v>560813</v>
      </c>
      <c r="E31" s="6">
        <v>310499</v>
      </c>
      <c r="F31" s="6">
        <v>61373</v>
      </c>
      <c r="G31" s="6">
        <v>25205</v>
      </c>
      <c r="H31" s="6">
        <v>163735</v>
      </c>
      <c r="I31" s="7">
        <f t="shared" si="0"/>
        <v>3.3495688646369488E-2</v>
      </c>
    </row>
    <row r="32" spans="1:9" x14ac:dyDescent="0.25">
      <c r="A32" s="1" t="s">
        <v>117</v>
      </c>
      <c r="B32" s="1" t="s">
        <v>118</v>
      </c>
      <c r="C32" s="10">
        <v>46113</v>
      </c>
      <c r="D32" s="6">
        <v>568863</v>
      </c>
      <c r="E32" s="6">
        <v>315107</v>
      </c>
      <c r="F32" s="6">
        <v>65320</v>
      </c>
      <c r="G32" s="6">
        <v>27856</v>
      </c>
      <c r="H32" s="6">
        <v>160580</v>
      </c>
      <c r="I32" s="7">
        <f t="shared" si="0"/>
        <v>1.4354160834360117E-2</v>
      </c>
    </row>
    <row r="33" spans="1:9" x14ac:dyDescent="0.25">
      <c r="A33" s="1" t="s">
        <v>117</v>
      </c>
      <c r="B33" s="1" t="s">
        <v>118</v>
      </c>
      <c r="C33" s="10">
        <v>46143</v>
      </c>
      <c r="D33" s="6">
        <v>538497</v>
      </c>
      <c r="E33" s="6">
        <v>298426</v>
      </c>
      <c r="F33" s="6">
        <v>61790</v>
      </c>
      <c r="G33" s="6">
        <v>27333</v>
      </c>
      <c r="H33" s="6">
        <v>150948</v>
      </c>
      <c r="I33" s="7">
        <f t="shared" si="0"/>
        <v>-5.3380163589475851E-2</v>
      </c>
    </row>
    <row r="34" spans="1:9" x14ac:dyDescent="0.25">
      <c r="A34" s="1" t="s">
        <v>117</v>
      </c>
      <c r="B34" s="1" t="s">
        <v>118</v>
      </c>
      <c r="C34" s="10">
        <v>46174</v>
      </c>
      <c r="D34" s="6">
        <v>569198</v>
      </c>
      <c r="E34" s="6">
        <v>315585</v>
      </c>
      <c r="F34" s="6">
        <v>65268</v>
      </c>
      <c r="G34" s="6">
        <v>29916</v>
      </c>
      <c r="H34" s="6">
        <v>158430</v>
      </c>
      <c r="I34" s="7">
        <f t="shared" si="0"/>
        <v>5.7012388184149589E-2</v>
      </c>
    </row>
    <row r="35" spans="1:9" x14ac:dyDescent="0.25">
      <c r="A35" s="1" t="s">
        <v>117</v>
      </c>
      <c r="B35" s="1" t="s">
        <v>118</v>
      </c>
      <c r="C35" s="10">
        <v>46204</v>
      </c>
      <c r="D35" s="6">
        <v>537557</v>
      </c>
      <c r="E35" s="6">
        <v>298176</v>
      </c>
      <c r="F35" s="6">
        <v>64840</v>
      </c>
      <c r="G35" s="6">
        <v>30765</v>
      </c>
      <c r="H35" s="6">
        <v>143776</v>
      </c>
      <c r="I35" s="7">
        <f t="shared" si="0"/>
        <v>-5.5588740649123856E-2</v>
      </c>
    </row>
    <row r="36" spans="1:9" x14ac:dyDescent="0.25">
      <c r="A36" s="1" t="s">
        <v>117</v>
      </c>
      <c r="B36" s="1" t="s">
        <v>118</v>
      </c>
      <c r="C36" s="10">
        <v>46235</v>
      </c>
      <c r="D36" s="6">
        <v>533169</v>
      </c>
      <c r="E36" s="6">
        <v>295873</v>
      </c>
      <c r="F36" s="6">
        <v>64268</v>
      </c>
      <c r="G36" s="6">
        <v>31536</v>
      </c>
      <c r="H36" s="6">
        <v>141493</v>
      </c>
      <c r="I36" s="7">
        <f t="shared" si="0"/>
        <v>-8.1628552879043532E-3</v>
      </c>
    </row>
    <row r="37" spans="1:9" x14ac:dyDescent="0.25">
      <c r="A37" s="1" t="s">
        <v>117</v>
      </c>
      <c r="B37" s="1" t="s">
        <v>118</v>
      </c>
      <c r="C37" s="10">
        <v>46266</v>
      </c>
      <c r="D37" s="6">
        <v>588489</v>
      </c>
      <c r="E37" s="6">
        <v>326714</v>
      </c>
      <c r="F37" s="6">
        <v>67345</v>
      </c>
      <c r="G37" s="6">
        <v>34144</v>
      </c>
      <c r="H37" s="6">
        <v>160286</v>
      </c>
      <c r="I37" s="7">
        <f t="shared" si="0"/>
        <v>0.10375697011641712</v>
      </c>
    </row>
    <row r="38" spans="1:9" x14ac:dyDescent="0.25">
      <c r="A38" s="1" t="s">
        <v>122</v>
      </c>
      <c r="B38" s="1" t="s">
        <v>123</v>
      </c>
      <c r="C38" s="10">
        <v>45200</v>
      </c>
      <c r="D38" s="6">
        <v>208737</v>
      </c>
      <c r="E38" s="6">
        <v>81086</v>
      </c>
      <c r="F38" s="6">
        <v>24378</v>
      </c>
      <c r="G38" s="6">
        <v>22206</v>
      </c>
      <c r="H38" s="6">
        <v>81068</v>
      </c>
      <c r="I38" s="7"/>
    </row>
    <row r="39" spans="1:9" x14ac:dyDescent="0.25">
      <c r="A39" s="1" t="s">
        <v>122</v>
      </c>
      <c r="B39" s="1" t="s">
        <v>123</v>
      </c>
      <c r="C39" s="10">
        <v>45231</v>
      </c>
      <c r="D39" s="6">
        <v>218153</v>
      </c>
      <c r="E39" s="6">
        <v>83347</v>
      </c>
      <c r="F39" s="6">
        <v>26184</v>
      </c>
      <c r="G39" s="6">
        <v>23093</v>
      </c>
      <c r="H39" s="6">
        <v>85530</v>
      </c>
      <c r="I39" s="7">
        <f t="shared" ref="I39:I73" si="1">(D39-D38)/D38</f>
        <v>4.5109396034244048E-2</v>
      </c>
    </row>
    <row r="40" spans="1:9" x14ac:dyDescent="0.25">
      <c r="A40" s="1" t="s">
        <v>122</v>
      </c>
      <c r="B40" s="1" t="s">
        <v>123</v>
      </c>
      <c r="C40" s="10">
        <v>45261</v>
      </c>
      <c r="D40" s="6">
        <v>204043</v>
      </c>
      <c r="E40" s="6">
        <v>76707</v>
      </c>
      <c r="F40" s="6">
        <v>26378</v>
      </c>
      <c r="G40" s="6">
        <v>22978</v>
      </c>
      <c r="H40" s="6">
        <v>77980</v>
      </c>
      <c r="I40" s="7">
        <f t="shared" si="1"/>
        <v>-6.4679376400966299E-2</v>
      </c>
    </row>
    <row r="41" spans="1:9" x14ac:dyDescent="0.25">
      <c r="A41" s="1" t="s">
        <v>122</v>
      </c>
      <c r="B41" s="1" t="s">
        <v>123</v>
      </c>
      <c r="C41" s="10">
        <v>45292</v>
      </c>
      <c r="D41" s="6">
        <v>210825</v>
      </c>
      <c r="E41" s="6">
        <v>78022</v>
      </c>
      <c r="F41" s="6">
        <v>27910</v>
      </c>
      <c r="G41" s="6">
        <v>24329</v>
      </c>
      <c r="H41" s="6">
        <v>80563</v>
      </c>
      <c r="I41" s="7">
        <f t="shared" si="1"/>
        <v>3.3238091970810076E-2</v>
      </c>
    </row>
    <row r="42" spans="1:9" x14ac:dyDescent="0.25">
      <c r="A42" s="1" t="s">
        <v>122</v>
      </c>
      <c r="B42" s="1" t="s">
        <v>123</v>
      </c>
      <c r="C42" s="10">
        <v>45323</v>
      </c>
      <c r="D42" s="6">
        <v>224547</v>
      </c>
      <c r="E42" s="6">
        <v>81842</v>
      </c>
      <c r="F42" s="6">
        <v>30395</v>
      </c>
      <c r="G42" s="6">
        <v>26770</v>
      </c>
      <c r="H42" s="6">
        <v>85540</v>
      </c>
      <c r="I42" s="7">
        <f t="shared" si="1"/>
        <v>6.5087157595161871E-2</v>
      </c>
    </row>
    <row r="43" spans="1:9" x14ac:dyDescent="0.25">
      <c r="A43" s="1" t="s">
        <v>122</v>
      </c>
      <c r="B43" s="1" t="s">
        <v>123</v>
      </c>
      <c r="C43" s="10">
        <v>45352</v>
      </c>
      <c r="D43" s="6">
        <v>232332</v>
      </c>
      <c r="E43" s="6">
        <v>83430</v>
      </c>
      <c r="F43" s="6">
        <v>30583</v>
      </c>
      <c r="G43" s="6">
        <v>27411</v>
      </c>
      <c r="H43" s="6">
        <v>90907</v>
      </c>
      <c r="I43" s="7">
        <f t="shared" si="1"/>
        <v>3.4669801867760426E-2</v>
      </c>
    </row>
    <row r="44" spans="1:9" x14ac:dyDescent="0.25">
      <c r="A44" s="1" t="s">
        <v>122</v>
      </c>
      <c r="B44" s="1" t="s">
        <v>123</v>
      </c>
      <c r="C44" s="10">
        <v>45383</v>
      </c>
      <c r="D44" s="6">
        <v>229274</v>
      </c>
      <c r="E44" s="6">
        <v>81150</v>
      </c>
      <c r="F44" s="6">
        <v>32317</v>
      </c>
      <c r="G44" s="6">
        <v>29633</v>
      </c>
      <c r="H44" s="6">
        <v>86173</v>
      </c>
      <c r="I44" s="7">
        <f t="shared" si="1"/>
        <v>-1.3162198922231978E-2</v>
      </c>
    </row>
    <row r="45" spans="1:9" x14ac:dyDescent="0.25">
      <c r="A45" s="1" t="s">
        <v>122</v>
      </c>
      <c r="B45" s="1" t="s">
        <v>123</v>
      </c>
      <c r="C45" s="10">
        <v>45413</v>
      </c>
      <c r="D45" s="6">
        <v>233068</v>
      </c>
      <c r="E45" s="6">
        <v>81339</v>
      </c>
      <c r="F45" s="6">
        <v>33465</v>
      </c>
      <c r="G45" s="6">
        <v>31515</v>
      </c>
      <c r="H45" s="6">
        <v>86749</v>
      </c>
      <c r="I45" s="7">
        <f t="shared" si="1"/>
        <v>1.6547885935605432E-2</v>
      </c>
    </row>
    <row r="46" spans="1:9" x14ac:dyDescent="0.25">
      <c r="A46" s="1" t="s">
        <v>122</v>
      </c>
      <c r="B46" s="1" t="s">
        <v>123</v>
      </c>
      <c r="C46" s="10">
        <v>45444</v>
      </c>
      <c r="D46" s="6">
        <v>234781</v>
      </c>
      <c r="E46" s="6">
        <v>80820</v>
      </c>
      <c r="F46" s="6">
        <v>34304</v>
      </c>
      <c r="G46" s="6">
        <v>33270</v>
      </c>
      <c r="H46" s="6">
        <v>86387</v>
      </c>
      <c r="I46" s="7">
        <f t="shared" si="1"/>
        <v>7.3497863284534984E-3</v>
      </c>
    </row>
    <row r="47" spans="1:9" x14ac:dyDescent="0.25">
      <c r="A47" s="1" t="s">
        <v>122</v>
      </c>
      <c r="B47" s="1" t="s">
        <v>123</v>
      </c>
      <c r="C47" s="10">
        <v>45474</v>
      </c>
      <c r="D47" s="6">
        <v>239653</v>
      </c>
      <c r="E47" s="6">
        <v>81400</v>
      </c>
      <c r="F47" s="6">
        <v>37472</v>
      </c>
      <c r="G47" s="6">
        <v>37497</v>
      </c>
      <c r="H47" s="6">
        <v>83283</v>
      </c>
      <c r="I47" s="7">
        <f t="shared" si="1"/>
        <v>2.0751253295624432E-2</v>
      </c>
    </row>
    <row r="48" spans="1:9" x14ac:dyDescent="0.25">
      <c r="A48" s="1" t="s">
        <v>122</v>
      </c>
      <c r="B48" s="1" t="s">
        <v>123</v>
      </c>
      <c r="C48" s="10">
        <v>45505</v>
      </c>
      <c r="D48" s="6">
        <v>236199</v>
      </c>
      <c r="E48" s="6">
        <v>79187</v>
      </c>
      <c r="F48" s="6">
        <v>37514</v>
      </c>
      <c r="G48" s="6">
        <v>38780</v>
      </c>
      <c r="H48" s="6">
        <v>80719</v>
      </c>
      <c r="I48" s="7">
        <f t="shared" si="1"/>
        <v>-1.4412504746445903E-2</v>
      </c>
    </row>
    <row r="49" spans="1:9" x14ac:dyDescent="0.25">
      <c r="A49" s="1" t="s">
        <v>122</v>
      </c>
      <c r="B49" s="1" t="s">
        <v>123</v>
      </c>
      <c r="C49" s="10">
        <v>45536</v>
      </c>
      <c r="D49" s="6">
        <v>260096</v>
      </c>
      <c r="E49" s="6">
        <v>86095</v>
      </c>
      <c r="F49" s="6">
        <v>39829</v>
      </c>
      <c r="G49" s="6">
        <v>42564</v>
      </c>
      <c r="H49" s="6">
        <v>91607</v>
      </c>
      <c r="I49" s="7">
        <f t="shared" si="1"/>
        <v>0.10117316330721129</v>
      </c>
    </row>
    <row r="50" spans="1:9" x14ac:dyDescent="0.25">
      <c r="A50" s="1" t="s">
        <v>122</v>
      </c>
      <c r="B50" s="1" t="s">
        <v>123</v>
      </c>
      <c r="C50" s="10">
        <v>45566</v>
      </c>
      <c r="D50" s="6">
        <v>280027</v>
      </c>
      <c r="E50" s="6">
        <v>91548</v>
      </c>
      <c r="F50" s="6">
        <v>41419</v>
      </c>
      <c r="G50" s="6">
        <v>45772</v>
      </c>
      <c r="H50" s="6">
        <v>101288</v>
      </c>
      <c r="I50" s="7">
        <f t="shared" si="1"/>
        <v>7.6629398375984245E-2</v>
      </c>
    </row>
    <row r="51" spans="1:9" x14ac:dyDescent="0.25">
      <c r="A51" s="1" t="s">
        <v>122</v>
      </c>
      <c r="B51" s="1" t="s">
        <v>123</v>
      </c>
      <c r="C51" s="10">
        <v>45597</v>
      </c>
      <c r="D51" s="6">
        <v>274235</v>
      </c>
      <c r="E51" s="6">
        <v>88573</v>
      </c>
      <c r="F51" s="6">
        <v>41109</v>
      </c>
      <c r="G51" s="6">
        <v>46979</v>
      </c>
      <c r="H51" s="6">
        <v>97574</v>
      </c>
      <c r="I51" s="7">
        <f t="shared" si="1"/>
        <v>-2.0683719784163671E-2</v>
      </c>
    </row>
    <row r="52" spans="1:9" x14ac:dyDescent="0.25">
      <c r="A52" s="1" t="s">
        <v>122</v>
      </c>
      <c r="B52" s="1" t="s">
        <v>123</v>
      </c>
      <c r="C52" s="10">
        <v>45627</v>
      </c>
      <c r="D52" s="6">
        <v>275619</v>
      </c>
      <c r="E52" s="6">
        <v>87972</v>
      </c>
      <c r="F52" s="6">
        <v>43939</v>
      </c>
      <c r="G52" s="6">
        <v>51915</v>
      </c>
      <c r="H52" s="6">
        <v>91793</v>
      </c>
      <c r="I52" s="7">
        <f t="shared" si="1"/>
        <v>5.0467664594234874E-3</v>
      </c>
    </row>
    <row r="53" spans="1:9" x14ac:dyDescent="0.25">
      <c r="A53" s="1" t="s">
        <v>122</v>
      </c>
      <c r="B53" s="1" t="s">
        <v>123</v>
      </c>
      <c r="C53" s="10">
        <v>45658</v>
      </c>
      <c r="D53" s="6">
        <v>278755</v>
      </c>
      <c r="E53" s="6">
        <v>87948</v>
      </c>
      <c r="F53" s="6">
        <v>44983</v>
      </c>
      <c r="G53" s="6">
        <v>54929</v>
      </c>
      <c r="H53" s="6">
        <v>90895</v>
      </c>
      <c r="I53" s="7">
        <f t="shared" si="1"/>
        <v>1.137802546268581E-2</v>
      </c>
    </row>
    <row r="54" spans="1:9" x14ac:dyDescent="0.25">
      <c r="A54" s="1" t="s">
        <v>122</v>
      </c>
      <c r="B54" s="1" t="s">
        <v>123</v>
      </c>
      <c r="C54" s="10">
        <v>45689</v>
      </c>
      <c r="D54" s="6">
        <v>266922</v>
      </c>
      <c r="E54" s="6">
        <v>83267</v>
      </c>
      <c r="F54" s="6">
        <v>43577</v>
      </c>
      <c r="G54" s="6">
        <v>54967</v>
      </c>
      <c r="H54" s="6">
        <v>85111</v>
      </c>
      <c r="I54" s="7">
        <f t="shared" si="1"/>
        <v>-4.2449462789905114E-2</v>
      </c>
    </row>
    <row r="55" spans="1:9" x14ac:dyDescent="0.25">
      <c r="A55" s="1" t="s">
        <v>122</v>
      </c>
      <c r="B55" s="1" t="s">
        <v>123</v>
      </c>
      <c r="C55" s="10">
        <v>45717</v>
      </c>
      <c r="D55" s="6">
        <v>291198</v>
      </c>
      <c r="E55" s="6">
        <v>89841</v>
      </c>
      <c r="F55" s="6">
        <v>45782</v>
      </c>
      <c r="G55" s="6">
        <v>59619</v>
      </c>
      <c r="H55" s="6">
        <v>95957</v>
      </c>
      <c r="I55" s="7">
        <f t="shared" si="1"/>
        <v>9.0947917369119072E-2</v>
      </c>
    </row>
    <row r="56" spans="1:9" x14ac:dyDescent="0.25">
      <c r="A56" s="1" t="s">
        <v>122</v>
      </c>
      <c r="B56" s="1" t="s">
        <v>123</v>
      </c>
      <c r="C56" s="10">
        <v>45748</v>
      </c>
      <c r="D56" s="6">
        <v>287235</v>
      </c>
      <c r="E56" s="6">
        <v>87664</v>
      </c>
      <c r="F56" s="6">
        <v>47923</v>
      </c>
      <c r="G56" s="6">
        <v>64387</v>
      </c>
      <c r="H56" s="6">
        <v>87261</v>
      </c>
      <c r="I56" s="7">
        <f t="shared" si="1"/>
        <v>-1.3609296767148126E-2</v>
      </c>
    </row>
    <row r="57" spans="1:9" x14ac:dyDescent="0.25">
      <c r="A57" s="1" t="s">
        <v>122</v>
      </c>
      <c r="B57" s="1" t="s">
        <v>123</v>
      </c>
      <c r="C57" s="10">
        <v>45778</v>
      </c>
      <c r="D57" s="6">
        <v>285698</v>
      </c>
      <c r="E57" s="6">
        <v>86277</v>
      </c>
      <c r="F57" s="6">
        <v>48154</v>
      </c>
      <c r="G57" s="6">
        <v>66704</v>
      </c>
      <c r="H57" s="6">
        <v>84563</v>
      </c>
      <c r="I57" s="7">
        <f t="shared" si="1"/>
        <v>-5.351019200306369E-3</v>
      </c>
    </row>
    <row r="58" spans="1:9" x14ac:dyDescent="0.25">
      <c r="A58" s="1" t="s">
        <v>122</v>
      </c>
      <c r="B58" s="1" t="s">
        <v>123</v>
      </c>
      <c r="C58" s="10">
        <v>45809</v>
      </c>
      <c r="D58" s="6">
        <v>291941</v>
      </c>
      <c r="E58" s="6">
        <v>87254</v>
      </c>
      <c r="F58" s="6">
        <v>49689</v>
      </c>
      <c r="G58" s="6">
        <v>70914</v>
      </c>
      <c r="H58" s="6">
        <v>84084</v>
      </c>
      <c r="I58" s="7">
        <f t="shared" si="1"/>
        <v>2.1851745549496322E-2</v>
      </c>
    </row>
    <row r="59" spans="1:9" x14ac:dyDescent="0.25">
      <c r="A59" s="1" t="s">
        <v>122</v>
      </c>
      <c r="B59" s="1" t="s">
        <v>123</v>
      </c>
      <c r="C59" s="10">
        <v>45839</v>
      </c>
      <c r="D59" s="6">
        <v>287228</v>
      </c>
      <c r="E59" s="6">
        <v>84979</v>
      </c>
      <c r="F59" s="6">
        <v>51944</v>
      </c>
      <c r="G59" s="6">
        <v>76323</v>
      </c>
      <c r="H59" s="6">
        <v>73982</v>
      </c>
      <c r="I59" s="7">
        <f t="shared" si="1"/>
        <v>-1.6143672865407736E-2</v>
      </c>
    </row>
    <row r="60" spans="1:9" x14ac:dyDescent="0.25">
      <c r="A60" s="1" t="s">
        <v>122</v>
      </c>
      <c r="B60" s="1" t="s">
        <v>123</v>
      </c>
      <c r="C60" s="10">
        <v>45870</v>
      </c>
      <c r="D60" s="6">
        <v>285069</v>
      </c>
      <c r="E60" s="6">
        <v>83507</v>
      </c>
      <c r="F60" s="6">
        <v>52019</v>
      </c>
      <c r="G60" s="6">
        <v>78635</v>
      </c>
      <c r="H60" s="6">
        <v>70908</v>
      </c>
      <c r="I60" s="7">
        <f t="shared" si="1"/>
        <v>-7.5166766471235396E-3</v>
      </c>
    </row>
    <row r="61" spans="1:9" x14ac:dyDescent="0.25">
      <c r="A61" s="1" t="s">
        <v>122</v>
      </c>
      <c r="B61" s="1" t="s">
        <v>123</v>
      </c>
      <c r="C61" s="10">
        <v>45901</v>
      </c>
      <c r="D61" s="6">
        <v>308190</v>
      </c>
      <c r="E61" s="6">
        <v>89407</v>
      </c>
      <c r="F61" s="6">
        <v>53890</v>
      </c>
      <c r="G61" s="6">
        <v>83750</v>
      </c>
      <c r="H61" s="6">
        <v>81143</v>
      </c>
      <c r="I61" s="7">
        <f t="shared" si="1"/>
        <v>8.1106679435505091E-2</v>
      </c>
    </row>
    <row r="62" spans="1:9" x14ac:dyDescent="0.25">
      <c r="A62" s="1" t="s">
        <v>122</v>
      </c>
      <c r="B62" s="1" t="s">
        <v>123</v>
      </c>
      <c r="C62" s="10">
        <v>45931</v>
      </c>
      <c r="D62" s="6">
        <v>318489</v>
      </c>
      <c r="E62" s="6">
        <v>91518</v>
      </c>
      <c r="F62" s="6">
        <v>53482</v>
      </c>
      <c r="G62" s="6">
        <v>85388</v>
      </c>
      <c r="H62" s="6">
        <v>88100</v>
      </c>
      <c r="I62" s="7">
        <f t="shared" si="1"/>
        <v>3.3417696875304194E-2</v>
      </c>
    </row>
    <row r="63" spans="1:9" x14ac:dyDescent="0.25">
      <c r="A63" s="1" t="s">
        <v>122</v>
      </c>
      <c r="B63" s="1" t="s">
        <v>123</v>
      </c>
      <c r="C63" s="10">
        <v>45962</v>
      </c>
      <c r="D63" s="6">
        <v>326803</v>
      </c>
      <c r="E63" s="6">
        <v>93035</v>
      </c>
      <c r="F63" s="6">
        <v>55320</v>
      </c>
      <c r="G63" s="6">
        <v>90673</v>
      </c>
      <c r="H63" s="6">
        <v>87775</v>
      </c>
      <c r="I63" s="7">
        <f t="shared" si="1"/>
        <v>2.610451224375096E-2</v>
      </c>
    </row>
    <row r="64" spans="1:9" x14ac:dyDescent="0.25">
      <c r="A64" s="1" t="s">
        <v>122</v>
      </c>
      <c r="B64" s="1" t="s">
        <v>123</v>
      </c>
      <c r="C64" s="10">
        <v>45992</v>
      </c>
      <c r="D64" s="6">
        <v>310476</v>
      </c>
      <c r="E64" s="6">
        <v>87582</v>
      </c>
      <c r="F64" s="6">
        <v>55611</v>
      </c>
      <c r="G64" s="6">
        <v>93515</v>
      </c>
      <c r="H64" s="6">
        <v>73768</v>
      </c>
      <c r="I64" s="7">
        <f t="shared" si="1"/>
        <v>-4.9959761691294145E-2</v>
      </c>
    </row>
    <row r="65" spans="1:9" x14ac:dyDescent="0.25">
      <c r="A65" s="1" t="s">
        <v>122</v>
      </c>
      <c r="B65" s="1" t="s">
        <v>123</v>
      </c>
      <c r="C65" s="10">
        <v>46023</v>
      </c>
      <c r="D65" s="6">
        <v>321596</v>
      </c>
      <c r="E65" s="6">
        <v>89909</v>
      </c>
      <c r="F65" s="6">
        <v>58033</v>
      </c>
      <c r="G65" s="6">
        <v>100052</v>
      </c>
      <c r="H65" s="6">
        <v>73601</v>
      </c>
      <c r="I65" s="7">
        <f t="shared" si="1"/>
        <v>3.5815972893234904E-2</v>
      </c>
    </row>
    <row r="66" spans="1:9" x14ac:dyDescent="0.25">
      <c r="A66" s="1" t="s">
        <v>122</v>
      </c>
      <c r="B66" s="1" t="s">
        <v>123</v>
      </c>
      <c r="C66" s="10">
        <v>46054</v>
      </c>
      <c r="D66" s="6">
        <v>330375</v>
      </c>
      <c r="E66" s="6">
        <v>91554</v>
      </c>
      <c r="F66" s="6">
        <v>60047</v>
      </c>
      <c r="G66" s="6">
        <v>106071</v>
      </c>
      <c r="H66" s="6">
        <v>72703</v>
      </c>
      <c r="I66" s="7">
        <f t="shared" si="1"/>
        <v>2.7298225102302266E-2</v>
      </c>
    </row>
    <row r="67" spans="1:9" x14ac:dyDescent="0.25">
      <c r="A67" s="1" t="s">
        <v>122</v>
      </c>
      <c r="B67" s="1" t="s">
        <v>123</v>
      </c>
      <c r="C67" s="10">
        <v>46082</v>
      </c>
      <c r="D67" s="6">
        <v>367762</v>
      </c>
      <c r="E67" s="6">
        <v>101040</v>
      </c>
      <c r="F67" s="6">
        <v>64102</v>
      </c>
      <c r="G67" s="6">
        <v>115947</v>
      </c>
      <c r="H67" s="6">
        <v>86673</v>
      </c>
      <c r="I67" s="7">
        <f t="shared" si="1"/>
        <v>0.11316534241392358</v>
      </c>
    </row>
    <row r="68" spans="1:9" x14ac:dyDescent="0.25">
      <c r="A68" s="1" t="s">
        <v>122</v>
      </c>
      <c r="B68" s="1" t="s">
        <v>123</v>
      </c>
      <c r="C68" s="10">
        <v>46113</v>
      </c>
      <c r="D68" s="6">
        <v>348467</v>
      </c>
      <c r="E68" s="6">
        <v>94932</v>
      </c>
      <c r="F68" s="6">
        <v>64204</v>
      </c>
      <c r="G68" s="6">
        <v>118844</v>
      </c>
      <c r="H68" s="6">
        <v>70487</v>
      </c>
      <c r="I68" s="7">
        <f t="shared" si="1"/>
        <v>-5.2465997030688327E-2</v>
      </c>
    </row>
    <row r="69" spans="1:9" x14ac:dyDescent="0.25">
      <c r="A69" s="1" t="s">
        <v>122</v>
      </c>
      <c r="B69" s="1" t="s">
        <v>123</v>
      </c>
      <c r="C69" s="10">
        <v>46143</v>
      </c>
      <c r="D69" s="6">
        <v>359199</v>
      </c>
      <c r="E69" s="6">
        <v>97046</v>
      </c>
      <c r="F69" s="6">
        <v>66612</v>
      </c>
      <c r="G69" s="6">
        <v>126105</v>
      </c>
      <c r="H69" s="6">
        <v>69437</v>
      </c>
      <c r="I69" s="7">
        <f t="shared" si="1"/>
        <v>3.0797751293522774E-2</v>
      </c>
    </row>
    <row r="70" spans="1:9" x14ac:dyDescent="0.25">
      <c r="A70" s="1" t="s">
        <v>122</v>
      </c>
      <c r="B70" s="1" t="s">
        <v>123</v>
      </c>
      <c r="C70" s="10">
        <v>46174</v>
      </c>
      <c r="D70" s="6">
        <v>345673</v>
      </c>
      <c r="E70" s="6">
        <v>92634</v>
      </c>
      <c r="F70" s="6">
        <v>64506</v>
      </c>
      <c r="G70" s="6">
        <v>124827</v>
      </c>
      <c r="H70" s="6">
        <v>63706</v>
      </c>
      <c r="I70" s="7">
        <f t="shared" si="1"/>
        <v>-3.7656006837435516E-2</v>
      </c>
    </row>
    <row r="71" spans="1:9" x14ac:dyDescent="0.25">
      <c r="A71" s="1" t="s">
        <v>122</v>
      </c>
      <c r="B71" s="1" t="s">
        <v>123</v>
      </c>
      <c r="C71" s="10">
        <v>46204</v>
      </c>
      <c r="D71" s="6">
        <v>350915</v>
      </c>
      <c r="E71" s="6">
        <v>93289</v>
      </c>
      <c r="F71" s="6">
        <v>69350</v>
      </c>
      <c r="G71" s="6">
        <v>137103</v>
      </c>
      <c r="H71" s="6">
        <v>51174</v>
      </c>
      <c r="I71" s="7">
        <f t="shared" si="1"/>
        <v>1.5164620898942063E-2</v>
      </c>
    </row>
    <row r="72" spans="1:9" x14ac:dyDescent="0.25">
      <c r="A72" s="1" t="s">
        <v>122</v>
      </c>
      <c r="B72" s="1" t="s">
        <v>123</v>
      </c>
      <c r="C72" s="10">
        <v>46235</v>
      </c>
      <c r="D72" s="6">
        <v>337633</v>
      </c>
      <c r="E72" s="6">
        <v>89056</v>
      </c>
      <c r="F72" s="6">
        <v>67117</v>
      </c>
      <c r="G72" s="6">
        <v>135489</v>
      </c>
      <c r="H72" s="6">
        <v>45972</v>
      </c>
      <c r="I72" s="7">
        <f t="shared" si="1"/>
        <v>-3.7849621703261477E-2</v>
      </c>
    </row>
    <row r="73" spans="1:9" x14ac:dyDescent="0.25">
      <c r="A73" s="1" t="s">
        <v>122</v>
      </c>
      <c r="B73" s="1" t="s">
        <v>123</v>
      </c>
      <c r="C73" s="10">
        <v>46266</v>
      </c>
      <c r="D73" s="6">
        <v>367930</v>
      </c>
      <c r="E73" s="6">
        <v>96301</v>
      </c>
      <c r="F73" s="6">
        <v>69879</v>
      </c>
      <c r="G73" s="6">
        <v>143967</v>
      </c>
      <c r="H73" s="6">
        <v>57783</v>
      </c>
      <c r="I73" s="7">
        <f t="shared" si="1"/>
        <v>8.973352723223145E-2</v>
      </c>
    </row>
    <row r="74" spans="1:9" x14ac:dyDescent="0.25">
      <c r="A74" s="1" t="s">
        <v>127</v>
      </c>
      <c r="B74" s="1" t="s">
        <v>128</v>
      </c>
      <c r="C74" s="10">
        <v>45200</v>
      </c>
      <c r="D74" s="6">
        <v>383895</v>
      </c>
      <c r="E74" s="6">
        <v>152917</v>
      </c>
      <c r="F74" s="6">
        <v>85623</v>
      </c>
      <c r="G74" s="6">
        <v>25117</v>
      </c>
      <c r="H74" s="6">
        <v>120237</v>
      </c>
      <c r="I74" s="7"/>
    </row>
    <row r="75" spans="1:9" x14ac:dyDescent="0.25">
      <c r="A75" s="1" t="s">
        <v>127</v>
      </c>
      <c r="B75" s="1" t="s">
        <v>128</v>
      </c>
      <c r="C75" s="10">
        <v>45231</v>
      </c>
      <c r="D75" s="6">
        <v>396134</v>
      </c>
      <c r="E75" s="6">
        <v>156670</v>
      </c>
      <c r="F75" s="6">
        <v>89256</v>
      </c>
      <c r="G75" s="6">
        <v>25955</v>
      </c>
      <c r="H75" s="6">
        <v>124253</v>
      </c>
      <c r="I75" s="7">
        <f t="shared" ref="I75:I109" si="2">(D75-D74)/D74</f>
        <v>3.1881113325258212E-2</v>
      </c>
    </row>
    <row r="76" spans="1:9" x14ac:dyDescent="0.25">
      <c r="A76" s="1" t="s">
        <v>127</v>
      </c>
      <c r="B76" s="1" t="s">
        <v>128</v>
      </c>
      <c r="C76" s="10">
        <v>45261</v>
      </c>
      <c r="D76" s="6">
        <v>381138</v>
      </c>
      <c r="E76" s="6">
        <v>149692</v>
      </c>
      <c r="F76" s="6">
        <v>91056</v>
      </c>
      <c r="G76" s="6">
        <v>26702</v>
      </c>
      <c r="H76" s="6">
        <v>113688</v>
      </c>
      <c r="I76" s="7">
        <f t="shared" si="2"/>
        <v>-3.7855877051704727E-2</v>
      </c>
    </row>
    <row r="77" spans="1:9" x14ac:dyDescent="0.25">
      <c r="A77" s="1" t="s">
        <v>127</v>
      </c>
      <c r="B77" s="1" t="s">
        <v>128</v>
      </c>
      <c r="C77" s="10">
        <v>45292</v>
      </c>
      <c r="D77" s="6">
        <v>393391</v>
      </c>
      <c r="E77" s="6">
        <v>153456</v>
      </c>
      <c r="F77" s="6">
        <v>94869</v>
      </c>
      <c r="G77" s="6">
        <v>28366</v>
      </c>
      <c r="H77" s="6">
        <v>116699</v>
      </c>
      <c r="I77" s="7">
        <f t="shared" si="2"/>
        <v>3.2148460662542178E-2</v>
      </c>
    </row>
    <row r="78" spans="1:9" x14ac:dyDescent="0.25">
      <c r="A78" s="1" t="s">
        <v>127</v>
      </c>
      <c r="B78" s="1" t="s">
        <v>128</v>
      </c>
      <c r="C78" s="10">
        <v>45323</v>
      </c>
      <c r="D78" s="6">
        <v>381465</v>
      </c>
      <c r="E78" s="6">
        <v>147816</v>
      </c>
      <c r="F78" s="6">
        <v>92827</v>
      </c>
      <c r="G78" s="6">
        <v>28526</v>
      </c>
      <c r="H78" s="6">
        <v>112295</v>
      </c>
      <c r="I78" s="7">
        <f t="shared" si="2"/>
        <v>-3.0315894364639759E-2</v>
      </c>
    </row>
    <row r="79" spans="1:9" x14ac:dyDescent="0.25">
      <c r="A79" s="1" t="s">
        <v>127</v>
      </c>
      <c r="B79" s="1" t="s">
        <v>128</v>
      </c>
      <c r="C79" s="10">
        <v>45352</v>
      </c>
      <c r="D79" s="6">
        <v>429856</v>
      </c>
      <c r="E79" s="6">
        <v>165487</v>
      </c>
      <c r="F79" s="6">
        <v>100491</v>
      </c>
      <c r="G79" s="6">
        <v>31922</v>
      </c>
      <c r="H79" s="6">
        <v>131955</v>
      </c>
      <c r="I79" s="7">
        <f t="shared" si="2"/>
        <v>0.12685567483255344</v>
      </c>
    </row>
    <row r="80" spans="1:9" x14ac:dyDescent="0.25">
      <c r="A80" s="1" t="s">
        <v>127</v>
      </c>
      <c r="B80" s="1" t="s">
        <v>128</v>
      </c>
      <c r="C80" s="10">
        <v>45383</v>
      </c>
      <c r="D80" s="6">
        <v>415767</v>
      </c>
      <c r="E80" s="6">
        <v>159048</v>
      </c>
      <c r="F80" s="6">
        <v>102915</v>
      </c>
      <c r="G80" s="6">
        <v>33934</v>
      </c>
      <c r="H80" s="6">
        <v>119869</v>
      </c>
      <c r="I80" s="7">
        <f t="shared" si="2"/>
        <v>-3.2776092458869949E-2</v>
      </c>
    </row>
    <row r="81" spans="1:9" x14ac:dyDescent="0.25">
      <c r="A81" s="1" t="s">
        <v>127</v>
      </c>
      <c r="B81" s="1" t="s">
        <v>128</v>
      </c>
      <c r="C81" s="10">
        <v>45413</v>
      </c>
      <c r="D81" s="6">
        <v>405411</v>
      </c>
      <c r="E81" s="6">
        <v>154125</v>
      </c>
      <c r="F81" s="6">
        <v>101165</v>
      </c>
      <c r="G81" s="6">
        <v>34725</v>
      </c>
      <c r="H81" s="6">
        <v>115397</v>
      </c>
      <c r="I81" s="7">
        <f t="shared" si="2"/>
        <v>-2.490818174602602E-2</v>
      </c>
    </row>
    <row r="82" spans="1:9" x14ac:dyDescent="0.25">
      <c r="A82" s="1" t="s">
        <v>127</v>
      </c>
      <c r="B82" s="1" t="s">
        <v>128</v>
      </c>
      <c r="C82" s="10">
        <v>45444</v>
      </c>
      <c r="D82" s="6">
        <v>426663</v>
      </c>
      <c r="E82" s="6">
        <v>161219</v>
      </c>
      <c r="F82" s="6">
        <v>107300</v>
      </c>
      <c r="G82" s="6">
        <v>38415</v>
      </c>
      <c r="H82" s="6">
        <v>119728</v>
      </c>
      <c r="I82" s="7">
        <f t="shared" si="2"/>
        <v>5.2420876591903032E-2</v>
      </c>
    </row>
    <row r="83" spans="1:9" x14ac:dyDescent="0.25">
      <c r="A83" s="1" t="s">
        <v>127</v>
      </c>
      <c r="B83" s="1" t="s">
        <v>128</v>
      </c>
      <c r="C83" s="10">
        <v>45474</v>
      </c>
      <c r="D83" s="6">
        <v>420107</v>
      </c>
      <c r="E83" s="6">
        <v>157799</v>
      </c>
      <c r="F83" s="6">
        <v>112050</v>
      </c>
      <c r="G83" s="6">
        <v>41890</v>
      </c>
      <c r="H83" s="6">
        <v>108367</v>
      </c>
      <c r="I83" s="7">
        <f t="shared" si="2"/>
        <v>-1.5365757049474644E-2</v>
      </c>
    </row>
    <row r="84" spans="1:9" x14ac:dyDescent="0.25">
      <c r="A84" s="1" t="s">
        <v>127</v>
      </c>
      <c r="B84" s="1" t="s">
        <v>128</v>
      </c>
      <c r="C84" s="10">
        <v>45505</v>
      </c>
      <c r="D84" s="6">
        <v>426045</v>
      </c>
      <c r="E84" s="6">
        <v>159100</v>
      </c>
      <c r="F84" s="6">
        <v>114462</v>
      </c>
      <c r="G84" s="6">
        <v>44710</v>
      </c>
      <c r="H84" s="6">
        <v>107773</v>
      </c>
      <c r="I84" s="7">
        <f t="shared" si="2"/>
        <v>1.4134494307402637E-2</v>
      </c>
    </row>
    <row r="85" spans="1:9" x14ac:dyDescent="0.25">
      <c r="A85" s="1" t="s">
        <v>127</v>
      </c>
      <c r="B85" s="1" t="s">
        <v>128</v>
      </c>
      <c r="C85" s="10">
        <v>45536</v>
      </c>
      <c r="D85" s="6">
        <v>449373</v>
      </c>
      <c r="E85" s="6">
        <v>166856</v>
      </c>
      <c r="F85" s="6">
        <v>115500</v>
      </c>
      <c r="G85" s="6">
        <v>47145</v>
      </c>
      <c r="H85" s="6">
        <v>119872</v>
      </c>
      <c r="I85" s="7">
        <f t="shared" si="2"/>
        <v>5.4754779424708661E-2</v>
      </c>
    </row>
    <row r="86" spans="1:9" x14ac:dyDescent="0.25">
      <c r="A86" s="1" t="s">
        <v>127</v>
      </c>
      <c r="B86" s="1" t="s">
        <v>128</v>
      </c>
      <c r="C86" s="10">
        <v>45566</v>
      </c>
      <c r="D86" s="6">
        <v>446928</v>
      </c>
      <c r="E86" s="6">
        <v>165023</v>
      </c>
      <c r="F86" s="6">
        <v>110146</v>
      </c>
      <c r="G86" s="6">
        <v>46972</v>
      </c>
      <c r="H86" s="6">
        <v>124787</v>
      </c>
      <c r="I86" s="7">
        <f t="shared" si="2"/>
        <v>-5.4409143406479697E-3</v>
      </c>
    </row>
    <row r="87" spans="1:9" x14ac:dyDescent="0.25">
      <c r="A87" s="1" t="s">
        <v>127</v>
      </c>
      <c r="B87" s="1" t="s">
        <v>128</v>
      </c>
      <c r="C87" s="10">
        <v>45597</v>
      </c>
      <c r="D87" s="6">
        <v>463382</v>
      </c>
      <c r="E87" s="6">
        <v>170164</v>
      </c>
      <c r="F87" s="6">
        <v>114953</v>
      </c>
      <c r="G87" s="6">
        <v>51194</v>
      </c>
      <c r="H87" s="6">
        <v>127071</v>
      </c>
      <c r="I87" s="7">
        <f t="shared" si="2"/>
        <v>3.6815773457917159E-2</v>
      </c>
    </row>
    <row r="88" spans="1:9" x14ac:dyDescent="0.25">
      <c r="A88" s="1" t="s">
        <v>127</v>
      </c>
      <c r="B88" s="1" t="s">
        <v>128</v>
      </c>
      <c r="C88" s="10">
        <v>45627</v>
      </c>
      <c r="D88" s="6">
        <v>458048</v>
      </c>
      <c r="E88" s="6">
        <v>167305</v>
      </c>
      <c r="F88" s="6">
        <v>120072</v>
      </c>
      <c r="G88" s="6">
        <v>55807</v>
      </c>
      <c r="H88" s="6">
        <v>114864</v>
      </c>
      <c r="I88" s="7">
        <f t="shared" si="2"/>
        <v>-1.1511021144541653E-2</v>
      </c>
    </row>
    <row r="89" spans="1:9" x14ac:dyDescent="0.25">
      <c r="A89" s="1" t="s">
        <v>127</v>
      </c>
      <c r="B89" s="1" t="s">
        <v>128</v>
      </c>
      <c r="C89" s="10">
        <v>45658</v>
      </c>
      <c r="D89" s="6">
        <v>471933</v>
      </c>
      <c r="E89" s="6">
        <v>171473</v>
      </c>
      <c r="F89" s="6">
        <v>124475</v>
      </c>
      <c r="G89" s="6">
        <v>60331</v>
      </c>
      <c r="H89" s="6">
        <v>115653</v>
      </c>
      <c r="I89" s="7">
        <f t="shared" si="2"/>
        <v>3.0313416934469751E-2</v>
      </c>
    </row>
    <row r="90" spans="1:9" x14ac:dyDescent="0.25">
      <c r="A90" s="1" t="s">
        <v>127</v>
      </c>
      <c r="B90" s="1" t="s">
        <v>128</v>
      </c>
      <c r="C90" s="10">
        <v>45689</v>
      </c>
      <c r="D90" s="6">
        <v>458714</v>
      </c>
      <c r="E90" s="6">
        <v>165813</v>
      </c>
      <c r="F90" s="6">
        <v>121713</v>
      </c>
      <c r="G90" s="6">
        <v>61466</v>
      </c>
      <c r="H90" s="6">
        <v>109722</v>
      </c>
      <c r="I90" s="7">
        <f t="shared" si="2"/>
        <v>-2.8010331975089686E-2</v>
      </c>
    </row>
    <row r="91" spans="1:9" x14ac:dyDescent="0.25">
      <c r="A91" s="1" t="s">
        <v>127</v>
      </c>
      <c r="B91" s="1" t="s">
        <v>128</v>
      </c>
      <c r="C91" s="10">
        <v>45717</v>
      </c>
      <c r="D91" s="6">
        <v>501049</v>
      </c>
      <c r="E91" s="6">
        <v>180203</v>
      </c>
      <c r="F91" s="6">
        <v>127349</v>
      </c>
      <c r="G91" s="6">
        <v>66947</v>
      </c>
      <c r="H91" s="6">
        <v>126549</v>
      </c>
      <c r="I91" s="7">
        <f t="shared" si="2"/>
        <v>9.2290621171361678E-2</v>
      </c>
    </row>
    <row r="92" spans="1:9" x14ac:dyDescent="0.25">
      <c r="A92" s="1" t="s">
        <v>127</v>
      </c>
      <c r="B92" s="1" t="s">
        <v>128</v>
      </c>
      <c r="C92" s="10">
        <v>45748</v>
      </c>
      <c r="D92" s="6">
        <v>462986</v>
      </c>
      <c r="E92" s="6">
        <v>165691</v>
      </c>
      <c r="F92" s="6">
        <v>124254</v>
      </c>
      <c r="G92" s="6">
        <v>67930</v>
      </c>
      <c r="H92" s="6">
        <v>105111</v>
      </c>
      <c r="I92" s="7">
        <f t="shared" si="2"/>
        <v>-7.5966622026987382E-2</v>
      </c>
    </row>
    <row r="93" spans="1:9" x14ac:dyDescent="0.25">
      <c r="A93" s="1" t="s">
        <v>127</v>
      </c>
      <c r="B93" s="1" t="s">
        <v>128</v>
      </c>
      <c r="C93" s="10">
        <v>45778</v>
      </c>
      <c r="D93" s="6">
        <v>468684</v>
      </c>
      <c r="E93" s="6">
        <v>166918</v>
      </c>
      <c r="F93" s="6">
        <v>126471</v>
      </c>
      <c r="G93" s="6">
        <v>71833</v>
      </c>
      <c r="H93" s="6">
        <v>103463</v>
      </c>
      <c r="I93" s="7">
        <f t="shared" si="2"/>
        <v>1.2307067600316208E-2</v>
      </c>
    </row>
    <row r="94" spans="1:9" x14ac:dyDescent="0.25">
      <c r="A94" s="1" t="s">
        <v>127</v>
      </c>
      <c r="B94" s="1" t="s">
        <v>128</v>
      </c>
      <c r="C94" s="10">
        <v>45809</v>
      </c>
      <c r="D94" s="6">
        <v>493798</v>
      </c>
      <c r="E94" s="6">
        <v>175025</v>
      </c>
      <c r="F94" s="6">
        <v>133954</v>
      </c>
      <c r="G94" s="6">
        <v>78968</v>
      </c>
      <c r="H94" s="6">
        <v>105851</v>
      </c>
      <c r="I94" s="7">
        <f t="shared" si="2"/>
        <v>5.3584077971511719E-2</v>
      </c>
    </row>
    <row r="95" spans="1:9" x14ac:dyDescent="0.25">
      <c r="A95" s="1" t="s">
        <v>127</v>
      </c>
      <c r="B95" s="1" t="s">
        <v>128</v>
      </c>
      <c r="C95" s="10">
        <v>45839</v>
      </c>
      <c r="D95" s="6">
        <v>456974</v>
      </c>
      <c r="E95" s="6">
        <v>161217</v>
      </c>
      <c r="F95" s="6">
        <v>131161</v>
      </c>
      <c r="G95" s="6">
        <v>80173</v>
      </c>
      <c r="H95" s="6">
        <v>84422</v>
      </c>
      <c r="I95" s="7">
        <f t="shared" si="2"/>
        <v>-7.4573003535858787E-2</v>
      </c>
    </row>
    <row r="96" spans="1:9" x14ac:dyDescent="0.25">
      <c r="A96" s="1" t="s">
        <v>127</v>
      </c>
      <c r="B96" s="1" t="s">
        <v>128</v>
      </c>
      <c r="C96" s="10">
        <v>45870</v>
      </c>
      <c r="D96" s="6">
        <v>470050</v>
      </c>
      <c r="E96" s="6">
        <v>165072</v>
      </c>
      <c r="F96" s="6">
        <v>135590</v>
      </c>
      <c r="G96" s="6">
        <v>85853</v>
      </c>
      <c r="H96" s="6">
        <v>83536</v>
      </c>
      <c r="I96" s="7">
        <f t="shared" si="2"/>
        <v>2.8614319414233633E-2</v>
      </c>
    </row>
    <row r="97" spans="1:9" x14ac:dyDescent="0.25">
      <c r="A97" s="1" t="s">
        <v>127</v>
      </c>
      <c r="B97" s="1" t="s">
        <v>128</v>
      </c>
      <c r="C97" s="10">
        <v>45901</v>
      </c>
      <c r="D97" s="6">
        <v>510110</v>
      </c>
      <c r="E97" s="6">
        <v>178334</v>
      </c>
      <c r="F97" s="6">
        <v>140468</v>
      </c>
      <c r="G97" s="6">
        <v>92044</v>
      </c>
      <c r="H97" s="6">
        <v>99263</v>
      </c>
      <c r="I97" s="7">
        <f t="shared" si="2"/>
        <v>8.5224976066375913E-2</v>
      </c>
    </row>
    <row r="98" spans="1:9" x14ac:dyDescent="0.25">
      <c r="A98" s="1" t="s">
        <v>127</v>
      </c>
      <c r="B98" s="1" t="s">
        <v>128</v>
      </c>
      <c r="C98" s="10">
        <v>45931</v>
      </c>
      <c r="D98" s="6">
        <v>540539</v>
      </c>
      <c r="E98" s="6">
        <v>188139</v>
      </c>
      <c r="F98" s="6">
        <v>142430</v>
      </c>
      <c r="G98" s="6">
        <v>96495</v>
      </c>
      <c r="H98" s="6">
        <v>113475</v>
      </c>
      <c r="I98" s="7">
        <f t="shared" si="2"/>
        <v>5.9651839799258984E-2</v>
      </c>
    </row>
    <row r="99" spans="1:9" x14ac:dyDescent="0.25">
      <c r="A99" s="1" t="s">
        <v>127</v>
      </c>
      <c r="B99" s="1" t="s">
        <v>128</v>
      </c>
      <c r="C99" s="10">
        <v>45962</v>
      </c>
      <c r="D99" s="6">
        <v>529529</v>
      </c>
      <c r="E99" s="6">
        <v>183508</v>
      </c>
      <c r="F99" s="6">
        <v>140172</v>
      </c>
      <c r="G99" s="6">
        <v>98095</v>
      </c>
      <c r="H99" s="6">
        <v>107754</v>
      </c>
      <c r="I99" s="7">
        <f t="shared" si="2"/>
        <v>-2.0368558050390444E-2</v>
      </c>
    </row>
    <row r="100" spans="1:9" x14ac:dyDescent="0.25">
      <c r="A100" s="1" t="s">
        <v>127</v>
      </c>
      <c r="B100" s="1" t="s">
        <v>128</v>
      </c>
      <c r="C100" s="10">
        <v>45992</v>
      </c>
      <c r="D100" s="6">
        <v>507384</v>
      </c>
      <c r="E100" s="6">
        <v>175086</v>
      </c>
      <c r="F100" s="6">
        <v>141657</v>
      </c>
      <c r="G100" s="6">
        <v>102313</v>
      </c>
      <c r="H100" s="6">
        <v>88328</v>
      </c>
      <c r="I100" s="7">
        <f t="shared" si="2"/>
        <v>-4.1820183597121217E-2</v>
      </c>
    </row>
    <row r="101" spans="1:9" x14ac:dyDescent="0.25">
      <c r="A101" s="1" t="s">
        <v>127</v>
      </c>
      <c r="B101" s="1" t="s">
        <v>128</v>
      </c>
      <c r="C101" s="10">
        <v>46023</v>
      </c>
      <c r="D101" s="6">
        <v>532559</v>
      </c>
      <c r="E101" s="6">
        <v>183005</v>
      </c>
      <c r="F101" s="6">
        <v>149335</v>
      </c>
      <c r="G101" s="6">
        <v>111220</v>
      </c>
      <c r="H101" s="6">
        <v>88999</v>
      </c>
      <c r="I101" s="7">
        <f t="shared" si="2"/>
        <v>4.961725241631585E-2</v>
      </c>
    </row>
    <row r="102" spans="1:9" x14ac:dyDescent="0.25">
      <c r="A102" s="1" t="s">
        <v>127</v>
      </c>
      <c r="B102" s="1" t="s">
        <v>128</v>
      </c>
      <c r="C102" s="10">
        <v>46054</v>
      </c>
      <c r="D102" s="6">
        <v>553329</v>
      </c>
      <c r="E102" s="6">
        <v>189362</v>
      </c>
      <c r="F102" s="6">
        <v>155819</v>
      </c>
      <c r="G102" s="6">
        <v>119567</v>
      </c>
      <c r="H102" s="6">
        <v>88582</v>
      </c>
      <c r="I102" s="7">
        <f t="shared" si="2"/>
        <v>3.9000373667518531E-2</v>
      </c>
    </row>
    <row r="103" spans="1:9" x14ac:dyDescent="0.25">
      <c r="A103" s="1" t="s">
        <v>127</v>
      </c>
      <c r="B103" s="1" t="s">
        <v>128</v>
      </c>
      <c r="C103" s="10">
        <v>46082</v>
      </c>
      <c r="D103" s="6">
        <v>587336</v>
      </c>
      <c r="E103" s="6">
        <v>200189</v>
      </c>
      <c r="F103" s="6">
        <v>158172</v>
      </c>
      <c r="G103" s="6">
        <v>124952</v>
      </c>
      <c r="H103" s="6">
        <v>104023</v>
      </c>
      <c r="I103" s="7">
        <f t="shared" si="2"/>
        <v>6.1458915039696096E-2</v>
      </c>
    </row>
    <row r="104" spans="1:9" x14ac:dyDescent="0.25">
      <c r="A104" s="1" t="s">
        <v>127</v>
      </c>
      <c r="B104" s="1" t="s">
        <v>128</v>
      </c>
      <c r="C104" s="10">
        <v>46113</v>
      </c>
      <c r="D104" s="6">
        <v>562376</v>
      </c>
      <c r="E104" s="6">
        <v>190921</v>
      </c>
      <c r="F104" s="6">
        <v>159665</v>
      </c>
      <c r="G104" s="6">
        <v>129751</v>
      </c>
      <c r="H104" s="6">
        <v>82039</v>
      </c>
      <c r="I104" s="7">
        <f t="shared" si="2"/>
        <v>-4.2496969366767917E-2</v>
      </c>
    </row>
    <row r="105" spans="1:9" x14ac:dyDescent="0.25">
      <c r="A105" s="1" t="s">
        <v>127</v>
      </c>
      <c r="B105" s="1" t="s">
        <v>128</v>
      </c>
      <c r="C105" s="10">
        <v>46143</v>
      </c>
      <c r="D105" s="6">
        <v>552747</v>
      </c>
      <c r="E105" s="6">
        <v>186921</v>
      </c>
      <c r="F105" s="6">
        <v>157549</v>
      </c>
      <c r="G105" s="6">
        <v>131608</v>
      </c>
      <c r="H105" s="6">
        <v>76669</v>
      </c>
      <c r="I105" s="7">
        <f t="shared" si="2"/>
        <v>-1.7121996671266199E-2</v>
      </c>
    </row>
    <row r="106" spans="1:9" x14ac:dyDescent="0.25">
      <c r="A106" s="1" t="s">
        <v>127</v>
      </c>
      <c r="B106" s="1" t="s">
        <v>128</v>
      </c>
      <c r="C106" s="10">
        <v>46174</v>
      </c>
      <c r="D106" s="6">
        <v>580491</v>
      </c>
      <c r="E106" s="6">
        <v>195551</v>
      </c>
      <c r="F106" s="6">
        <v>166092</v>
      </c>
      <c r="G106" s="6">
        <v>142518</v>
      </c>
      <c r="H106" s="6">
        <v>76330</v>
      </c>
      <c r="I106" s="7">
        <f t="shared" si="2"/>
        <v>5.0192945416257351E-2</v>
      </c>
    </row>
    <row r="107" spans="1:9" x14ac:dyDescent="0.25">
      <c r="A107" s="1" t="s">
        <v>127</v>
      </c>
      <c r="B107" s="1" t="s">
        <v>128</v>
      </c>
      <c r="C107" s="10">
        <v>46204</v>
      </c>
      <c r="D107" s="6">
        <v>533529</v>
      </c>
      <c r="E107" s="6">
        <v>179054</v>
      </c>
      <c r="F107" s="6">
        <v>161292</v>
      </c>
      <c r="G107" s="6">
        <v>142065</v>
      </c>
      <c r="H107" s="6">
        <v>51118</v>
      </c>
      <c r="I107" s="7">
        <f t="shared" si="2"/>
        <v>-8.0900479077194998E-2</v>
      </c>
    </row>
    <row r="108" spans="1:9" x14ac:dyDescent="0.25">
      <c r="A108" s="1" t="s">
        <v>127</v>
      </c>
      <c r="B108" s="1" t="s">
        <v>128</v>
      </c>
      <c r="C108" s="10">
        <v>46235</v>
      </c>
      <c r="D108" s="6">
        <v>529657</v>
      </c>
      <c r="E108" s="6">
        <v>177097</v>
      </c>
      <c r="F108" s="6">
        <v>160707</v>
      </c>
      <c r="G108" s="6">
        <v>145203</v>
      </c>
      <c r="H108" s="6">
        <v>46651</v>
      </c>
      <c r="I108" s="7">
        <f t="shared" si="2"/>
        <v>-7.2573374643177787E-3</v>
      </c>
    </row>
    <row r="109" spans="1:9" x14ac:dyDescent="0.25">
      <c r="A109" s="1" t="s">
        <v>127</v>
      </c>
      <c r="B109" s="1" t="s">
        <v>128</v>
      </c>
      <c r="C109" s="10">
        <v>46266</v>
      </c>
      <c r="D109" s="6">
        <v>562955</v>
      </c>
      <c r="E109" s="6">
        <v>187545</v>
      </c>
      <c r="F109" s="6">
        <v>162849</v>
      </c>
      <c r="G109" s="6">
        <v>150838</v>
      </c>
      <c r="H109" s="6">
        <v>61723</v>
      </c>
      <c r="I109" s="7">
        <f t="shared" si="2"/>
        <v>6.2867100784092342E-2</v>
      </c>
    </row>
    <row r="110" spans="1:9" x14ac:dyDescent="0.25">
      <c r="A110" s="1" t="s">
        <v>131</v>
      </c>
      <c r="B110" s="1" t="s">
        <v>132</v>
      </c>
      <c r="C110" s="10">
        <v>45200</v>
      </c>
      <c r="D110" s="6">
        <v>127862</v>
      </c>
      <c r="E110" s="6">
        <v>56075</v>
      </c>
      <c r="F110" s="6">
        <v>22744</v>
      </c>
      <c r="G110" s="6">
        <v>5732</v>
      </c>
      <c r="H110" s="6">
        <v>43312</v>
      </c>
      <c r="I110" s="7"/>
    </row>
    <row r="111" spans="1:9" x14ac:dyDescent="0.25">
      <c r="A111" s="1" t="s">
        <v>131</v>
      </c>
      <c r="B111" s="1" t="s">
        <v>132</v>
      </c>
      <c r="C111" s="10">
        <v>45231</v>
      </c>
      <c r="D111" s="6">
        <v>135080</v>
      </c>
      <c r="E111" s="6">
        <v>58720</v>
      </c>
      <c r="F111" s="6">
        <v>23821</v>
      </c>
      <c r="G111" s="6">
        <v>6088</v>
      </c>
      <c r="H111" s="6">
        <v>46451</v>
      </c>
      <c r="I111" s="7">
        <f t="shared" ref="I111:I145" si="3">(D111-D110)/D110</f>
        <v>5.6451486759162221E-2</v>
      </c>
    </row>
    <row r="112" spans="1:9" x14ac:dyDescent="0.25">
      <c r="A112" s="1" t="s">
        <v>131</v>
      </c>
      <c r="B112" s="1" t="s">
        <v>132</v>
      </c>
      <c r="C112" s="10">
        <v>45261</v>
      </c>
      <c r="D112" s="6">
        <v>131011</v>
      </c>
      <c r="E112" s="6">
        <v>56461</v>
      </c>
      <c r="F112" s="6">
        <v>24055</v>
      </c>
      <c r="G112" s="6">
        <v>6351</v>
      </c>
      <c r="H112" s="6">
        <v>44145</v>
      </c>
      <c r="I112" s="7">
        <f t="shared" si="3"/>
        <v>-3.0122890139176784E-2</v>
      </c>
    </row>
    <row r="113" spans="1:9" x14ac:dyDescent="0.25">
      <c r="A113" s="1" t="s">
        <v>131</v>
      </c>
      <c r="B113" s="1" t="s">
        <v>132</v>
      </c>
      <c r="C113" s="10">
        <v>45292</v>
      </c>
      <c r="D113" s="6">
        <v>128995</v>
      </c>
      <c r="E113" s="6">
        <v>55122</v>
      </c>
      <c r="F113" s="6">
        <v>23489</v>
      </c>
      <c r="G113" s="6">
        <v>6481</v>
      </c>
      <c r="H113" s="6">
        <v>43904</v>
      </c>
      <c r="I113" s="7">
        <f t="shared" si="3"/>
        <v>-1.5388020853210799E-2</v>
      </c>
    </row>
    <row r="114" spans="1:9" x14ac:dyDescent="0.25">
      <c r="A114" s="1" t="s">
        <v>131</v>
      </c>
      <c r="B114" s="1" t="s">
        <v>132</v>
      </c>
      <c r="C114" s="10">
        <v>45323</v>
      </c>
      <c r="D114" s="6">
        <v>132939</v>
      </c>
      <c r="E114" s="6">
        <v>56335</v>
      </c>
      <c r="F114" s="6">
        <v>24011</v>
      </c>
      <c r="G114" s="6">
        <v>6978</v>
      </c>
      <c r="H114" s="6">
        <v>45614</v>
      </c>
      <c r="I114" s="7">
        <f t="shared" si="3"/>
        <v>3.0574828481724096E-2</v>
      </c>
    </row>
    <row r="115" spans="1:9" x14ac:dyDescent="0.25">
      <c r="A115" s="1" t="s">
        <v>131</v>
      </c>
      <c r="B115" s="1" t="s">
        <v>132</v>
      </c>
      <c r="C115" s="10">
        <v>45352</v>
      </c>
      <c r="D115" s="6">
        <v>143879</v>
      </c>
      <c r="E115" s="6">
        <v>60474</v>
      </c>
      <c r="F115" s="6">
        <v>24552</v>
      </c>
      <c r="G115" s="6">
        <v>7558</v>
      </c>
      <c r="H115" s="6">
        <v>51295</v>
      </c>
      <c r="I115" s="7">
        <f t="shared" si="3"/>
        <v>8.2293382679273955E-2</v>
      </c>
    </row>
    <row r="116" spans="1:9" x14ac:dyDescent="0.25">
      <c r="A116" s="1" t="s">
        <v>131</v>
      </c>
      <c r="B116" s="1" t="s">
        <v>132</v>
      </c>
      <c r="C116" s="10">
        <v>45383</v>
      </c>
      <c r="D116" s="6">
        <v>132073</v>
      </c>
      <c r="E116" s="6">
        <v>55067</v>
      </c>
      <c r="F116" s="6">
        <v>23479</v>
      </c>
      <c r="G116" s="6">
        <v>7684</v>
      </c>
      <c r="H116" s="6">
        <v>45843</v>
      </c>
      <c r="I116" s="7">
        <f t="shared" si="3"/>
        <v>-8.2055060154713338E-2</v>
      </c>
    </row>
    <row r="117" spans="1:9" x14ac:dyDescent="0.25">
      <c r="A117" s="1" t="s">
        <v>131</v>
      </c>
      <c r="B117" s="1" t="s">
        <v>132</v>
      </c>
      <c r="C117" s="10">
        <v>45413</v>
      </c>
      <c r="D117" s="6">
        <v>133978</v>
      </c>
      <c r="E117" s="6">
        <v>55422</v>
      </c>
      <c r="F117" s="6">
        <v>23635</v>
      </c>
      <c r="G117" s="6">
        <v>8241</v>
      </c>
      <c r="H117" s="6">
        <v>46681</v>
      </c>
      <c r="I117" s="7">
        <f t="shared" si="3"/>
        <v>1.4423841360459745E-2</v>
      </c>
    </row>
    <row r="118" spans="1:9" x14ac:dyDescent="0.25">
      <c r="A118" s="1" t="s">
        <v>131</v>
      </c>
      <c r="B118" s="1" t="s">
        <v>132</v>
      </c>
      <c r="C118" s="10">
        <v>45444</v>
      </c>
      <c r="D118" s="6">
        <v>136942</v>
      </c>
      <c r="E118" s="6">
        <v>56210</v>
      </c>
      <c r="F118" s="6">
        <v>23975</v>
      </c>
      <c r="G118" s="6">
        <v>8917</v>
      </c>
      <c r="H118" s="6">
        <v>47840</v>
      </c>
      <c r="I118" s="7">
        <f t="shared" si="3"/>
        <v>2.2123035125169804E-2</v>
      </c>
    </row>
    <row r="119" spans="1:9" x14ac:dyDescent="0.25">
      <c r="A119" s="1" t="s">
        <v>131</v>
      </c>
      <c r="B119" s="1" t="s">
        <v>132</v>
      </c>
      <c r="C119" s="10">
        <v>45474</v>
      </c>
      <c r="D119" s="6">
        <v>137373</v>
      </c>
      <c r="E119" s="6">
        <v>55958</v>
      </c>
      <c r="F119" s="6">
        <v>25129</v>
      </c>
      <c r="G119" s="6">
        <v>9974</v>
      </c>
      <c r="H119" s="6">
        <v>46313</v>
      </c>
      <c r="I119" s="7">
        <f t="shared" si="3"/>
        <v>3.1473178425902937E-3</v>
      </c>
    </row>
    <row r="120" spans="1:9" x14ac:dyDescent="0.25">
      <c r="A120" s="1" t="s">
        <v>131</v>
      </c>
      <c r="B120" s="1" t="s">
        <v>132</v>
      </c>
      <c r="C120" s="10">
        <v>45505</v>
      </c>
      <c r="D120" s="6">
        <v>130092</v>
      </c>
      <c r="E120" s="6">
        <v>52596</v>
      </c>
      <c r="F120" s="6">
        <v>23623</v>
      </c>
      <c r="G120" s="6">
        <v>10004</v>
      </c>
      <c r="H120" s="6">
        <v>43869</v>
      </c>
      <c r="I120" s="7">
        <f t="shared" si="3"/>
        <v>-5.300168155314363E-2</v>
      </c>
    </row>
    <row r="121" spans="1:9" x14ac:dyDescent="0.25">
      <c r="A121" s="1" t="s">
        <v>131</v>
      </c>
      <c r="B121" s="1" t="s">
        <v>132</v>
      </c>
      <c r="C121" s="10">
        <v>45536</v>
      </c>
      <c r="D121" s="6">
        <v>138742</v>
      </c>
      <c r="E121" s="6">
        <v>55681</v>
      </c>
      <c r="F121" s="6">
        <v>23763</v>
      </c>
      <c r="G121" s="6">
        <v>10730</v>
      </c>
      <c r="H121" s="6">
        <v>48569</v>
      </c>
      <c r="I121" s="7">
        <f t="shared" si="3"/>
        <v>6.6491406081849766E-2</v>
      </c>
    </row>
    <row r="122" spans="1:9" x14ac:dyDescent="0.25">
      <c r="A122" s="1" t="s">
        <v>131</v>
      </c>
      <c r="B122" s="1" t="s">
        <v>132</v>
      </c>
      <c r="C122" s="10">
        <v>45566</v>
      </c>
      <c r="D122" s="6">
        <v>149700</v>
      </c>
      <c r="E122" s="6">
        <v>59644</v>
      </c>
      <c r="F122" s="6">
        <v>24247</v>
      </c>
      <c r="G122" s="6">
        <v>11663</v>
      </c>
      <c r="H122" s="6">
        <v>54147</v>
      </c>
      <c r="I122" s="7">
        <f t="shared" si="3"/>
        <v>7.8981130443557104E-2</v>
      </c>
    </row>
    <row r="123" spans="1:9" x14ac:dyDescent="0.25">
      <c r="A123" s="1" t="s">
        <v>131</v>
      </c>
      <c r="B123" s="1" t="s">
        <v>132</v>
      </c>
      <c r="C123" s="10">
        <v>45597</v>
      </c>
      <c r="D123" s="6">
        <v>151386</v>
      </c>
      <c r="E123" s="6">
        <v>59887</v>
      </c>
      <c r="F123" s="6">
        <v>24350</v>
      </c>
      <c r="G123" s="6">
        <v>12462</v>
      </c>
      <c r="H123" s="6">
        <v>54687</v>
      </c>
      <c r="I123" s="7">
        <f t="shared" si="3"/>
        <v>1.1262525050100201E-2</v>
      </c>
    </row>
    <row r="124" spans="1:9" x14ac:dyDescent="0.25">
      <c r="A124" s="1" t="s">
        <v>131</v>
      </c>
      <c r="B124" s="1" t="s">
        <v>132</v>
      </c>
      <c r="C124" s="10">
        <v>45627</v>
      </c>
      <c r="D124" s="6">
        <v>142130</v>
      </c>
      <c r="E124" s="6">
        <v>55833</v>
      </c>
      <c r="F124" s="6">
        <v>23840</v>
      </c>
      <c r="G124" s="6">
        <v>12966</v>
      </c>
      <c r="H124" s="6">
        <v>49492</v>
      </c>
      <c r="I124" s="7">
        <f t="shared" si="3"/>
        <v>-6.1141717199741062E-2</v>
      </c>
    </row>
    <row r="125" spans="1:9" x14ac:dyDescent="0.25">
      <c r="A125" s="1" t="s">
        <v>131</v>
      </c>
      <c r="B125" s="1" t="s">
        <v>132</v>
      </c>
      <c r="C125" s="10">
        <v>45658</v>
      </c>
      <c r="D125" s="6">
        <v>145216</v>
      </c>
      <c r="E125" s="6">
        <v>56653</v>
      </c>
      <c r="F125" s="6">
        <v>24195</v>
      </c>
      <c r="G125" s="6">
        <v>13963</v>
      </c>
      <c r="H125" s="6">
        <v>50406</v>
      </c>
      <c r="I125" s="7">
        <f t="shared" si="3"/>
        <v>2.1712516710054176E-2</v>
      </c>
    </row>
    <row r="126" spans="1:9" x14ac:dyDescent="0.25">
      <c r="A126" s="1" t="s">
        <v>131</v>
      </c>
      <c r="B126" s="1" t="s">
        <v>132</v>
      </c>
      <c r="C126" s="10">
        <v>45689</v>
      </c>
      <c r="D126" s="6">
        <v>154247</v>
      </c>
      <c r="E126" s="6">
        <v>59768</v>
      </c>
      <c r="F126" s="6">
        <v>25530</v>
      </c>
      <c r="G126" s="6">
        <v>15611</v>
      </c>
      <c r="H126" s="6">
        <v>53338</v>
      </c>
      <c r="I126" s="7">
        <f t="shared" si="3"/>
        <v>6.2190116791538123E-2</v>
      </c>
    </row>
    <row r="127" spans="1:9" x14ac:dyDescent="0.25">
      <c r="A127" s="1" t="s">
        <v>131</v>
      </c>
      <c r="B127" s="1" t="s">
        <v>132</v>
      </c>
      <c r="C127" s="10">
        <v>45717</v>
      </c>
      <c r="D127" s="6">
        <v>162704</v>
      </c>
      <c r="E127" s="6">
        <v>62625</v>
      </c>
      <c r="F127" s="6">
        <v>25480</v>
      </c>
      <c r="G127" s="6">
        <v>16485</v>
      </c>
      <c r="H127" s="6">
        <v>58113</v>
      </c>
      <c r="I127" s="7">
        <f t="shared" si="3"/>
        <v>5.4827646566870017E-2</v>
      </c>
    </row>
    <row r="128" spans="1:9" x14ac:dyDescent="0.25">
      <c r="A128" s="1" t="s">
        <v>131</v>
      </c>
      <c r="B128" s="1" t="s">
        <v>132</v>
      </c>
      <c r="C128" s="10">
        <v>45748</v>
      </c>
      <c r="D128" s="6">
        <v>149301</v>
      </c>
      <c r="E128" s="6">
        <v>57089</v>
      </c>
      <c r="F128" s="6">
        <v>24394</v>
      </c>
      <c r="G128" s="6">
        <v>16673</v>
      </c>
      <c r="H128" s="6">
        <v>51145</v>
      </c>
      <c r="I128" s="7">
        <f t="shared" si="3"/>
        <v>-8.2376585701642246E-2</v>
      </c>
    </row>
    <row r="129" spans="1:9" x14ac:dyDescent="0.25">
      <c r="A129" s="1" t="s">
        <v>131</v>
      </c>
      <c r="B129" s="1" t="s">
        <v>132</v>
      </c>
      <c r="C129" s="10">
        <v>45778</v>
      </c>
      <c r="D129" s="6">
        <v>158904</v>
      </c>
      <c r="E129" s="6">
        <v>60369</v>
      </c>
      <c r="F129" s="6">
        <v>25799</v>
      </c>
      <c r="G129" s="6">
        <v>18601</v>
      </c>
      <c r="H129" s="6">
        <v>54134</v>
      </c>
      <c r="I129" s="7">
        <f t="shared" si="3"/>
        <v>6.4319729941527515E-2</v>
      </c>
    </row>
    <row r="130" spans="1:9" x14ac:dyDescent="0.25">
      <c r="A130" s="1" t="s">
        <v>131</v>
      </c>
      <c r="B130" s="1" t="s">
        <v>132</v>
      </c>
      <c r="C130" s="10">
        <v>45809</v>
      </c>
      <c r="D130" s="6">
        <v>163450</v>
      </c>
      <c r="E130" s="6">
        <v>61702</v>
      </c>
      <c r="F130" s="6">
        <v>26373</v>
      </c>
      <c r="G130" s="6">
        <v>20029</v>
      </c>
      <c r="H130" s="6">
        <v>55346</v>
      </c>
      <c r="I130" s="7">
        <f t="shared" si="3"/>
        <v>2.8608468005840004E-2</v>
      </c>
    </row>
    <row r="131" spans="1:9" x14ac:dyDescent="0.25">
      <c r="A131" s="1" t="s">
        <v>131</v>
      </c>
      <c r="B131" s="1" t="s">
        <v>132</v>
      </c>
      <c r="C131" s="10">
        <v>45839</v>
      </c>
      <c r="D131" s="6">
        <v>150323</v>
      </c>
      <c r="E131" s="6">
        <v>56391</v>
      </c>
      <c r="F131" s="6">
        <v>25376</v>
      </c>
      <c r="G131" s="6">
        <v>20271</v>
      </c>
      <c r="H131" s="6">
        <v>48285</v>
      </c>
      <c r="I131" s="7">
        <f t="shared" si="3"/>
        <v>-8.0312022025084126E-2</v>
      </c>
    </row>
    <row r="132" spans="1:9" x14ac:dyDescent="0.25">
      <c r="A132" s="1" t="s">
        <v>131</v>
      </c>
      <c r="B132" s="1" t="s">
        <v>132</v>
      </c>
      <c r="C132" s="10">
        <v>45870</v>
      </c>
      <c r="D132" s="6">
        <v>159990</v>
      </c>
      <c r="E132" s="6">
        <v>59647</v>
      </c>
      <c r="F132" s="6">
        <v>26846</v>
      </c>
      <c r="G132" s="6">
        <v>22525</v>
      </c>
      <c r="H132" s="6">
        <v>50972</v>
      </c>
      <c r="I132" s="7">
        <f t="shared" si="3"/>
        <v>6.4308189698183249E-2</v>
      </c>
    </row>
    <row r="133" spans="1:9" x14ac:dyDescent="0.25">
      <c r="A133" s="1" t="s">
        <v>131</v>
      </c>
      <c r="B133" s="1" t="s">
        <v>132</v>
      </c>
      <c r="C133" s="10">
        <v>45901</v>
      </c>
      <c r="D133" s="6">
        <v>164142</v>
      </c>
      <c r="E133" s="6">
        <v>60824</v>
      </c>
      <c r="F133" s="6">
        <v>26011</v>
      </c>
      <c r="G133" s="6">
        <v>22892</v>
      </c>
      <c r="H133" s="6">
        <v>54415</v>
      </c>
      <c r="I133" s="7">
        <f t="shared" si="3"/>
        <v>2.5951621976373525E-2</v>
      </c>
    </row>
    <row r="134" spans="1:9" x14ac:dyDescent="0.25">
      <c r="A134" s="1" t="s">
        <v>131</v>
      </c>
      <c r="B134" s="1" t="s">
        <v>132</v>
      </c>
      <c r="C134" s="10">
        <v>45931</v>
      </c>
      <c r="D134" s="6">
        <v>171404</v>
      </c>
      <c r="E134" s="6">
        <v>63135</v>
      </c>
      <c r="F134" s="6">
        <v>25718</v>
      </c>
      <c r="G134" s="6">
        <v>23711</v>
      </c>
      <c r="H134" s="6">
        <v>58840</v>
      </c>
      <c r="I134" s="7">
        <f t="shared" si="3"/>
        <v>4.4242180550986339E-2</v>
      </c>
    </row>
    <row r="135" spans="1:9" x14ac:dyDescent="0.25">
      <c r="A135" s="1" t="s">
        <v>131</v>
      </c>
      <c r="B135" s="1" t="s">
        <v>132</v>
      </c>
      <c r="C135" s="10">
        <v>45962</v>
      </c>
      <c r="D135" s="6">
        <v>183216</v>
      </c>
      <c r="E135" s="6">
        <v>67088</v>
      </c>
      <c r="F135" s="6">
        <v>27332</v>
      </c>
      <c r="G135" s="6">
        <v>26365</v>
      </c>
      <c r="H135" s="6">
        <v>62431</v>
      </c>
      <c r="I135" s="7">
        <f t="shared" si="3"/>
        <v>6.8913210893561408E-2</v>
      </c>
    </row>
    <row r="136" spans="1:9" x14ac:dyDescent="0.25">
      <c r="A136" s="1" t="s">
        <v>131</v>
      </c>
      <c r="B136" s="1" t="s">
        <v>132</v>
      </c>
      <c r="C136" s="10">
        <v>45992</v>
      </c>
      <c r="D136" s="6">
        <v>173589</v>
      </c>
      <c r="E136" s="6">
        <v>63194</v>
      </c>
      <c r="F136" s="6">
        <v>27037</v>
      </c>
      <c r="G136" s="6">
        <v>27253</v>
      </c>
      <c r="H136" s="6">
        <v>56104</v>
      </c>
      <c r="I136" s="7">
        <f t="shared" si="3"/>
        <v>-5.2544537594969874E-2</v>
      </c>
    </row>
    <row r="137" spans="1:9" x14ac:dyDescent="0.25">
      <c r="A137" s="1" t="s">
        <v>131</v>
      </c>
      <c r="B137" s="1" t="s">
        <v>132</v>
      </c>
      <c r="C137" s="10">
        <v>46023</v>
      </c>
      <c r="D137" s="6">
        <v>166101</v>
      </c>
      <c r="E137" s="6">
        <v>60122</v>
      </c>
      <c r="F137" s="6">
        <v>25727</v>
      </c>
      <c r="G137" s="6">
        <v>27067</v>
      </c>
      <c r="H137" s="6">
        <v>53185</v>
      </c>
      <c r="I137" s="7">
        <f t="shared" si="3"/>
        <v>-4.3136373848573356E-2</v>
      </c>
    </row>
    <row r="138" spans="1:9" x14ac:dyDescent="0.25">
      <c r="A138" s="1" t="s">
        <v>131</v>
      </c>
      <c r="B138" s="1" t="s">
        <v>132</v>
      </c>
      <c r="C138" s="10">
        <v>46054</v>
      </c>
      <c r="D138" s="6">
        <v>176754</v>
      </c>
      <c r="E138" s="6">
        <v>63617</v>
      </c>
      <c r="F138" s="6">
        <v>27227</v>
      </c>
      <c r="G138" s="6">
        <v>29864</v>
      </c>
      <c r="H138" s="6">
        <v>56046</v>
      </c>
      <c r="I138" s="7">
        <f t="shared" si="3"/>
        <v>6.4135676485993456E-2</v>
      </c>
    </row>
    <row r="139" spans="1:9" x14ac:dyDescent="0.25">
      <c r="A139" s="1" t="s">
        <v>131</v>
      </c>
      <c r="B139" s="1" t="s">
        <v>132</v>
      </c>
      <c r="C139" s="10">
        <v>46082</v>
      </c>
      <c r="D139" s="6">
        <v>175383</v>
      </c>
      <c r="E139" s="6">
        <v>62773</v>
      </c>
      <c r="F139" s="6">
        <v>25590</v>
      </c>
      <c r="G139" s="6">
        <v>29232</v>
      </c>
      <c r="H139" s="6">
        <v>57788</v>
      </c>
      <c r="I139" s="7">
        <f t="shared" si="3"/>
        <v>-7.7565429919549201E-3</v>
      </c>
    </row>
    <row r="140" spans="1:9" x14ac:dyDescent="0.25">
      <c r="A140" s="1" t="s">
        <v>131</v>
      </c>
      <c r="B140" s="1" t="s">
        <v>132</v>
      </c>
      <c r="C140" s="10">
        <v>46113</v>
      </c>
      <c r="D140" s="6">
        <v>176470</v>
      </c>
      <c r="E140" s="6">
        <v>62815</v>
      </c>
      <c r="F140" s="6">
        <v>26892</v>
      </c>
      <c r="G140" s="6">
        <v>31958</v>
      </c>
      <c r="H140" s="6">
        <v>54804</v>
      </c>
      <c r="I140" s="7">
        <f t="shared" si="3"/>
        <v>6.1978641031342832E-3</v>
      </c>
    </row>
    <row r="141" spans="1:9" x14ac:dyDescent="0.25">
      <c r="A141" s="1" t="s">
        <v>131</v>
      </c>
      <c r="B141" s="1" t="s">
        <v>132</v>
      </c>
      <c r="C141" s="10">
        <v>46143</v>
      </c>
      <c r="D141" s="6">
        <v>170491</v>
      </c>
      <c r="E141" s="6">
        <v>60359</v>
      </c>
      <c r="F141" s="6">
        <v>25844</v>
      </c>
      <c r="G141" s="6">
        <v>31920</v>
      </c>
      <c r="H141" s="6">
        <v>52367</v>
      </c>
      <c r="I141" s="7">
        <f t="shared" si="3"/>
        <v>-3.3881112937043122E-2</v>
      </c>
    </row>
    <row r="142" spans="1:9" x14ac:dyDescent="0.25">
      <c r="A142" s="1" t="s">
        <v>131</v>
      </c>
      <c r="B142" s="1" t="s">
        <v>132</v>
      </c>
      <c r="C142" s="10">
        <v>46174</v>
      </c>
      <c r="D142" s="6">
        <v>179902</v>
      </c>
      <c r="E142" s="6">
        <v>63352</v>
      </c>
      <c r="F142" s="6">
        <v>27129</v>
      </c>
      <c r="G142" s="6">
        <v>34791</v>
      </c>
      <c r="H142" s="6">
        <v>54629</v>
      </c>
      <c r="I142" s="7">
        <f t="shared" si="3"/>
        <v>5.5199394689455748E-2</v>
      </c>
    </row>
    <row r="143" spans="1:9" x14ac:dyDescent="0.25">
      <c r="A143" s="1" t="s">
        <v>131</v>
      </c>
      <c r="B143" s="1" t="s">
        <v>132</v>
      </c>
      <c r="C143" s="10">
        <v>46204</v>
      </c>
      <c r="D143" s="6">
        <v>172535</v>
      </c>
      <c r="E143" s="6">
        <v>60438</v>
      </c>
      <c r="F143" s="6">
        <v>27248</v>
      </c>
      <c r="G143" s="6">
        <v>36248</v>
      </c>
      <c r="H143" s="6">
        <v>48601</v>
      </c>
      <c r="I143" s="7">
        <f t="shared" si="3"/>
        <v>-4.0950072817422821E-2</v>
      </c>
    </row>
    <row r="144" spans="1:9" x14ac:dyDescent="0.25">
      <c r="A144" s="1" t="s">
        <v>131</v>
      </c>
      <c r="B144" s="1" t="s">
        <v>132</v>
      </c>
      <c r="C144" s="10">
        <v>46235</v>
      </c>
      <c r="D144" s="6">
        <v>177488</v>
      </c>
      <c r="E144" s="6">
        <v>61851</v>
      </c>
      <c r="F144" s="6">
        <v>27889</v>
      </c>
      <c r="G144" s="6">
        <v>38451</v>
      </c>
      <c r="H144" s="6">
        <v>49297</v>
      </c>
      <c r="I144" s="7">
        <f t="shared" si="3"/>
        <v>2.8707218825165907E-2</v>
      </c>
    </row>
    <row r="145" spans="1:9" x14ac:dyDescent="0.25">
      <c r="A145" s="1" t="s">
        <v>131</v>
      </c>
      <c r="B145" s="1" t="s">
        <v>132</v>
      </c>
      <c r="C145" s="10">
        <v>46266</v>
      </c>
      <c r="D145" s="6">
        <v>183287</v>
      </c>
      <c r="E145" s="6">
        <v>63545</v>
      </c>
      <c r="F145" s="6">
        <v>27224</v>
      </c>
      <c r="G145" s="6">
        <v>38867</v>
      </c>
      <c r="H145" s="6">
        <v>53650</v>
      </c>
      <c r="I145" s="7">
        <f t="shared" si="3"/>
        <v>3.267263138916434E-2</v>
      </c>
    </row>
    <row r="146" spans="1:9" x14ac:dyDescent="0.25">
      <c r="A146" s="1" t="s">
        <v>135</v>
      </c>
      <c r="B146" s="1" t="s">
        <v>136</v>
      </c>
      <c r="C146" s="10">
        <v>45200</v>
      </c>
      <c r="D146" s="6">
        <v>332088</v>
      </c>
      <c r="E146" s="6">
        <v>163985</v>
      </c>
      <c r="F146" s="6">
        <v>27827</v>
      </c>
      <c r="G146" s="6">
        <v>20028</v>
      </c>
      <c r="H146" s="6">
        <v>120248</v>
      </c>
      <c r="I146" s="7"/>
    </row>
    <row r="147" spans="1:9" x14ac:dyDescent="0.25">
      <c r="A147" s="1" t="s">
        <v>135</v>
      </c>
      <c r="B147" s="1" t="s">
        <v>136</v>
      </c>
      <c r="C147" s="10">
        <v>45231</v>
      </c>
      <c r="D147" s="6">
        <v>343188</v>
      </c>
      <c r="E147" s="6">
        <v>169441</v>
      </c>
      <c r="F147" s="6">
        <v>28405</v>
      </c>
      <c r="G147" s="6">
        <v>20617</v>
      </c>
      <c r="H147" s="6">
        <v>124724</v>
      </c>
      <c r="I147" s="7">
        <f t="shared" ref="I147:I181" si="4">(D147-D146)/D146</f>
        <v>3.3424875334248753E-2</v>
      </c>
    </row>
    <row r="148" spans="1:9" x14ac:dyDescent="0.25">
      <c r="A148" s="1" t="s">
        <v>135</v>
      </c>
      <c r="B148" s="1" t="s">
        <v>136</v>
      </c>
      <c r="C148" s="10">
        <v>45261</v>
      </c>
      <c r="D148" s="6">
        <v>311718</v>
      </c>
      <c r="E148" s="6">
        <v>153882</v>
      </c>
      <c r="F148" s="6">
        <v>26767</v>
      </c>
      <c r="G148" s="6">
        <v>19878</v>
      </c>
      <c r="H148" s="6">
        <v>111191</v>
      </c>
      <c r="I148" s="7">
        <f t="shared" si="4"/>
        <v>-9.1699010454911009E-2</v>
      </c>
    </row>
    <row r="149" spans="1:9" x14ac:dyDescent="0.25">
      <c r="A149" s="1" t="s">
        <v>135</v>
      </c>
      <c r="B149" s="1" t="s">
        <v>136</v>
      </c>
      <c r="C149" s="10">
        <v>45292</v>
      </c>
      <c r="D149" s="6">
        <v>329360</v>
      </c>
      <c r="E149" s="6">
        <v>162569</v>
      </c>
      <c r="F149" s="6">
        <v>27952</v>
      </c>
      <c r="G149" s="6">
        <v>21435</v>
      </c>
      <c r="H149" s="6">
        <v>117404</v>
      </c>
      <c r="I149" s="7">
        <f t="shared" si="4"/>
        <v>5.6596025895200151E-2</v>
      </c>
    </row>
    <row r="150" spans="1:9" x14ac:dyDescent="0.25">
      <c r="A150" s="1" t="s">
        <v>135</v>
      </c>
      <c r="B150" s="1" t="s">
        <v>136</v>
      </c>
      <c r="C150" s="10">
        <v>45323</v>
      </c>
      <c r="D150" s="6">
        <v>347277</v>
      </c>
      <c r="E150" s="6">
        <v>171391</v>
      </c>
      <c r="F150" s="6">
        <v>29136</v>
      </c>
      <c r="G150" s="6">
        <v>23228</v>
      </c>
      <c r="H150" s="6">
        <v>123522</v>
      </c>
      <c r="I150" s="7">
        <f t="shared" si="4"/>
        <v>5.4399441340782125E-2</v>
      </c>
    </row>
    <row r="151" spans="1:9" x14ac:dyDescent="0.25">
      <c r="A151" s="1" t="s">
        <v>135</v>
      </c>
      <c r="B151" s="1" t="s">
        <v>136</v>
      </c>
      <c r="C151" s="10">
        <v>45352</v>
      </c>
      <c r="D151" s="6">
        <v>367992</v>
      </c>
      <c r="E151" s="6">
        <v>181591</v>
      </c>
      <c r="F151" s="6">
        <v>29076</v>
      </c>
      <c r="G151" s="6">
        <v>24218</v>
      </c>
      <c r="H151" s="6">
        <v>133107</v>
      </c>
      <c r="I151" s="7">
        <f t="shared" si="4"/>
        <v>5.9649789649184944E-2</v>
      </c>
    </row>
    <row r="152" spans="1:9" x14ac:dyDescent="0.25">
      <c r="A152" s="1" t="s">
        <v>135</v>
      </c>
      <c r="B152" s="1" t="s">
        <v>136</v>
      </c>
      <c r="C152" s="10">
        <v>45383</v>
      </c>
      <c r="D152" s="6">
        <v>332263</v>
      </c>
      <c r="E152" s="6">
        <v>163940</v>
      </c>
      <c r="F152" s="6">
        <v>27266</v>
      </c>
      <c r="G152" s="6">
        <v>23811</v>
      </c>
      <c r="H152" s="6">
        <v>117246</v>
      </c>
      <c r="I152" s="7">
        <f t="shared" si="4"/>
        <v>-9.7091784604013132E-2</v>
      </c>
    </row>
    <row r="153" spans="1:9" x14ac:dyDescent="0.25">
      <c r="A153" s="1" t="s">
        <v>135</v>
      </c>
      <c r="B153" s="1" t="s">
        <v>136</v>
      </c>
      <c r="C153" s="10">
        <v>45413</v>
      </c>
      <c r="D153" s="6">
        <v>356181</v>
      </c>
      <c r="E153" s="6">
        <v>175720</v>
      </c>
      <c r="F153" s="6">
        <v>28918</v>
      </c>
      <c r="G153" s="6">
        <v>26545</v>
      </c>
      <c r="H153" s="6">
        <v>124998</v>
      </c>
      <c r="I153" s="7">
        <f t="shared" si="4"/>
        <v>7.1985144298341977E-2</v>
      </c>
    </row>
    <row r="154" spans="1:9" x14ac:dyDescent="0.25">
      <c r="A154" s="1" t="s">
        <v>135</v>
      </c>
      <c r="B154" s="1" t="s">
        <v>136</v>
      </c>
      <c r="C154" s="10">
        <v>45444</v>
      </c>
      <c r="D154" s="6">
        <v>360710</v>
      </c>
      <c r="E154" s="6">
        <v>177934</v>
      </c>
      <c r="F154" s="6">
        <v>28980</v>
      </c>
      <c r="G154" s="6">
        <v>28011</v>
      </c>
      <c r="H154" s="6">
        <v>125784</v>
      </c>
      <c r="I154" s="7">
        <f t="shared" si="4"/>
        <v>1.2715445237112592E-2</v>
      </c>
    </row>
    <row r="155" spans="1:9" x14ac:dyDescent="0.25">
      <c r="A155" s="1" t="s">
        <v>135</v>
      </c>
      <c r="B155" s="1" t="s">
        <v>136</v>
      </c>
      <c r="C155" s="10">
        <v>45474</v>
      </c>
      <c r="D155" s="6">
        <v>340043</v>
      </c>
      <c r="E155" s="6">
        <v>167721</v>
      </c>
      <c r="F155" s="6">
        <v>28465</v>
      </c>
      <c r="G155" s="6">
        <v>28999</v>
      </c>
      <c r="H155" s="6">
        <v>114858</v>
      </c>
      <c r="I155" s="7">
        <f t="shared" si="4"/>
        <v>-5.7295334201990518E-2</v>
      </c>
    </row>
    <row r="156" spans="1:9" x14ac:dyDescent="0.25">
      <c r="A156" s="1" t="s">
        <v>135</v>
      </c>
      <c r="B156" s="1" t="s">
        <v>136</v>
      </c>
      <c r="C156" s="10">
        <v>45505</v>
      </c>
      <c r="D156" s="6">
        <v>349855</v>
      </c>
      <c r="E156" s="6">
        <v>172542</v>
      </c>
      <c r="F156" s="6">
        <v>28994</v>
      </c>
      <c r="G156" s="6">
        <v>31150</v>
      </c>
      <c r="H156" s="6">
        <v>117169</v>
      </c>
      <c r="I156" s="7">
        <f t="shared" si="4"/>
        <v>2.8855174198557241E-2</v>
      </c>
    </row>
    <row r="157" spans="1:9" x14ac:dyDescent="0.25">
      <c r="A157" s="1" t="s">
        <v>135</v>
      </c>
      <c r="B157" s="1" t="s">
        <v>136</v>
      </c>
      <c r="C157" s="10">
        <v>45536</v>
      </c>
      <c r="D157" s="6">
        <v>384971</v>
      </c>
      <c r="E157" s="6">
        <v>189841</v>
      </c>
      <c r="F157" s="6">
        <v>30014</v>
      </c>
      <c r="G157" s="6">
        <v>34007</v>
      </c>
      <c r="H157" s="6">
        <v>131109</v>
      </c>
      <c r="I157" s="7">
        <f t="shared" si="4"/>
        <v>0.10037301167626587</v>
      </c>
    </row>
    <row r="158" spans="1:9" x14ac:dyDescent="0.25">
      <c r="A158" s="1" t="s">
        <v>135</v>
      </c>
      <c r="B158" s="1" t="s">
        <v>136</v>
      </c>
      <c r="C158" s="10">
        <v>45566</v>
      </c>
      <c r="D158" s="6">
        <v>415926</v>
      </c>
      <c r="E158" s="6">
        <v>205085</v>
      </c>
      <c r="F158" s="6">
        <v>30588</v>
      </c>
      <c r="G158" s="6">
        <v>36544</v>
      </c>
      <c r="H158" s="6">
        <v>143709</v>
      </c>
      <c r="I158" s="7">
        <f t="shared" si="4"/>
        <v>8.0408654158365178E-2</v>
      </c>
    </row>
    <row r="159" spans="1:9" x14ac:dyDescent="0.25">
      <c r="A159" s="1" t="s">
        <v>135</v>
      </c>
      <c r="B159" s="1" t="s">
        <v>136</v>
      </c>
      <c r="C159" s="10">
        <v>45597</v>
      </c>
      <c r="D159" s="6">
        <v>404487</v>
      </c>
      <c r="E159" s="6">
        <v>199425</v>
      </c>
      <c r="F159" s="6">
        <v>29468</v>
      </c>
      <c r="G159" s="6">
        <v>37106</v>
      </c>
      <c r="H159" s="6">
        <v>138487</v>
      </c>
      <c r="I159" s="7">
        <f t="shared" si="4"/>
        <v>-2.7502488423421474E-2</v>
      </c>
    </row>
    <row r="160" spans="1:9" x14ac:dyDescent="0.25">
      <c r="A160" s="1" t="s">
        <v>135</v>
      </c>
      <c r="B160" s="1" t="s">
        <v>136</v>
      </c>
      <c r="C160" s="10">
        <v>45627</v>
      </c>
      <c r="D160" s="6">
        <v>382774</v>
      </c>
      <c r="E160" s="6">
        <v>188702</v>
      </c>
      <c r="F160" s="6">
        <v>29013</v>
      </c>
      <c r="G160" s="6">
        <v>38478</v>
      </c>
      <c r="H160" s="6">
        <v>126582</v>
      </c>
      <c r="I160" s="7">
        <f t="shared" si="4"/>
        <v>-5.3680340777330297E-2</v>
      </c>
    </row>
    <row r="161" spans="1:9" x14ac:dyDescent="0.25">
      <c r="A161" s="1" t="s">
        <v>135</v>
      </c>
      <c r="B161" s="1" t="s">
        <v>136</v>
      </c>
      <c r="C161" s="10">
        <v>45658</v>
      </c>
      <c r="D161" s="6">
        <v>384253</v>
      </c>
      <c r="E161" s="6">
        <v>189414</v>
      </c>
      <c r="F161" s="6">
        <v>28863</v>
      </c>
      <c r="G161" s="6">
        <v>40287</v>
      </c>
      <c r="H161" s="6">
        <v>125690</v>
      </c>
      <c r="I161" s="7">
        <f t="shared" si="4"/>
        <v>3.8638988019039956E-3</v>
      </c>
    </row>
    <row r="162" spans="1:9" x14ac:dyDescent="0.25">
      <c r="A162" s="1" t="s">
        <v>135</v>
      </c>
      <c r="B162" s="1" t="s">
        <v>136</v>
      </c>
      <c r="C162" s="10">
        <v>45689</v>
      </c>
      <c r="D162" s="6">
        <v>388586</v>
      </c>
      <c r="E162" s="6">
        <v>191533</v>
      </c>
      <c r="F162" s="6">
        <v>28932</v>
      </c>
      <c r="G162" s="6">
        <v>42463</v>
      </c>
      <c r="H162" s="6">
        <v>125660</v>
      </c>
      <c r="I162" s="7">
        <f t="shared" si="4"/>
        <v>1.1276424647302689E-2</v>
      </c>
    </row>
    <row r="163" spans="1:9" x14ac:dyDescent="0.25">
      <c r="A163" s="1" t="s">
        <v>135</v>
      </c>
      <c r="B163" s="1" t="s">
        <v>136</v>
      </c>
      <c r="C163" s="10">
        <v>45717</v>
      </c>
      <c r="D163" s="6">
        <v>412283</v>
      </c>
      <c r="E163" s="6">
        <v>203195</v>
      </c>
      <c r="F163" s="6">
        <v>28982</v>
      </c>
      <c r="G163" s="6">
        <v>44685</v>
      </c>
      <c r="H163" s="6">
        <v>135422</v>
      </c>
      <c r="I163" s="7">
        <f t="shared" si="4"/>
        <v>6.0982639621602427E-2</v>
      </c>
    </row>
    <row r="164" spans="1:9" x14ac:dyDescent="0.25">
      <c r="A164" s="1" t="s">
        <v>135</v>
      </c>
      <c r="B164" s="1" t="s">
        <v>136</v>
      </c>
      <c r="C164" s="10">
        <v>45748</v>
      </c>
      <c r="D164" s="6">
        <v>406193</v>
      </c>
      <c r="E164" s="6">
        <v>200176</v>
      </c>
      <c r="F164" s="6">
        <v>29728</v>
      </c>
      <c r="G164" s="6">
        <v>48102</v>
      </c>
      <c r="H164" s="6">
        <v>128187</v>
      </c>
      <c r="I164" s="7">
        <f t="shared" si="4"/>
        <v>-1.4771407018965128E-2</v>
      </c>
    </row>
    <row r="165" spans="1:9" x14ac:dyDescent="0.25">
      <c r="A165" s="1" t="s">
        <v>135</v>
      </c>
      <c r="B165" s="1" t="s">
        <v>136</v>
      </c>
      <c r="C165" s="10">
        <v>45778</v>
      </c>
      <c r="D165" s="6">
        <v>405169</v>
      </c>
      <c r="E165" s="6">
        <v>199655</v>
      </c>
      <c r="F165" s="6">
        <v>29407</v>
      </c>
      <c r="G165" s="6">
        <v>49884</v>
      </c>
      <c r="H165" s="6">
        <v>126223</v>
      </c>
      <c r="I165" s="7">
        <f t="shared" si="4"/>
        <v>-2.5209690959716196E-3</v>
      </c>
    </row>
    <row r="166" spans="1:9" x14ac:dyDescent="0.25">
      <c r="A166" s="1" t="s">
        <v>135</v>
      </c>
      <c r="B166" s="1" t="s">
        <v>136</v>
      </c>
      <c r="C166" s="10">
        <v>45809</v>
      </c>
      <c r="D166" s="6">
        <v>432037</v>
      </c>
      <c r="E166" s="6">
        <v>212878</v>
      </c>
      <c r="F166" s="6">
        <v>31101</v>
      </c>
      <c r="G166" s="6">
        <v>55253</v>
      </c>
      <c r="H166" s="6">
        <v>132804</v>
      </c>
      <c r="I166" s="7">
        <f t="shared" si="4"/>
        <v>6.6313069361180144E-2</v>
      </c>
    </row>
    <row r="167" spans="1:9" x14ac:dyDescent="0.25">
      <c r="A167" s="1" t="s">
        <v>135</v>
      </c>
      <c r="B167" s="1" t="s">
        <v>136</v>
      </c>
      <c r="C167" s="10">
        <v>45839</v>
      </c>
      <c r="D167" s="6">
        <v>393644</v>
      </c>
      <c r="E167" s="6">
        <v>193945</v>
      </c>
      <c r="F167" s="6">
        <v>29591</v>
      </c>
      <c r="G167" s="6">
        <v>54997</v>
      </c>
      <c r="H167" s="6">
        <v>115111</v>
      </c>
      <c r="I167" s="7">
        <f t="shared" si="4"/>
        <v>-8.8865074056157234E-2</v>
      </c>
    </row>
    <row r="168" spans="1:9" x14ac:dyDescent="0.25">
      <c r="A168" s="1" t="s">
        <v>135</v>
      </c>
      <c r="B168" s="1" t="s">
        <v>136</v>
      </c>
      <c r="C168" s="10">
        <v>45870</v>
      </c>
      <c r="D168" s="6">
        <v>432639</v>
      </c>
      <c r="E168" s="6">
        <v>213142</v>
      </c>
      <c r="F168" s="6">
        <v>32267</v>
      </c>
      <c r="G168" s="6">
        <v>62675</v>
      </c>
      <c r="H168" s="6">
        <v>124555</v>
      </c>
      <c r="I168" s="7">
        <f t="shared" si="4"/>
        <v>9.9061588643545945E-2</v>
      </c>
    </row>
    <row r="169" spans="1:9" x14ac:dyDescent="0.25">
      <c r="A169" s="1" t="s">
        <v>135</v>
      </c>
      <c r="B169" s="1" t="s">
        <v>136</v>
      </c>
      <c r="C169" s="10">
        <v>45901</v>
      </c>
      <c r="D169" s="6">
        <v>427614</v>
      </c>
      <c r="E169" s="6">
        <v>210651</v>
      </c>
      <c r="F169" s="6">
        <v>30064</v>
      </c>
      <c r="G169" s="6">
        <v>60967</v>
      </c>
      <c r="H169" s="6">
        <v>125933</v>
      </c>
      <c r="I169" s="7">
        <f t="shared" si="4"/>
        <v>-1.161476427229168E-2</v>
      </c>
    </row>
    <row r="170" spans="1:9" x14ac:dyDescent="0.25">
      <c r="A170" s="1" t="s">
        <v>135</v>
      </c>
      <c r="B170" s="1" t="s">
        <v>136</v>
      </c>
      <c r="C170" s="10">
        <v>45931</v>
      </c>
      <c r="D170" s="6">
        <v>471041</v>
      </c>
      <c r="E170" s="6">
        <v>232027</v>
      </c>
      <c r="F170" s="6">
        <v>31302</v>
      </c>
      <c r="G170" s="6">
        <v>66203</v>
      </c>
      <c r="H170" s="6">
        <v>141509</v>
      </c>
      <c r="I170" s="7">
        <f t="shared" si="4"/>
        <v>0.10155654398593124</v>
      </c>
    </row>
    <row r="171" spans="1:9" x14ac:dyDescent="0.25">
      <c r="A171" s="1" t="s">
        <v>135</v>
      </c>
      <c r="B171" s="1" t="s">
        <v>136</v>
      </c>
      <c r="C171" s="10">
        <v>45962</v>
      </c>
      <c r="D171" s="6">
        <v>478601</v>
      </c>
      <c r="E171" s="6">
        <v>235734</v>
      </c>
      <c r="F171" s="6">
        <v>31569</v>
      </c>
      <c r="G171" s="6">
        <v>69564</v>
      </c>
      <c r="H171" s="6">
        <v>141734</v>
      </c>
      <c r="I171" s="7">
        <f t="shared" si="4"/>
        <v>1.6049558318702618E-2</v>
      </c>
    </row>
    <row r="172" spans="1:9" x14ac:dyDescent="0.25">
      <c r="A172" s="1" t="s">
        <v>135</v>
      </c>
      <c r="B172" s="1" t="s">
        <v>136</v>
      </c>
      <c r="C172" s="10">
        <v>45992</v>
      </c>
      <c r="D172" s="6">
        <v>454102</v>
      </c>
      <c r="E172" s="6">
        <v>223652</v>
      </c>
      <c r="F172" s="6">
        <v>31221</v>
      </c>
      <c r="G172" s="6">
        <v>71611</v>
      </c>
      <c r="H172" s="6">
        <v>127618</v>
      </c>
      <c r="I172" s="7">
        <f t="shared" si="4"/>
        <v>-5.1188777290477869E-2</v>
      </c>
    </row>
    <row r="173" spans="1:9" x14ac:dyDescent="0.25">
      <c r="A173" s="1" t="s">
        <v>135</v>
      </c>
      <c r="B173" s="1" t="s">
        <v>136</v>
      </c>
      <c r="C173" s="10">
        <v>46023</v>
      </c>
      <c r="D173" s="6">
        <v>449497</v>
      </c>
      <c r="E173" s="6">
        <v>221369</v>
      </c>
      <c r="F173" s="6">
        <v>30683</v>
      </c>
      <c r="G173" s="6">
        <v>73186</v>
      </c>
      <c r="H173" s="6">
        <v>124259</v>
      </c>
      <c r="I173" s="7">
        <f t="shared" si="4"/>
        <v>-1.0140893455655338E-2</v>
      </c>
    </row>
    <row r="174" spans="1:9" x14ac:dyDescent="0.25">
      <c r="A174" s="1" t="s">
        <v>135</v>
      </c>
      <c r="B174" s="1" t="s">
        <v>136</v>
      </c>
      <c r="C174" s="10">
        <v>46054</v>
      </c>
      <c r="D174" s="6">
        <v>481590</v>
      </c>
      <c r="E174" s="6">
        <v>237159</v>
      </c>
      <c r="F174" s="6">
        <v>32642</v>
      </c>
      <c r="G174" s="6">
        <v>80891</v>
      </c>
      <c r="H174" s="6">
        <v>130898</v>
      </c>
      <c r="I174" s="7">
        <f t="shared" si="4"/>
        <v>7.1397584411019427E-2</v>
      </c>
    </row>
    <row r="175" spans="1:9" x14ac:dyDescent="0.25">
      <c r="A175" s="1" t="s">
        <v>135</v>
      </c>
      <c r="B175" s="1" t="s">
        <v>136</v>
      </c>
      <c r="C175" s="10">
        <v>46082</v>
      </c>
      <c r="D175" s="6">
        <v>480651</v>
      </c>
      <c r="E175" s="6">
        <v>236681</v>
      </c>
      <c r="F175" s="6">
        <v>30813</v>
      </c>
      <c r="G175" s="6">
        <v>79259</v>
      </c>
      <c r="H175" s="6">
        <v>133898</v>
      </c>
      <c r="I175" s="7">
        <f t="shared" si="4"/>
        <v>-1.9497913162648726E-3</v>
      </c>
    </row>
    <row r="176" spans="1:9" x14ac:dyDescent="0.25">
      <c r="A176" s="1" t="s">
        <v>135</v>
      </c>
      <c r="B176" s="1" t="s">
        <v>136</v>
      </c>
      <c r="C176" s="10">
        <v>46113</v>
      </c>
      <c r="D176" s="6">
        <v>472619</v>
      </c>
      <c r="E176" s="6">
        <v>232712</v>
      </c>
      <c r="F176" s="6">
        <v>31597</v>
      </c>
      <c r="G176" s="6">
        <v>84291</v>
      </c>
      <c r="H176" s="6">
        <v>124020</v>
      </c>
      <c r="I176" s="7">
        <f t="shared" si="4"/>
        <v>-1.671066948784045E-2</v>
      </c>
    </row>
    <row r="177" spans="1:9" x14ac:dyDescent="0.25">
      <c r="A177" s="1" t="s">
        <v>135</v>
      </c>
      <c r="B177" s="1" t="s">
        <v>136</v>
      </c>
      <c r="C177" s="10">
        <v>46143</v>
      </c>
      <c r="D177" s="6">
        <v>476241</v>
      </c>
      <c r="E177" s="6">
        <v>234481</v>
      </c>
      <c r="F177" s="6">
        <v>31626</v>
      </c>
      <c r="G177" s="6">
        <v>87425</v>
      </c>
      <c r="H177" s="6">
        <v>122709</v>
      </c>
      <c r="I177" s="7">
        <f t="shared" si="4"/>
        <v>7.6636783540230081E-3</v>
      </c>
    </row>
    <row r="178" spans="1:9" x14ac:dyDescent="0.25">
      <c r="A178" s="1" t="s">
        <v>135</v>
      </c>
      <c r="B178" s="1" t="s">
        <v>136</v>
      </c>
      <c r="C178" s="10">
        <v>46174</v>
      </c>
      <c r="D178" s="6">
        <v>499194</v>
      </c>
      <c r="E178" s="6">
        <v>245767</v>
      </c>
      <c r="F178" s="6">
        <v>32932</v>
      </c>
      <c r="G178" s="6">
        <v>94257</v>
      </c>
      <c r="H178" s="6">
        <v>126237</v>
      </c>
      <c r="I178" s="7">
        <f t="shared" si="4"/>
        <v>4.8196186384624591E-2</v>
      </c>
    </row>
    <row r="179" spans="1:9" x14ac:dyDescent="0.25">
      <c r="A179" s="1" t="s">
        <v>135</v>
      </c>
      <c r="B179" s="1" t="s">
        <v>136</v>
      </c>
      <c r="C179" s="10">
        <v>46204</v>
      </c>
      <c r="D179" s="6">
        <v>481672</v>
      </c>
      <c r="E179" s="6">
        <v>237127</v>
      </c>
      <c r="F179" s="6">
        <v>33233</v>
      </c>
      <c r="G179" s="6">
        <v>98404</v>
      </c>
      <c r="H179" s="6">
        <v>112908</v>
      </c>
      <c r="I179" s="7">
        <f t="shared" si="4"/>
        <v>-3.510058213840711E-2</v>
      </c>
    </row>
    <row r="180" spans="1:9" x14ac:dyDescent="0.25">
      <c r="A180" s="1" t="s">
        <v>135</v>
      </c>
      <c r="B180" s="1" t="s">
        <v>136</v>
      </c>
      <c r="C180" s="10">
        <v>46235</v>
      </c>
      <c r="D180" s="6">
        <v>492269</v>
      </c>
      <c r="E180" s="6">
        <v>242330</v>
      </c>
      <c r="F180" s="6">
        <v>33748</v>
      </c>
      <c r="G180" s="6">
        <v>103304</v>
      </c>
      <c r="H180" s="6">
        <v>112887</v>
      </c>
      <c r="I180" s="7">
        <f t="shared" si="4"/>
        <v>2.2000448437941172E-2</v>
      </c>
    </row>
    <row r="181" spans="1:9" x14ac:dyDescent="0.25">
      <c r="A181" s="1" t="s">
        <v>135</v>
      </c>
      <c r="B181" s="1" t="s">
        <v>136</v>
      </c>
      <c r="C181" s="10">
        <v>46266</v>
      </c>
      <c r="D181" s="6">
        <v>515938</v>
      </c>
      <c r="E181" s="6">
        <v>253968</v>
      </c>
      <c r="F181" s="6">
        <v>33392</v>
      </c>
      <c r="G181" s="6">
        <v>105587</v>
      </c>
      <c r="H181" s="6">
        <v>122991</v>
      </c>
      <c r="I181" s="7">
        <f t="shared" si="4"/>
        <v>4.8081435150293846E-2</v>
      </c>
    </row>
    <row r="182" spans="1:9" x14ac:dyDescent="0.25">
      <c r="A182" s="1" t="s">
        <v>139</v>
      </c>
      <c r="B182" s="1" t="s">
        <v>140</v>
      </c>
      <c r="C182" s="10">
        <v>45200</v>
      </c>
      <c r="D182" s="6">
        <v>98212</v>
      </c>
      <c r="E182" s="6">
        <v>67262</v>
      </c>
      <c r="F182" s="6">
        <v>4662</v>
      </c>
      <c r="G182" s="6">
        <v>2107</v>
      </c>
      <c r="H182" s="6">
        <v>24181</v>
      </c>
      <c r="I182" s="7"/>
    </row>
    <row r="183" spans="1:9" x14ac:dyDescent="0.25">
      <c r="A183" s="1" t="s">
        <v>139</v>
      </c>
      <c r="B183" s="1" t="s">
        <v>140</v>
      </c>
      <c r="C183" s="10">
        <v>45231</v>
      </c>
      <c r="D183" s="6">
        <v>96891</v>
      </c>
      <c r="E183" s="6">
        <v>66152</v>
      </c>
      <c r="F183" s="6">
        <v>4546</v>
      </c>
      <c r="G183" s="6">
        <v>2113</v>
      </c>
      <c r="H183" s="6">
        <v>24080</v>
      </c>
      <c r="I183" s="7">
        <f t="shared" ref="I183:I217" si="5">(D183-D182)/D182</f>
        <v>-1.3450494847880096E-2</v>
      </c>
    </row>
    <row r="184" spans="1:9" x14ac:dyDescent="0.25">
      <c r="A184" s="1" t="s">
        <v>139</v>
      </c>
      <c r="B184" s="1" t="s">
        <v>140</v>
      </c>
      <c r="C184" s="10">
        <v>45261</v>
      </c>
      <c r="D184" s="6">
        <v>94999</v>
      </c>
      <c r="E184" s="6">
        <v>64664</v>
      </c>
      <c r="F184" s="6">
        <v>4626</v>
      </c>
      <c r="G184" s="6">
        <v>2274</v>
      </c>
      <c r="H184" s="6">
        <v>23435</v>
      </c>
      <c r="I184" s="7">
        <f t="shared" si="5"/>
        <v>-1.9527097460032408E-2</v>
      </c>
    </row>
    <row r="185" spans="1:9" x14ac:dyDescent="0.25">
      <c r="A185" s="1" t="s">
        <v>139</v>
      </c>
      <c r="B185" s="1" t="s">
        <v>140</v>
      </c>
      <c r="C185" s="10">
        <v>45292</v>
      </c>
      <c r="D185" s="6">
        <v>97901</v>
      </c>
      <c r="E185" s="6">
        <v>66442</v>
      </c>
      <c r="F185" s="6">
        <v>4713</v>
      </c>
      <c r="G185" s="6">
        <v>2489</v>
      </c>
      <c r="H185" s="6">
        <v>24257</v>
      </c>
      <c r="I185" s="7">
        <f t="shared" si="5"/>
        <v>3.0547689975683953E-2</v>
      </c>
    </row>
    <row r="186" spans="1:9" x14ac:dyDescent="0.25">
      <c r="A186" s="1" t="s">
        <v>139</v>
      </c>
      <c r="B186" s="1" t="s">
        <v>140</v>
      </c>
      <c r="C186" s="10">
        <v>45323</v>
      </c>
      <c r="D186" s="6">
        <v>96596</v>
      </c>
      <c r="E186" s="6">
        <v>65366</v>
      </c>
      <c r="F186" s="6">
        <v>4598</v>
      </c>
      <c r="G186" s="6">
        <v>2634</v>
      </c>
      <c r="H186" s="6">
        <v>23998</v>
      </c>
      <c r="I186" s="7">
        <f t="shared" si="5"/>
        <v>-1.3329792341242683E-2</v>
      </c>
    </row>
    <row r="187" spans="1:9" x14ac:dyDescent="0.25">
      <c r="A187" s="1" t="s">
        <v>139</v>
      </c>
      <c r="B187" s="1" t="s">
        <v>140</v>
      </c>
      <c r="C187" s="10">
        <v>45352</v>
      </c>
      <c r="D187" s="6">
        <v>97922</v>
      </c>
      <c r="E187" s="6">
        <v>66076</v>
      </c>
      <c r="F187" s="6">
        <v>4390</v>
      </c>
      <c r="G187" s="6">
        <v>2744</v>
      </c>
      <c r="H187" s="6">
        <v>24713</v>
      </c>
      <c r="I187" s="7">
        <f t="shared" si="5"/>
        <v>1.3727276491780198E-2</v>
      </c>
    </row>
    <row r="188" spans="1:9" x14ac:dyDescent="0.25">
      <c r="A188" s="1" t="s">
        <v>139</v>
      </c>
      <c r="B188" s="1" t="s">
        <v>140</v>
      </c>
      <c r="C188" s="10">
        <v>45383</v>
      </c>
      <c r="D188" s="6">
        <v>98415</v>
      </c>
      <c r="E188" s="6">
        <v>66224</v>
      </c>
      <c r="F188" s="6">
        <v>4582</v>
      </c>
      <c r="G188" s="6">
        <v>3133</v>
      </c>
      <c r="H188" s="6">
        <v>24477</v>
      </c>
      <c r="I188" s="7">
        <f t="shared" si="5"/>
        <v>5.0346193909438126E-3</v>
      </c>
    </row>
    <row r="189" spans="1:9" x14ac:dyDescent="0.25">
      <c r="A189" s="1" t="s">
        <v>139</v>
      </c>
      <c r="B189" s="1" t="s">
        <v>140</v>
      </c>
      <c r="C189" s="10">
        <v>45413</v>
      </c>
      <c r="D189" s="6">
        <v>97607</v>
      </c>
      <c r="E189" s="6">
        <v>65501</v>
      </c>
      <c r="F189" s="6">
        <v>4495</v>
      </c>
      <c r="G189" s="6">
        <v>3365</v>
      </c>
      <c r="H189" s="6">
        <v>24246</v>
      </c>
      <c r="I189" s="7">
        <f t="shared" si="5"/>
        <v>-8.2101305695270032E-3</v>
      </c>
    </row>
    <row r="190" spans="1:9" x14ac:dyDescent="0.25">
      <c r="A190" s="1" t="s">
        <v>139</v>
      </c>
      <c r="B190" s="1" t="s">
        <v>140</v>
      </c>
      <c r="C190" s="10">
        <v>45444</v>
      </c>
      <c r="D190" s="6">
        <v>98480</v>
      </c>
      <c r="E190" s="6">
        <v>65911</v>
      </c>
      <c r="F190" s="6">
        <v>4487</v>
      </c>
      <c r="G190" s="6">
        <v>3676</v>
      </c>
      <c r="H190" s="6">
        <v>24407</v>
      </c>
      <c r="I190" s="7">
        <f t="shared" si="5"/>
        <v>8.9440306535391936E-3</v>
      </c>
    </row>
    <row r="191" spans="1:9" x14ac:dyDescent="0.25">
      <c r="A191" s="1" t="s">
        <v>139</v>
      </c>
      <c r="B191" s="1" t="s">
        <v>140</v>
      </c>
      <c r="C191" s="10">
        <v>45474</v>
      </c>
      <c r="D191" s="6">
        <v>99632</v>
      </c>
      <c r="E191" s="6">
        <v>66508</v>
      </c>
      <c r="F191" s="6">
        <v>4728</v>
      </c>
      <c r="G191" s="6">
        <v>4232</v>
      </c>
      <c r="H191" s="6">
        <v>24164</v>
      </c>
      <c r="I191" s="7">
        <f t="shared" si="5"/>
        <v>1.1697806661251016E-2</v>
      </c>
    </row>
    <row r="192" spans="1:9" x14ac:dyDescent="0.25">
      <c r="A192" s="1" t="s">
        <v>139</v>
      </c>
      <c r="B192" s="1" t="s">
        <v>140</v>
      </c>
      <c r="C192" s="10">
        <v>45505</v>
      </c>
      <c r="D192" s="6">
        <v>98580</v>
      </c>
      <c r="E192" s="6">
        <v>65637</v>
      </c>
      <c r="F192" s="6">
        <v>4629</v>
      </c>
      <c r="G192" s="6">
        <v>4520</v>
      </c>
      <c r="H192" s="6">
        <v>23794</v>
      </c>
      <c r="I192" s="7">
        <f t="shared" si="5"/>
        <v>-1.0558856592259516E-2</v>
      </c>
    </row>
    <row r="193" spans="1:9" x14ac:dyDescent="0.25">
      <c r="A193" s="1" t="s">
        <v>139</v>
      </c>
      <c r="B193" s="1" t="s">
        <v>140</v>
      </c>
      <c r="C193" s="10">
        <v>45536</v>
      </c>
      <c r="D193" s="6">
        <v>104027</v>
      </c>
      <c r="E193" s="6">
        <v>69090</v>
      </c>
      <c r="F193" s="6">
        <v>4593</v>
      </c>
      <c r="G193" s="6">
        <v>4880</v>
      </c>
      <c r="H193" s="6">
        <v>25464</v>
      </c>
      <c r="I193" s="7">
        <f t="shared" si="5"/>
        <v>5.5254615540677621E-2</v>
      </c>
    </row>
    <row r="194" spans="1:9" x14ac:dyDescent="0.25">
      <c r="A194" s="1" t="s">
        <v>139</v>
      </c>
      <c r="B194" s="1" t="s">
        <v>140</v>
      </c>
      <c r="C194" s="10">
        <v>45566</v>
      </c>
      <c r="D194" s="6">
        <v>110538</v>
      </c>
      <c r="E194" s="6">
        <v>73234</v>
      </c>
      <c r="F194" s="6">
        <v>4601</v>
      </c>
      <c r="G194" s="6">
        <v>5307</v>
      </c>
      <c r="H194" s="6">
        <v>27397</v>
      </c>
      <c r="I194" s="7">
        <f t="shared" si="5"/>
        <v>6.2589520028454151E-2</v>
      </c>
    </row>
    <row r="195" spans="1:9" x14ac:dyDescent="0.25">
      <c r="A195" s="1" t="s">
        <v>139</v>
      </c>
      <c r="B195" s="1" t="s">
        <v>140</v>
      </c>
      <c r="C195" s="10">
        <v>45597</v>
      </c>
      <c r="D195" s="6">
        <v>111933</v>
      </c>
      <c r="E195" s="6">
        <v>73979</v>
      </c>
      <c r="F195" s="6">
        <v>4612</v>
      </c>
      <c r="G195" s="6">
        <v>5760</v>
      </c>
      <c r="H195" s="6">
        <v>27582</v>
      </c>
      <c r="I195" s="7">
        <f t="shared" si="5"/>
        <v>1.2620094447158444E-2</v>
      </c>
    </row>
    <row r="196" spans="1:9" x14ac:dyDescent="0.25">
      <c r="A196" s="1" t="s">
        <v>139</v>
      </c>
      <c r="B196" s="1" t="s">
        <v>140</v>
      </c>
      <c r="C196" s="10">
        <v>45627</v>
      </c>
      <c r="D196" s="6">
        <v>104564</v>
      </c>
      <c r="E196" s="6">
        <v>68945</v>
      </c>
      <c r="F196" s="6">
        <v>4479</v>
      </c>
      <c r="G196" s="6">
        <v>6041</v>
      </c>
      <c r="H196" s="6">
        <v>25100</v>
      </c>
      <c r="I196" s="7">
        <f t="shared" si="5"/>
        <v>-6.583402571180974E-2</v>
      </c>
    </row>
    <row r="197" spans="1:9" x14ac:dyDescent="0.25">
      <c r="A197" s="1" t="s">
        <v>139</v>
      </c>
      <c r="B197" s="1" t="s">
        <v>140</v>
      </c>
      <c r="C197" s="10">
        <v>45658</v>
      </c>
      <c r="D197" s="6">
        <v>111491</v>
      </c>
      <c r="E197" s="6">
        <v>73342</v>
      </c>
      <c r="F197" s="6">
        <v>4729</v>
      </c>
      <c r="G197" s="6">
        <v>6870</v>
      </c>
      <c r="H197" s="6">
        <v>26551</v>
      </c>
      <c r="I197" s="7">
        <f t="shared" si="5"/>
        <v>6.6246509314869362E-2</v>
      </c>
    </row>
    <row r="198" spans="1:9" x14ac:dyDescent="0.25">
      <c r="A198" s="1" t="s">
        <v>139</v>
      </c>
      <c r="B198" s="1" t="s">
        <v>140</v>
      </c>
      <c r="C198" s="10">
        <v>45689</v>
      </c>
      <c r="D198" s="6">
        <v>114031</v>
      </c>
      <c r="E198" s="6">
        <v>74842</v>
      </c>
      <c r="F198" s="6">
        <v>4789</v>
      </c>
      <c r="G198" s="6">
        <v>7476</v>
      </c>
      <c r="H198" s="6">
        <v>26924</v>
      </c>
      <c r="I198" s="7">
        <f t="shared" si="5"/>
        <v>2.2782107972840856E-2</v>
      </c>
    </row>
    <row r="199" spans="1:9" x14ac:dyDescent="0.25">
      <c r="A199" s="1" t="s">
        <v>139</v>
      </c>
      <c r="B199" s="1" t="s">
        <v>140</v>
      </c>
      <c r="C199" s="10">
        <v>45717</v>
      </c>
      <c r="D199" s="6">
        <v>114122</v>
      </c>
      <c r="E199" s="6">
        <v>74734</v>
      </c>
      <c r="F199" s="6">
        <v>4521</v>
      </c>
      <c r="G199" s="6">
        <v>7565</v>
      </c>
      <c r="H199" s="6">
        <v>27302</v>
      </c>
      <c r="I199" s="7">
        <f t="shared" si="5"/>
        <v>7.9802860625619346E-4</v>
      </c>
    </row>
    <row r="200" spans="1:9" x14ac:dyDescent="0.25">
      <c r="A200" s="1" t="s">
        <v>139</v>
      </c>
      <c r="B200" s="1" t="s">
        <v>140</v>
      </c>
      <c r="C200" s="10">
        <v>45748</v>
      </c>
      <c r="D200" s="6">
        <v>108210</v>
      </c>
      <c r="E200" s="6">
        <v>70707</v>
      </c>
      <c r="F200" s="6">
        <v>4458</v>
      </c>
      <c r="G200" s="6">
        <v>7978</v>
      </c>
      <c r="H200" s="6">
        <v>25067</v>
      </c>
      <c r="I200" s="7">
        <f t="shared" si="5"/>
        <v>-5.180420953015194E-2</v>
      </c>
    </row>
    <row r="201" spans="1:9" x14ac:dyDescent="0.25">
      <c r="A201" s="1" t="s">
        <v>139</v>
      </c>
      <c r="B201" s="1" t="s">
        <v>140</v>
      </c>
      <c r="C201" s="10">
        <v>45778</v>
      </c>
      <c r="D201" s="6">
        <v>113310</v>
      </c>
      <c r="E201" s="6">
        <v>73880</v>
      </c>
      <c r="F201" s="6">
        <v>4625</v>
      </c>
      <c r="G201" s="6">
        <v>8829</v>
      </c>
      <c r="H201" s="6">
        <v>25976</v>
      </c>
      <c r="I201" s="7">
        <f t="shared" si="5"/>
        <v>4.7130579428888271E-2</v>
      </c>
    </row>
    <row r="202" spans="1:9" x14ac:dyDescent="0.25">
      <c r="A202" s="1" t="s">
        <v>139</v>
      </c>
      <c r="B202" s="1" t="s">
        <v>140</v>
      </c>
      <c r="C202" s="10">
        <v>45809</v>
      </c>
      <c r="D202" s="6">
        <v>110595</v>
      </c>
      <c r="E202" s="6">
        <v>71957</v>
      </c>
      <c r="F202" s="6">
        <v>4472</v>
      </c>
      <c r="G202" s="6">
        <v>9090</v>
      </c>
      <c r="H202" s="6">
        <v>25075</v>
      </c>
      <c r="I202" s="7">
        <f t="shared" si="5"/>
        <v>-2.3960815462006884E-2</v>
      </c>
    </row>
    <row r="203" spans="1:9" x14ac:dyDescent="0.25">
      <c r="A203" s="1" t="s">
        <v>139</v>
      </c>
      <c r="B203" s="1" t="s">
        <v>140</v>
      </c>
      <c r="C203" s="10">
        <v>45839</v>
      </c>
      <c r="D203" s="6">
        <v>111699</v>
      </c>
      <c r="E203" s="6">
        <v>72524</v>
      </c>
      <c r="F203" s="6">
        <v>4711</v>
      </c>
      <c r="G203" s="6">
        <v>10175</v>
      </c>
      <c r="H203" s="6">
        <v>24289</v>
      </c>
      <c r="I203" s="7">
        <f t="shared" si="5"/>
        <v>9.9823680998236807E-3</v>
      </c>
    </row>
    <row r="204" spans="1:9" x14ac:dyDescent="0.25">
      <c r="A204" s="1" t="s">
        <v>139</v>
      </c>
      <c r="B204" s="1" t="s">
        <v>140</v>
      </c>
      <c r="C204" s="10">
        <v>45870</v>
      </c>
      <c r="D204" s="6">
        <v>108239</v>
      </c>
      <c r="E204" s="6">
        <v>70134</v>
      </c>
      <c r="F204" s="6">
        <v>4523</v>
      </c>
      <c r="G204" s="6">
        <v>10361</v>
      </c>
      <c r="H204" s="6">
        <v>23220</v>
      </c>
      <c r="I204" s="7">
        <f t="shared" si="5"/>
        <v>-3.0976105426190028E-2</v>
      </c>
    </row>
    <row r="205" spans="1:9" x14ac:dyDescent="0.25">
      <c r="A205" s="1" t="s">
        <v>139</v>
      </c>
      <c r="B205" s="1" t="s">
        <v>140</v>
      </c>
      <c r="C205" s="10">
        <v>45901</v>
      </c>
      <c r="D205" s="6">
        <v>116117</v>
      </c>
      <c r="E205" s="6">
        <v>75089</v>
      </c>
      <c r="F205" s="6">
        <v>4568</v>
      </c>
      <c r="G205" s="6">
        <v>11077</v>
      </c>
      <c r="H205" s="6">
        <v>25383</v>
      </c>
      <c r="I205" s="7">
        <f t="shared" si="5"/>
        <v>7.2783377525660803E-2</v>
      </c>
    </row>
    <row r="206" spans="1:9" x14ac:dyDescent="0.25">
      <c r="A206" s="1" t="s">
        <v>139</v>
      </c>
      <c r="B206" s="1" t="s">
        <v>140</v>
      </c>
      <c r="C206" s="10">
        <v>45931</v>
      </c>
      <c r="D206" s="6">
        <v>123843</v>
      </c>
      <c r="E206" s="6">
        <v>79927</v>
      </c>
      <c r="F206" s="6">
        <v>4599</v>
      </c>
      <c r="G206" s="6">
        <v>11784</v>
      </c>
      <c r="H206" s="6">
        <v>27533</v>
      </c>
      <c r="I206" s="7">
        <f t="shared" si="5"/>
        <v>6.6536338348389984E-2</v>
      </c>
    </row>
    <row r="207" spans="1:9" x14ac:dyDescent="0.25">
      <c r="A207" s="1" t="s">
        <v>139</v>
      </c>
      <c r="B207" s="1" t="s">
        <v>140</v>
      </c>
      <c r="C207" s="10">
        <v>45962</v>
      </c>
      <c r="D207" s="6">
        <v>123594</v>
      </c>
      <c r="E207" s="6">
        <v>79611</v>
      </c>
      <c r="F207" s="6">
        <v>4549</v>
      </c>
      <c r="G207" s="6">
        <v>12297</v>
      </c>
      <c r="H207" s="6">
        <v>27136</v>
      </c>
      <c r="I207" s="7">
        <f t="shared" si="5"/>
        <v>-2.0106102080860444E-3</v>
      </c>
    </row>
    <row r="208" spans="1:9" x14ac:dyDescent="0.25">
      <c r="A208" s="1" t="s">
        <v>139</v>
      </c>
      <c r="B208" s="1" t="s">
        <v>140</v>
      </c>
      <c r="C208" s="10">
        <v>45992</v>
      </c>
      <c r="D208" s="6">
        <v>121054</v>
      </c>
      <c r="E208" s="6">
        <v>77827</v>
      </c>
      <c r="F208" s="6">
        <v>4638</v>
      </c>
      <c r="G208" s="6">
        <v>13205</v>
      </c>
      <c r="H208" s="6">
        <v>25384</v>
      </c>
      <c r="I208" s="7">
        <f t="shared" si="5"/>
        <v>-2.0551159441396832E-2</v>
      </c>
    </row>
    <row r="209" spans="1:9" x14ac:dyDescent="0.25">
      <c r="A209" s="1" t="s">
        <v>139</v>
      </c>
      <c r="B209" s="1" t="s">
        <v>140</v>
      </c>
      <c r="C209" s="10">
        <v>46023</v>
      </c>
      <c r="D209" s="6">
        <v>121065</v>
      </c>
      <c r="E209" s="6">
        <v>77689</v>
      </c>
      <c r="F209" s="6">
        <v>4598</v>
      </c>
      <c r="G209" s="6">
        <v>13769</v>
      </c>
      <c r="H209" s="6">
        <v>25009</v>
      </c>
      <c r="I209" s="7">
        <f t="shared" si="5"/>
        <v>9.0868538007831223E-5</v>
      </c>
    </row>
    <row r="210" spans="1:9" x14ac:dyDescent="0.25">
      <c r="A210" s="1" t="s">
        <v>139</v>
      </c>
      <c r="B210" s="1" t="s">
        <v>140</v>
      </c>
      <c r="C210" s="10">
        <v>46054</v>
      </c>
      <c r="D210" s="6">
        <v>124879</v>
      </c>
      <c r="E210" s="6">
        <v>79989</v>
      </c>
      <c r="F210" s="6">
        <v>4703</v>
      </c>
      <c r="G210" s="6">
        <v>14789</v>
      </c>
      <c r="H210" s="6">
        <v>25399</v>
      </c>
      <c r="I210" s="7">
        <f t="shared" si="5"/>
        <v>3.1503737661586748E-2</v>
      </c>
    </row>
    <row r="211" spans="1:9" x14ac:dyDescent="0.25">
      <c r="A211" s="1" t="s">
        <v>139</v>
      </c>
      <c r="B211" s="1" t="s">
        <v>140</v>
      </c>
      <c r="C211" s="10">
        <v>46082</v>
      </c>
      <c r="D211" s="6">
        <v>127178</v>
      </c>
      <c r="E211" s="6">
        <v>81314</v>
      </c>
      <c r="F211" s="6">
        <v>4523</v>
      </c>
      <c r="G211" s="6">
        <v>14917</v>
      </c>
      <c r="H211" s="6">
        <v>26425</v>
      </c>
      <c r="I211" s="7">
        <f t="shared" si="5"/>
        <v>1.8409820706443838E-2</v>
      </c>
    </row>
    <row r="212" spans="1:9" x14ac:dyDescent="0.25">
      <c r="A212" s="1" t="s">
        <v>139</v>
      </c>
      <c r="B212" s="1" t="s">
        <v>140</v>
      </c>
      <c r="C212" s="10">
        <v>46113</v>
      </c>
      <c r="D212" s="6">
        <v>124506</v>
      </c>
      <c r="E212" s="6">
        <v>79464</v>
      </c>
      <c r="F212" s="6">
        <v>4610</v>
      </c>
      <c r="G212" s="6">
        <v>15926</v>
      </c>
      <c r="H212" s="6">
        <v>24506</v>
      </c>
      <c r="I212" s="7">
        <f t="shared" si="5"/>
        <v>-2.1009923099907218E-2</v>
      </c>
    </row>
    <row r="213" spans="1:9" x14ac:dyDescent="0.25">
      <c r="A213" s="1" t="s">
        <v>139</v>
      </c>
      <c r="B213" s="1" t="s">
        <v>140</v>
      </c>
      <c r="C213" s="10">
        <v>46143</v>
      </c>
      <c r="D213" s="6">
        <v>126887</v>
      </c>
      <c r="E213" s="6">
        <v>80842</v>
      </c>
      <c r="F213" s="6">
        <v>4659</v>
      </c>
      <c r="G213" s="6">
        <v>16839</v>
      </c>
      <c r="H213" s="6">
        <v>24547</v>
      </c>
      <c r="I213" s="7">
        <f t="shared" si="5"/>
        <v>1.9123576373829373E-2</v>
      </c>
    </row>
    <row r="214" spans="1:9" x14ac:dyDescent="0.25">
      <c r="A214" s="1" t="s">
        <v>139</v>
      </c>
      <c r="B214" s="1" t="s">
        <v>140</v>
      </c>
      <c r="C214" s="10">
        <v>46174</v>
      </c>
      <c r="D214" s="6">
        <v>124314</v>
      </c>
      <c r="E214" s="6">
        <v>79067</v>
      </c>
      <c r="F214" s="6">
        <v>4527</v>
      </c>
      <c r="G214" s="6">
        <v>17097</v>
      </c>
      <c r="H214" s="6">
        <v>23623</v>
      </c>
      <c r="I214" s="7">
        <f t="shared" si="5"/>
        <v>-2.0277885047325573E-2</v>
      </c>
    </row>
    <row r="215" spans="1:9" x14ac:dyDescent="0.25">
      <c r="A215" s="1" t="s">
        <v>139</v>
      </c>
      <c r="B215" s="1" t="s">
        <v>140</v>
      </c>
      <c r="C215" s="10">
        <v>46204</v>
      </c>
      <c r="D215" s="6">
        <v>118274</v>
      </c>
      <c r="E215" s="6">
        <v>75098</v>
      </c>
      <c r="F215" s="6">
        <v>4497</v>
      </c>
      <c r="G215" s="6">
        <v>17726</v>
      </c>
      <c r="H215" s="6">
        <v>20953</v>
      </c>
      <c r="I215" s="7">
        <f t="shared" si="5"/>
        <v>-4.8586643499525392E-2</v>
      </c>
    </row>
    <row r="216" spans="1:9" x14ac:dyDescent="0.25">
      <c r="A216" s="1" t="s">
        <v>139</v>
      </c>
      <c r="B216" s="1" t="s">
        <v>140</v>
      </c>
      <c r="C216" s="10">
        <v>46235</v>
      </c>
      <c r="D216" s="6">
        <v>119555</v>
      </c>
      <c r="E216" s="6">
        <v>75785</v>
      </c>
      <c r="F216" s="6">
        <v>4509</v>
      </c>
      <c r="G216" s="6">
        <v>18531</v>
      </c>
      <c r="H216" s="6">
        <v>20730</v>
      </c>
      <c r="I216" s="7">
        <f t="shared" si="5"/>
        <v>1.0830782758679E-2</v>
      </c>
    </row>
    <row r="217" spans="1:9" x14ac:dyDescent="0.25">
      <c r="A217" s="1" t="s">
        <v>139</v>
      </c>
      <c r="B217" s="1" t="s">
        <v>140</v>
      </c>
      <c r="C217" s="10">
        <v>46266</v>
      </c>
      <c r="D217" s="6">
        <v>136498</v>
      </c>
      <c r="E217" s="6">
        <v>86383</v>
      </c>
      <c r="F217" s="6">
        <v>4852</v>
      </c>
      <c r="G217" s="6">
        <v>20768</v>
      </c>
      <c r="H217" s="6">
        <v>24495</v>
      </c>
      <c r="I217" s="7">
        <f t="shared" si="5"/>
        <v>0.14171720128811008</v>
      </c>
    </row>
    <row r="218" spans="1:9" x14ac:dyDescent="0.25">
      <c r="A218" s="1" t="s">
        <v>144</v>
      </c>
      <c r="B218" s="1" t="s">
        <v>145</v>
      </c>
      <c r="C218" s="10">
        <v>45200</v>
      </c>
      <c r="D218" s="6">
        <v>217247</v>
      </c>
      <c r="E218" s="6">
        <v>114798</v>
      </c>
      <c r="F218" s="6">
        <v>32376</v>
      </c>
      <c r="G218" s="6">
        <v>11705</v>
      </c>
      <c r="H218" s="6">
        <v>58368</v>
      </c>
      <c r="I218" s="7"/>
    </row>
    <row r="219" spans="1:9" x14ac:dyDescent="0.25">
      <c r="A219" s="1" t="s">
        <v>144</v>
      </c>
      <c r="B219" s="1" t="s">
        <v>145</v>
      </c>
      <c r="C219" s="10">
        <v>45231</v>
      </c>
      <c r="D219" s="6">
        <v>236318</v>
      </c>
      <c r="E219" s="6">
        <v>124089</v>
      </c>
      <c r="F219" s="6">
        <v>35045</v>
      </c>
      <c r="G219" s="6">
        <v>12713</v>
      </c>
      <c r="H219" s="6">
        <v>64470</v>
      </c>
      <c r="I219" s="7">
        <f t="shared" ref="I219:I253" si="6">(D219-D218)/D218</f>
        <v>8.7784871597766601E-2</v>
      </c>
    </row>
    <row r="220" spans="1:9" x14ac:dyDescent="0.25">
      <c r="A220" s="1" t="s">
        <v>144</v>
      </c>
      <c r="B220" s="1" t="s">
        <v>145</v>
      </c>
      <c r="C220" s="10">
        <v>45261</v>
      </c>
      <c r="D220" s="6">
        <v>214872</v>
      </c>
      <c r="E220" s="6">
        <v>112137</v>
      </c>
      <c r="F220" s="6">
        <v>33298</v>
      </c>
      <c r="G220" s="6">
        <v>12310</v>
      </c>
      <c r="H220" s="6">
        <v>57127</v>
      </c>
      <c r="I220" s="7">
        <f t="shared" si="6"/>
        <v>-9.0750598769454724E-2</v>
      </c>
    </row>
    <row r="221" spans="1:9" x14ac:dyDescent="0.25">
      <c r="A221" s="1" t="s">
        <v>144</v>
      </c>
      <c r="B221" s="1" t="s">
        <v>145</v>
      </c>
      <c r="C221" s="10">
        <v>45292</v>
      </c>
      <c r="D221" s="6">
        <v>229385</v>
      </c>
      <c r="E221" s="6">
        <v>118998</v>
      </c>
      <c r="F221" s="6">
        <v>35382</v>
      </c>
      <c r="G221" s="6">
        <v>13461</v>
      </c>
      <c r="H221" s="6">
        <v>61543</v>
      </c>
      <c r="I221" s="7">
        <f t="shared" si="6"/>
        <v>6.754253695223203E-2</v>
      </c>
    </row>
    <row r="222" spans="1:9" x14ac:dyDescent="0.25">
      <c r="A222" s="1" t="s">
        <v>144</v>
      </c>
      <c r="B222" s="1" t="s">
        <v>145</v>
      </c>
      <c r="C222" s="10">
        <v>45323</v>
      </c>
      <c r="D222" s="6">
        <v>221713</v>
      </c>
      <c r="E222" s="6">
        <v>114351</v>
      </c>
      <c r="F222" s="6">
        <v>34045</v>
      </c>
      <c r="G222" s="6">
        <v>13425</v>
      </c>
      <c r="H222" s="6">
        <v>59892</v>
      </c>
      <c r="I222" s="7">
        <f t="shared" si="6"/>
        <v>-3.3445953309937444E-2</v>
      </c>
    </row>
    <row r="223" spans="1:9" x14ac:dyDescent="0.25">
      <c r="A223" s="1" t="s">
        <v>144</v>
      </c>
      <c r="B223" s="1" t="s">
        <v>145</v>
      </c>
      <c r="C223" s="10">
        <v>45352</v>
      </c>
      <c r="D223" s="6">
        <v>237306</v>
      </c>
      <c r="E223" s="6">
        <v>121702</v>
      </c>
      <c r="F223" s="6">
        <v>34552</v>
      </c>
      <c r="G223" s="6">
        <v>14195</v>
      </c>
      <c r="H223" s="6">
        <v>66857</v>
      </c>
      <c r="I223" s="7">
        <f t="shared" si="6"/>
        <v>7.0329660416845199E-2</v>
      </c>
    </row>
    <row r="224" spans="1:9" x14ac:dyDescent="0.25">
      <c r="A224" s="1" t="s">
        <v>144</v>
      </c>
      <c r="B224" s="1" t="s">
        <v>145</v>
      </c>
      <c r="C224" s="10">
        <v>45383</v>
      </c>
      <c r="D224" s="6">
        <v>243756</v>
      </c>
      <c r="E224" s="6">
        <v>124322</v>
      </c>
      <c r="F224" s="6">
        <v>37106</v>
      </c>
      <c r="G224" s="6">
        <v>15943</v>
      </c>
      <c r="H224" s="6">
        <v>66385</v>
      </c>
      <c r="I224" s="7">
        <f t="shared" si="6"/>
        <v>2.7180096584157164E-2</v>
      </c>
    </row>
    <row r="225" spans="1:9" x14ac:dyDescent="0.25">
      <c r="A225" s="1" t="s">
        <v>144</v>
      </c>
      <c r="B225" s="1" t="s">
        <v>145</v>
      </c>
      <c r="C225" s="10">
        <v>45413</v>
      </c>
      <c r="D225" s="6">
        <v>242652</v>
      </c>
      <c r="E225" s="6">
        <v>123095</v>
      </c>
      <c r="F225" s="6">
        <v>36785</v>
      </c>
      <c r="G225" s="6">
        <v>16571</v>
      </c>
      <c r="H225" s="6">
        <v>66202</v>
      </c>
      <c r="I225" s="7">
        <f t="shared" si="6"/>
        <v>-4.5291192832176436E-3</v>
      </c>
    </row>
    <row r="226" spans="1:9" x14ac:dyDescent="0.25">
      <c r="A226" s="1" t="s">
        <v>144</v>
      </c>
      <c r="B226" s="1" t="s">
        <v>145</v>
      </c>
      <c r="C226" s="10">
        <v>45444</v>
      </c>
      <c r="D226" s="6">
        <v>244178</v>
      </c>
      <c r="E226" s="6">
        <v>123221</v>
      </c>
      <c r="F226" s="6">
        <v>36866</v>
      </c>
      <c r="G226" s="6">
        <v>17442</v>
      </c>
      <c r="H226" s="6">
        <v>66648</v>
      </c>
      <c r="I226" s="7">
        <f t="shared" si="6"/>
        <v>6.2888416332855281E-3</v>
      </c>
    </row>
    <row r="227" spans="1:9" x14ac:dyDescent="0.25">
      <c r="A227" s="1" t="s">
        <v>144</v>
      </c>
      <c r="B227" s="1" t="s">
        <v>145</v>
      </c>
      <c r="C227" s="10">
        <v>45474</v>
      </c>
      <c r="D227" s="6">
        <v>223371</v>
      </c>
      <c r="E227" s="6">
        <v>112146</v>
      </c>
      <c r="F227" s="6">
        <v>35360</v>
      </c>
      <c r="G227" s="6">
        <v>17588</v>
      </c>
      <c r="H227" s="6">
        <v>58277</v>
      </c>
      <c r="I227" s="7">
        <f t="shared" si="6"/>
        <v>-8.521242699997543E-2</v>
      </c>
    </row>
    <row r="228" spans="1:9" x14ac:dyDescent="0.25">
      <c r="A228" s="1" t="s">
        <v>144</v>
      </c>
      <c r="B228" s="1" t="s">
        <v>145</v>
      </c>
      <c r="C228" s="10">
        <v>45505</v>
      </c>
      <c r="D228" s="6">
        <v>239781</v>
      </c>
      <c r="E228" s="6">
        <v>119786</v>
      </c>
      <c r="F228" s="6">
        <v>37811</v>
      </c>
      <c r="G228" s="6">
        <v>19782</v>
      </c>
      <c r="H228" s="6">
        <v>62401</v>
      </c>
      <c r="I228" s="7">
        <f t="shared" si="6"/>
        <v>7.346522153726312E-2</v>
      </c>
    </row>
    <row r="229" spans="1:9" x14ac:dyDescent="0.25">
      <c r="A229" s="1" t="s">
        <v>144</v>
      </c>
      <c r="B229" s="1" t="s">
        <v>145</v>
      </c>
      <c r="C229" s="10">
        <v>45536</v>
      </c>
      <c r="D229" s="6">
        <v>241562</v>
      </c>
      <c r="E229" s="6">
        <v>120090</v>
      </c>
      <c r="F229" s="6">
        <v>36052</v>
      </c>
      <c r="G229" s="6">
        <v>19840</v>
      </c>
      <c r="H229" s="6">
        <v>65581</v>
      </c>
      <c r="I229" s="7">
        <f t="shared" si="6"/>
        <v>7.4276110283967457E-3</v>
      </c>
    </row>
    <row r="230" spans="1:9" x14ac:dyDescent="0.25">
      <c r="A230" s="1" t="s">
        <v>144</v>
      </c>
      <c r="B230" s="1" t="s">
        <v>145</v>
      </c>
      <c r="C230" s="10">
        <v>45566</v>
      </c>
      <c r="D230" s="6">
        <v>272020</v>
      </c>
      <c r="E230" s="6">
        <v>134591</v>
      </c>
      <c r="F230" s="6">
        <v>38524</v>
      </c>
      <c r="G230" s="6">
        <v>22292</v>
      </c>
      <c r="H230" s="6">
        <v>76614</v>
      </c>
      <c r="I230" s="7">
        <f t="shared" si="6"/>
        <v>0.12608771247133241</v>
      </c>
    </row>
    <row r="231" spans="1:9" x14ac:dyDescent="0.25">
      <c r="A231" s="1" t="s">
        <v>144</v>
      </c>
      <c r="B231" s="1" t="s">
        <v>145</v>
      </c>
      <c r="C231" s="10">
        <v>45597</v>
      </c>
      <c r="D231" s="6">
        <v>285052</v>
      </c>
      <c r="E231" s="6">
        <v>140386</v>
      </c>
      <c r="F231" s="6">
        <v>40225</v>
      </c>
      <c r="G231" s="6">
        <v>24464</v>
      </c>
      <c r="H231" s="6">
        <v>79978</v>
      </c>
      <c r="I231" s="7">
        <f t="shared" si="6"/>
        <v>4.7908242041026394E-2</v>
      </c>
    </row>
    <row r="232" spans="1:9" x14ac:dyDescent="0.25">
      <c r="A232" s="1" t="s">
        <v>144</v>
      </c>
      <c r="B232" s="1" t="s">
        <v>145</v>
      </c>
      <c r="C232" s="10">
        <v>45627</v>
      </c>
      <c r="D232" s="6">
        <v>273043</v>
      </c>
      <c r="E232" s="6">
        <v>133863</v>
      </c>
      <c r="F232" s="6">
        <v>40317</v>
      </c>
      <c r="G232" s="6">
        <v>25751</v>
      </c>
      <c r="H232" s="6">
        <v>73112</v>
      </c>
      <c r="I232" s="7">
        <f t="shared" si="6"/>
        <v>-4.2129155382175883E-2</v>
      </c>
    </row>
    <row r="233" spans="1:9" x14ac:dyDescent="0.25">
      <c r="A233" s="1" t="s">
        <v>144</v>
      </c>
      <c r="B233" s="1" t="s">
        <v>145</v>
      </c>
      <c r="C233" s="10">
        <v>45658</v>
      </c>
      <c r="D233" s="6">
        <v>268596</v>
      </c>
      <c r="E233" s="6">
        <v>131102</v>
      </c>
      <c r="F233" s="6">
        <v>39526</v>
      </c>
      <c r="G233" s="6">
        <v>26491</v>
      </c>
      <c r="H233" s="6">
        <v>71478</v>
      </c>
      <c r="I233" s="7">
        <f t="shared" si="6"/>
        <v>-1.6286811967345802E-2</v>
      </c>
    </row>
    <row r="234" spans="1:9" x14ac:dyDescent="0.25">
      <c r="A234" s="1" t="s">
        <v>144</v>
      </c>
      <c r="B234" s="1" t="s">
        <v>145</v>
      </c>
      <c r="C234" s="10">
        <v>45689</v>
      </c>
      <c r="D234" s="6">
        <v>269917</v>
      </c>
      <c r="E234" s="6">
        <v>131178</v>
      </c>
      <c r="F234" s="6">
        <v>39588</v>
      </c>
      <c r="G234" s="6">
        <v>27817</v>
      </c>
      <c r="H234" s="6">
        <v>71335</v>
      </c>
      <c r="I234" s="7">
        <f t="shared" si="6"/>
        <v>4.9181670613114119E-3</v>
      </c>
    </row>
    <row r="235" spans="1:9" x14ac:dyDescent="0.25">
      <c r="A235" s="1" t="s">
        <v>144</v>
      </c>
      <c r="B235" s="1" t="s">
        <v>145</v>
      </c>
      <c r="C235" s="10">
        <v>45717</v>
      </c>
      <c r="D235" s="6">
        <v>277787</v>
      </c>
      <c r="E235" s="6">
        <v>134432</v>
      </c>
      <c r="F235" s="6">
        <v>38677</v>
      </c>
      <c r="G235" s="6">
        <v>28462</v>
      </c>
      <c r="H235" s="6">
        <v>76215</v>
      </c>
      <c r="I235" s="7">
        <f t="shared" si="6"/>
        <v>2.9157111260128113E-2</v>
      </c>
    </row>
    <row r="236" spans="1:9" x14ac:dyDescent="0.25">
      <c r="A236" s="1" t="s">
        <v>144</v>
      </c>
      <c r="B236" s="1" t="s">
        <v>145</v>
      </c>
      <c r="C236" s="10">
        <v>45748</v>
      </c>
      <c r="D236" s="6">
        <v>277246</v>
      </c>
      <c r="E236" s="6">
        <v>133617</v>
      </c>
      <c r="F236" s="6">
        <v>40404</v>
      </c>
      <c r="G236" s="6">
        <v>31107</v>
      </c>
      <c r="H236" s="6">
        <v>72118</v>
      </c>
      <c r="I236" s="7">
        <f t="shared" si="6"/>
        <v>-1.9475353418266514E-3</v>
      </c>
    </row>
    <row r="237" spans="1:9" x14ac:dyDescent="0.25">
      <c r="A237" s="1" t="s">
        <v>144</v>
      </c>
      <c r="B237" s="1" t="s">
        <v>145</v>
      </c>
      <c r="C237" s="10">
        <v>45778</v>
      </c>
      <c r="D237" s="6">
        <v>271071</v>
      </c>
      <c r="E237" s="6">
        <v>130114</v>
      </c>
      <c r="F237" s="6">
        <v>39382</v>
      </c>
      <c r="G237" s="6">
        <v>31688</v>
      </c>
      <c r="H237" s="6">
        <v>69888</v>
      </c>
      <c r="I237" s="7">
        <f t="shared" si="6"/>
        <v>-2.2272638739603095E-2</v>
      </c>
    </row>
    <row r="238" spans="1:9" x14ac:dyDescent="0.25">
      <c r="A238" s="1" t="s">
        <v>144</v>
      </c>
      <c r="B238" s="1" t="s">
        <v>145</v>
      </c>
      <c r="C238" s="10">
        <v>45809</v>
      </c>
      <c r="D238" s="6">
        <v>293284</v>
      </c>
      <c r="E238" s="6">
        <v>140220</v>
      </c>
      <c r="F238" s="6">
        <v>42480</v>
      </c>
      <c r="G238" s="6">
        <v>35685</v>
      </c>
      <c r="H238" s="6">
        <v>74899</v>
      </c>
      <c r="I238" s="7">
        <f t="shared" si="6"/>
        <v>8.1945320598662344E-2</v>
      </c>
    </row>
    <row r="239" spans="1:9" x14ac:dyDescent="0.25">
      <c r="A239" s="1" t="s">
        <v>144</v>
      </c>
      <c r="B239" s="1" t="s">
        <v>145</v>
      </c>
      <c r="C239" s="10">
        <v>45839</v>
      </c>
      <c r="D239" s="6">
        <v>272828</v>
      </c>
      <c r="E239" s="6">
        <v>129936</v>
      </c>
      <c r="F239" s="6">
        <v>41475</v>
      </c>
      <c r="G239" s="6">
        <v>36333</v>
      </c>
      <c r="H239" s="6">
        <v>65084</v>
      </c>
      <c r="I239" s="7">
        <f t="shared" si="6"/>
        <v>-6.9748093997626867E-2</v>
      </c>
    </row>
    <row r="240" spans="1:9" x14ac:dyDescent="0.25">
      <c r="A240" s="1" t="s">
        <v>144</v>
      </c>
      <c r="B240" s="1" t="s">
        <v>145</v>
      </c>
      <c r="C240" s="10">
        <v>45870</v>
      </c>
      <c r="D240" s="6">
        <v>281236</v>
      </c>
      <c r="E240" s="6">
        <v>133433</v>
      </c>
      <c r="F240" s="6">
        <v>42629</v>
      </c>
      <c r="G240" s="6">
        <v>38905</v>
      </c>
      <c r="H240" s="6">
        <v>66268</v>
      </c>
      <c r="I240" s="7">
        <f t="shared" si="6"/>
        <v>3.0817951236676588E-2</v>
      </c>
    </row>
    <row r="241" spans="1:9" x14ac:dyDescent="0.25">
      <c r="A241" s="1" t="s">
        <v>144</v>
      </c>
      <c r="B241" s="1" t="s">
        <v>145</v>
      </c>
      <c r="C241" s="10">
        <v>45901</v>
      </c>
      <c r="D241" s="6">
        <v>303911</v>
      </c>
      <c r="E241" s="6">
        <v>143658</v>
      </c>
      <c r="F241" s="6">
        <v>43640</v>
      </c>
      <c r="G241" s="6">
        <v>41447</v>
      </c>
      <c r="H241" s="6">
        <v>75167</v>
      </c>
      <c r="I241" s="7">
        <f t="shared" si="6"/>
        <v>8.0626235617061823E-2</v>
      </c>
    </row>
    <row r="242" spans="1:9" x14ac:dyDescent="0.25">
      <c r="A242" s="1" t="s">
        <v>144</v>
      </c>
      <c r="B242" s="1" t="s">
        <v>145</v>
      </c>
      <c r="C242" s="10">
        <v>45931</v>
      </c>
      <c r="D242" s="6">
        <v>306777</v>
      </c>
      <c r="E242" s="6">
        <v>144487</v>
      </c>
      <c r="F242" s="6">
        <v>41838</v>
      </c>
      <c r="G242" s="6">
        <v>41309</v>
      </c>
      <c r="H242" s="6">
        <v>79143</v>
      </c>
      <c r="I242" s="7">
        <f t="shared" si="6"/>
        <v>9.4303924504213401E-3</v>
      </c>
    </row>
    <row r="243" spans="1:9" x14ac:dyDescent="0.25">
      <c r="A243" s="1" t="s">
        <v>144</v>
      </c>
      <c r="B243" s="1" t="s">
        <v>145</v>
      </c>
      <c r="C243" s="10">
        <v>45962</v>
      </c>
      <c r="D243" s="6">
        <v>327548</v>
      </c>
      <c r="E243" s="6">
        <v>153722</v>
      </c>
      <c r="F243" s="6">
        <v>44550</v>
      </c>
      <c r="G243" s="6">
        <v>45684</v>
      </c>
      <c r="H243" s="6">
        <v>83593</v>
      </c>
      <c r="I243" s="7">
        <f t="shared" si="6"/>
        <v>6.7707161879801941E-2</v>
      </c>
    </row>
    <row r="244" spans="1:9" x14ac:dyDescent="0.25">
      <c r="A244" s="1" t="s">
        <v>144</v>
      </c>
      <c r="B244" s="1" t="s">
        <v>145</v>
      </c>
      <c r="C244" s="10">
        <v>45992</v>
      </c>
      <c r="D244" s="6">
        <v>309494</v>
      </c>
      <c r="E244" s="6">
        <v>144744</v>
      </c>
      <c r="F244" s="6">
        <v>44082</v>
      </c>
      <c r="G244" s="6">
        <v>46902</v>
      </c>
      <c r="H244" s="6">
        <v>73767</v>
      </c>
      <c r="I244" s="7">
        <f t="shared" si="6"/>
        <v>-5.5118639100223479E-2</v>
      </c>
    </row>
    <row r="245" spans="1:9" x14ac:dyDescent="0.25">
      <c r="A245" s="1" t="s">
        <v>144</v>
      </c>
      <c r="B245" s="1" t="s">
        <v>145</v>
      </c>
      <c r="C245" s="10">
        <v>46023</v>
      </c>
      <c r="D245" s="6">
        <v>309508</v>
      </c>
      <c r="E245" s="6">
        <v>144257</v>
      </c>
      <c r="F245" s="6">
        <v>43970</v>
      </c>
      <c r="G245" s="6">
        <v>48494</v>
      </c>
      <c r="H245" s="6">
        <v>72788</v>
      </c>
      <c r="I245" s="7">
        <f t="shared" si="6"/>
        <v>4.5235125721338704E-5</v>
      </c>
    </row>
    <row r="246" spans="1:9" x14ac:dyDescent="0.25">
      <c r="A246" s="1" t="s">
        <v>144</v>
      </c>
      <c r="B246" s="1" t="s">
        <v>145</v>
      </c>
      <c r="C246" s="10">
        <v>46054</v>
      </c>
      <c r="D246" s="6">
        <v>304259</v>
      </c>
      <c r="E246" s="6">
        <v>141336</v>
      </c>
      <c r="F246" s="6">
        <v>43115</v>
      </c>
      <c r="G246" s="6">
        <v>49245</v>
      </c>
      <c r="H246" s="6">
        <v>70564</v>
      </c>
      <c r="I246" s="7">
        <f t="shared" si="6"/>
        <v>-1.6959173914729182E-2</v>
      </c>
    </row>
    <row r="247" spans="1:9" x14ac:dyDescent="0.25">
      <c r="A247" s="1" t="s">
        <v>144</v>
      </c>
      <c r="B247" s="1" t="s">
        <v>145</v>
      </c>
      <c r="C247" s="10">
        <v>46082</v>
      </c>
      <c r="D247" s="6">
        <v>336006</v>
      </c>
      <c r="E247" s="6">
        <v>155572</v>
      </c>
      <c r="F247" s="6">
        <v>45234</v>
      </c>
      <c r="G247" s="6">
        <v>53458</v>
      </c>
      <c r="H247" s="6">
        <v>81743</v>
      </c>
      <c r="I247" s="7">
        <f t="shared" si="6"/>
        <v>0.1043420243936909</v>
      </c>
    </row>
    <row r="248" spans="1:9" x14ac:dyDescent="0.25">
      <c r="A248" s="1" t="s">
        <v>144</v>
      </c>
      <c r="B248" s="1" t="s">
        <v>145</v>
      </c>
      <c r="C248" s="10">
        <v>46113</v>
      </c>
      <c r="D248" s="6">
        <v>315740</v>
      </c>
      <c r="E248" s="6">
        <v>145719</v>
      </c>
      <c r="F248" s="6">
        <v>44522</v>
      </c>
      <c r="G248" s="6">
        <v>54397</v>
      </c>
      <c r="H248" s="6">
        <v>71102</v>
      </c>
      <c r="I248" s="7">
        <f t="shared" si="6"/>
        <v>-6.0314399147634271E-2</v>
      </c>
    </row>
    <row r="249" spans="1:9" x14ac:dyDescent="0.25">
      <c r="A249" s="1" t="s">
        <v>144</v>
      </c>
      <c r="B249" s="1" t="s">
        <v>145</v>
      </c>
      <c r="C249" s="10">
        <v>46143</v>
      </c>
      <c r="D249" s="6">
        <v>337885</v>
      </c>
      <c r="E249" s="6">
        <v>155448</v>
      </c>
      <c r="F249" s="6">
        <v>47531</v>
      </c>
      <c r="G249" s="6">
        <v>59987</v>
      </c>
      <c r="H249" s="6">
        <v>74919</v>
      </c>
      <c r="I249" s="7">
        <f t="shared" si="6"/>
        <v>7.013682143535821E-2</v>
      </c>
    </row>
    <row r="250" spans="1:9" x14ac:dyDescent="0.25">
      <c r="A250" s="1" t="s">
        <v>144</v>
      </c>
      <c r="B250" s="1" t="s">
        <v>145</v>
      </c>
      <c r="C250" s="10">
        <v>46174</v>
      </c>
      <c r="D250" s="6">
        <v>331120</v>
      </c>
      <c r="E250" s="6">
        <v>151865</v>
      </c>
      <c r="F250" s="6">
        <v>46470</v>
      </c>
      <c r="G250" s="6">
        <v>60533</v>
      </c>
      <c r="H250" s="6">
        <v>72251</v>
      </c>
      <c r="I250" s="7">
        <f t="shared" si="6"/>
        <v>-2.002160498394424E-2</v>
      </c>
    </row>
    <row r="251" spans="1:9" x14ac:dyDescent="0.25">
      <c r="A251" s="1" t="s">
        <v>144</v>
      </c>
      <c r="B251" s="1" t="s">
        <v>145</v>
      </c>
      <c r="C251" s="10">
        <v>46204</v>
      </c>
      <c r="D251" s="6">
        <v>305324</v>
      </c>
      <c r="E251" s="6">
        <v>139609</v>
      </c>
      <c r="F251" s="6">
        <v>45002</v>
      </c>
      <c r="G251" s="6">
        <v>60457</v>
      </c>
      <c r="H251" s="6">
        <v>60255</v>
      </c>
      <c r="I251" s="7">
        <f t="shared" si="6"/>
        <v>-7.7905291133123944E-2</v>
      </c>
    </row>
    <row r="252" spans="1:9" x14ac:dyDescent="0.25">
      <c r="A252" s="1" t="s">
        <v>144</v>
      </c>
      <c r="B252" s="1" t="s">
        <v>145</v>
      </c>
      <c r="C252" s="10">
        <v>46235</v>
      </c>
      <c r="D252" s="6">
        <v>316825</v>
      </c>
      <c r="E252" s="6">
        <v>144438</v>
      </c>
      <c r="F252" s="6">
        <v>46592</v>
      </c>
      <c r="G252" s="6">
        <v>64507</v>
      </c>
      <c r="H252" s="6">
        <v>61288</v>
      </c>
      <c r="I252" s="7">
        <f t="shared" si="6"/>
        <v>3.76681819968296E-2</v>
      </c>
    </row>
    <row r="253" spans="1:9" x14ac:dyDescent="0.25">
      <c r="A253" s="1" t="s">
        <v>144</v>
      </c>
      <c r="B253" s="1" t="s">
        <v>145</v>
      </c>
      <c r="C253" s="10">
        <v>46266</v>
      </c>
      <c r="D253" s="6">
        <v>337955</v>
      </c>
      <c r="E253" s="6">
        <v>153621</v>
      </c>
      <c r="F253" s="6">
        <v>47111</v>
      </c>
      <c r="G253" s="6">
        <v>67170</v>
      </c>
      <c r="H253" s="6">
        <v>70054</v>
      </c>
      <c r="I253" s="7">
        <f t="shared" si="6"/>
        <v>6.669296930482127E-2</v>
      </c>
    </row>
    <row r="254" spans="1:9" x14ac:dyDescent="0.25">
      <c r="A254" s="1" t="s">
        <v>148</v>
      </c>
      <c r="B254" s="1" t="s">
        <v>149</v>
      </c>
      <c r="C254" s="10">
        <v>45200</v>
      </c>
      <c r="D254" s="6">
        <v>138953</v>
      </c>
      <c r="E254" s="6">
        <v>59996</v>
      </c>
      <c r="F254" s="6">
        <v>20234</v>
      </c>
      <c r="G254" s="6">
        <v>0</v>
      </c>
      <c r="H254" s="6">
        <v>58723</v>
      </c>
      <c r="I254" s="7"/>
    </row>
    <row r="255" spans="1:9" x14ac:dyDescent="0.25">
      <c r="A255" s="1" t="s">
        <v>148</v>
      </c>
      <c r="B255" s="1" t="s">
        <v>149</v>
      </c>
      <c r="C255" s="10">
        <v>45231</v>
      </c>
      <c r="D255" s="6">
        <v>133929</v>
      </c>
      <c r="E255" s="6">
        <v>57961</v>
      </c>
      <c r="F255" s="6">
        <v>19479</v>
      </c>
      <c r="G255" s="6">
        <v>0</v>
      </c>
      <c r="H255" s="6">
        <v>56489</v>
      </c>
      <c r="I255" s="7">
        <f t="shared" ref="I255:I289" si="7">(D255-D254)/D254</f>
        <v>-3.61561103394673E-2</v>
      </c>
    </row>
    <row r="256" spans="1:9" x14ac:dyDescent="0.25">
      <c r="A256" s="1" t="s">
        <v>148</v>
      </c>
      <c r="B256" s="1" t="s">
        <v>149</v>
      </c>
      <c r="C256" s="10">
        <v>45261</v>
      </c>
      <c r="D256" s="6">
        <v>128868</v>
      </c>
      <c r="E256" s="6">
        <v>55901</v>
      </c>
      <c r="F256" s="6">
        <v>19657</v>
      </c>
      <c r="G256" s="6">
        <v>0</v>
      </c>
      <c r="H256" s="6">
        <v>53311</v>
      </c>
      <c r="I256" s="7">
        <f t="shared" si="7"/>
        <v>-3.7788679076226954E-2</v>
      </c>
    </row>
    <row r="257" spans="1:9" x14ac:dyDescent="0.25">
      <c r="A257" s="1" t="s">
        <v>148</v>
      </c>
      <c r="B257" s="1" t="s">
        <v>149</v>
      </c>
      <c r="C257" s="10">
        <v>45292</v>
      </c>
      <c r="D257" s="6">
        <v>134070</v>
      </c>
      <c r="E257" s="6">
        <v>58292</v>
      </c>
      <c r="F257" s="6">
        <v>20425</v>
      </c>
      <c r="G257" s="6">
        <v>0</v>
      </c>
      <c r="H257" s="6">
        <v>55352</v>
      </c>
      <c r="I257" s="7">
        <f t="shared" si="7"/>
        <v>4.03668870472111E-2</v>
      </c>
    </row>
    <row r="258" spans="1:9" x14ac:dyDescent="0.25">
      <c r="A258" s="1" t="s">
        <v>148</v>
      </c>
      <c r="B258" s="1" t="s">
        <v>149</v>
      </c>
      <c r="C258" s="10">
        <v>45323</v>
      </c>
      <c r="D258" s="6">
        <v>125966</v>
      </c>
      <c r="E258" s="6">
        <v>54896</v>
      </c>
      <c r="F258" s="6">
        <v>19168</v>
      </c>
      <c r="G258" s="6">
        <v>0</v>
      </c>
      <c r="H258" s="6">
        <v>51902</v>
      </c>
      <c r="I258" s="7">
        <f t="shared" si="7"/>
        <v>-6.044603565301708E-2</v>
      </c>
    </row>
    <row r="259" spans="1:9" x14ac:dyDescent="0.25">
      <c r="A259" s="1" t="s">
        <v>148</v>
      </c>
      <c r="B259" s="1" t="s">
        <v>149</v>
      </c>
      <c r="C259" s="10">
        <v>45352</v>
      </c>
      <c r="D259" s="6">
        <v>136257</v>
      </c>
      <c r="E259" s="6">
        <v>59519</v>
      </c>
      <c r="F259" s="6">
        <v>19722</v>
      </c>
      <c r="G259" s="6">
        <v>0</v>
      </c>
      <c r="H259" s="6">
        <v>57015</v>
      </c>
      <c r="I259" s="7">
        <f t="shared" si="7"/>
        <v>8.1696648301922747E-2</v>
      </c>
    </row>
    <row r="260" spans="1:9" x14ac:dyDescent="0.25">
      <c r="A260" s="1" t="s">
        <v>148</v>
      </c>
      <c r="B260" s="1" t="s">
        <v>149</v>
      </c>
      <c r="C260" s="10">
        <v>45383</v>
      </c>
      <c r="D260" s="6">
        <v>132307</v>
      </c>
      <c r="E260" s="6">
        <v>57928</v>
      </c>
      <c r="F260" s="6">
        <v>20084</v>
      </c>
      <c r="G260" s="6">
        <v>0</v>
      </c>
      <c r="H260" s="6">
        <v>54295</v>
      </c>
      <c r="I260" s="7">
        <f t="shared" si="7"/>
        <v>-2.8989336327674909E-2</v>
      </c>
    </row>
    <row r="261" spans="1:9" x14ac:dyDescent="0.25">
      <c r="A261" s="1" t="s">
        <v>148</v>
      </c>
      <c r="B261" s="1" t="s">
        <v>149</v>
      </c>
      <c r="C261" s="10">
        <v>45413</v>
      </c>
      <c r="D261" s="6">
        <v>128856</v>
      </c>
      <c r="E261" s="6">
        <v>56549</v>
      </c>
      <c r="F261" s="6">
        <v>19536</v>
      </c>
      <c r="G261" s="6">
        <v>0</v>
      </c>
      <c r="H261" s="6">
        <v>52771</v>
      </c>
      <c r="I261" s="7">
        <f t="shared" si="7"/>
        <v>-2.608327601714195E-2</v>
      </c>
    </row>
    <row r="262" spans="1:9" x14ac:dyDescent="0.25">
      <c r="A262" s="1" t="s">
        <v>148</v>
      </c>
      <c r="B262" s="1" t="s">
        <v>149</v>
      </c>
      <c r="C262" s="10">
        <v>45444</v>
      </c>
      <c r="D262" s="6">
        <v>132327</v>
      </c>
      <c r="E262" s="6">
        <v>58207</v>
      </c>
      <c r="F262" s="6">
        <v>20038</v>
      </c>
      <c r="G262" s="6">
        <v>0</v>
      </c>
      <c r="H262" s="6">
        <v>54082</v>
      </c>
      <c r="I262" s="7">
        <f t="shared" si="7"/>
        <v>2.6937046004842615E-2</v>
      </c>
    </row>
    <row r="263" spans="1:9" x14ac:dyDescent="0.25">
      <c r="A263" s="1" t="s">
        <v>148</v>
      </c>
      <c r="B263" s="1" t="s">
        <v>149</v>
      </c>
      <c r="C263" s="10">
        <v>45474</v>
      </c>
      <c r="D263" s="6">
        <v>119604</v>
      </c>
      <c r="E263" s="6">
        <v>52734</v>
      </c>
      <c r="F263" s="6">
        <v>19041</v>
      </c>
      <c r="G263" s="6">
        <v>0</v>
      </c>
      <c r="H263" s="6">
        <v>47830</v>
      </c>
      <c r="I263" s="7">
        <f t="shared" si="7"/>
        <v>-9.6148178376295093E-2</v>
      </c>
    </row>
    <row r="264" spans="1:9" x14ac:dyDescent="0.25">
      <c r="A264" s="1" t="s">
        <v>148</v>
      </c>
      <c r="B264" s="1" t="s">
        <v>149</v>
      </c>
      <c r="C264" s="10">
        <v>45505</v>
      </c>
      <c r="D264" s="6">
        <v>122088</v>
      </c>
      <c r="E264" s="6">
        <v>53955</v>
      </c>
      <c r="F264" s="6">
        <v>19412</v>
      </c>
      <c r="G264" s="6">
        <v>0</v>
      </c>
      <c r="H264" s="6">
        <v>48721</v>
      </c>
      <c r="I264" s="7">
        <f t="shared" si="7"/>
        <v>2.0768536169358885E-2</v>
      </c>
    </row>
    <row r="265" spans="1:9" x14ac:dyDescent="0.25">
      <c r="A265" s="1" t="s">
        <v>148</v>
      </c>
      <c r="B265" s="1" t="s">
        <v>149</v>
      </c>
      <c r="C265" s="10">
        <v>45536</v>
      </c>
      <c r="D265" s="6">
        <v>129655</v>
      </c>
      <c r="E265" s="6">
        <v>57433</v>
      </c>
      <c r="F265" s="6">
        <v>19561</v>
      </c>
      <c r="G265" s="6">
        <v>0</v>
      </c>
      <c r="H265" s="6">
        <v>52662</v>
      </c>
      <c r="I265" s="7">
        <f t="shared" si="7"/>
        <v>6.1979883362820259E-2</v>
      </c>
    </row>
    <row r="266" spans="1:9" x14ac:dyDescent="0.25">
      <c r="A266" s="1" t="s">
        <v>148</v>
      </c>
      <c r="B266" s="1" t="s">
        <v>149</v>
      </c>
      <c r="C266" s="10">
        <v>45566</v>
      </c>
      <c r="D266" s="6">
        <v>133035</v>
      </c>
      <c r="E266" s="6">
        <v>59068</v>
      </c>
      <c r="F266" s="6">
        <v>19091</v>
      </c>
      <c r="G266" s="6">
        <v>0</v>
      </c>
      <c r="H266" s="6">
        <v>54877</v>
      </c>
      <c r="I266" s="7">
        <f t="shared" si="7"/>
        <v>2.6069183602637769E-2</v>
      </c>
    </row>
    <row r="267" spans="1:9" x14ac:dyDescent="0.25">
      <c r="A267" s="1" t="s">
        <v>148</v>
      </c>
      <c r="B267" s="1" t="s">
        <v>149</v>
      </c>
      <c r="C267" s="10">
        <v>45597</v>
      </c>
      <c r="D267" s="6">
        <v>129640</v>
      </c>
      <c r="E267" s="6">
        <v>57695</v>
      </c>
      <c r="F267" s="6">
        <v>18580</v>
      </c>
      <c r="G267" s="6">
        <v>0</v>
      </c>
      <c r="H267" s="6">
        <v>53365</v>
      </c>
      <c r="I267" s="7">
        <f t="shared" si="7"/>
        <v>-2.5519600105235463E-2</v>
      </c>
    </row>
    <row r="268" spans="1:9" x14ac:dyDescent="0.25">
      <c r="A268" s="1" t="s">
        <v>148</v>
      </c>
      <c r="B268" s="1" t="s">
        <v>149</v>
      </c>
      <c r="C268" s="10">
        <v>45627</v>
      </c>
      <c r="D268" s="6">
        <v>129065</v>
      </c>
      <c r="E268" s="6">
        <v>57574</v>
      </c>
      <c r="F268" s="6">
        <v>19398</v>
      </c>
      <c r="G268" s="6">
        <v>0</v>
      </c>
      <c r="H268" s="6">
        <v>52093</v>
      </c>
      <c r="I268" s="7">
        <f t="shared" si="7"/>
        <v>-4.4353594569577293E-3</v>
      </c>
    </row>
    <row r="269" spans="1:9" x14ac:dyDescent="0.25">
      <c r="A269" s="1" t="s">
        <v>148</v>
      </c>
      <c r="B269" s="1" t="s">
        <v>149</v>
      </c>
      <c r="C269" s="10">
        <v>45658</v>
      </c>
      <c r="D269" s="6">
        <v>127815</v>
      </c>
      <c r="E269" s="6">
        <v>57150</v>
      </c>
      <c r="F269" s="6">
        <v>19186</v>
      </c>
      <c r="G269" s="6">
        <v>0</v>
      </c>
      <c r="H269" s="6">
        <v>51479</v>
      </c>
      <c r="I269" s="7">
        <f t="shared" si="7"/>
        <v>-9.685042420485802E-3</v>
      </c>
    </row>
    <row r="270" spans="1:9" x14ac:dyDescent="0.25">
      <c r="A270" s="1" t="s">
        <v>148</v>
      </c>
      <c r="B270" s="1" t="s">
        <v>149</v>
      </c>
      <c r="C270" s="10">
        <v>45689</v>
      </c>
      <c r="D270" s="6">
        <v>121894</v>
      </c>
      <c r="E270" s="6">
        <v>54630</v>
      </c>
      <c r="F270" s="6">
        <v>18274</v>
      </c>
      <c r="G270" s="6">
        <v>0</v>
      </c>
      <c r="H270" s="6">
        <v>48990</v>
      </c>
      <c r="I270" s="7">
        <f t="shared" si="7"/>
        <v>-4.6324766263740561E-2</v>
      </c>
    </row>
    <row r="271" spans="1:9" x14ac:dyDescent="0.25">
      <c r="A271" s="1" t="s">
        <v>148</v>
      </c>
      <c r="B271" s="1" t="s">
        <v>149</v>
      </c>
      <c r="C271" s="10">
        <v>45717</v>
      </c>
      <c r="D271" s="6">
        <v>134324</v>
      </c>
      <c r="E271" s="6">
        <v>60342</v>
      </c>
      <c r="F271" s="6">
        <v>19154</v>
      </c>
      <c r="G271" s="6">
        <v>0</v>
      </c>
      <c r="H271" s="6">
        <v>54827</v>
      </c>
      <c r="I271" s="7">
        <f t="shared" si="7"/>
        <v>0.10197384612860354</v>
      </c>
    </row>
    <row r="272" spans="1:9" x14ac:dyDescent="0.25">
      <c r="A272" s="1" t="s">
        <v>148</v>
      </c>
      <c r="B272" s="1" t="s">
        <v>149</v>
      </c>
      <c r="C272" s="10">
        <v>45748</v>
      </c>
      <c r="D272" s="6">
        <v>125386</v>
      </c>
      <c r="E272" s="6">
        <v>56459</v>
      </c>
      <c r="F272" s="6">
        <v>18750</v>
      </c>
      <c r="G272" s="6">
        <v>0</v>
      </c>
      <c r="H272" s="6">
        <v>50177</v>
      </c>
      <c r="I272" s="7">
        <f t="shared" si="7"/>
        <v>-6.6540603317352079E-2</v>
      </c>
    </row>
    <row r="273" spans="1:9" x14ac:dyDescent="0.25">
      <c r="A273" s="1" t="s">
        <v>148</v>
      </c>
      <c r="B273" s="1" t="s">
        <v>149</v>
      </c>
      <c r="C273" s="10">
        <v>45778</v>
      </c>
      <c r="D273" s="6">
        <v>127188</v>
      </c>
      <c r="E273" s="6">
        <v>57405</v>
      </c>
      <c r="F273" s="6">
        <v>18995</v>
      </c>
      <c r="G273" s="6">
        <v>0</v>
      </c>
      <c r="H273" s="6">
        <v>50787</v>
      </c>
      <c r="I273" s="7">
        <f t="shared" si="7"/>
        <v>1.4371620436093344E-2</v>
      </c>
    </row>
    <row r="274" spans="1:9" x14ac:dyDescent="0.25">
      <c r="A274" s="1" t="s">
        <v>148</v>
      </c>
      <c r="B274" s="1" t="s">
        <v>149</v>
      </c>
      <c r="C274" s="10">
        <v>45809</v>
      </c>
      <c r="D274" s="6">
        <v>129876</v>
      </c>
      <c r="E274" s="6">
        <v>58756</v>
      </c>
      <c r="F274" s="6">
        <v>19371</v>
      </c>
      <c r="G274" s="6">
        <v>0</v>
      </c>
      <c r="H274" s="6">
        <v>51748</v>
      </c>
      <c r="I274" s="7">
        <f t="shared" si="7"/>
        <v>2.1134069251816209E-2</v>
      </c>
    </row>
    <row r="275" spans="1:9" x14ac:dyDescent="0.25">
      <c r="A275" s="1" t="s">
        <v>148</v>
      </c>
      <c r="B275" s="1" t="s">
        <v>149</v>
      </c>
      <c r="C275" s="10">
        <v>45839</v>
      </c>
      <c r="D275" s="6">
        <v>118071</v>
      </c>
      <c r="E275" s="6">
        <v>53542</v>
      </c>
      <c r="F275" s="6">
        <v>18513</v>
      </c>
      <c r="G275" s="6">
        <v>0</v>
      </c>
      <c r="H275" s="6">
        <v>46016</v>
      </c>
      <c r="I275" s="7">
        <f t="shared" si="7"/>
        <v>-9.0894391573500877E-2</v>
      </c>
    </row>
    <row r="276" spans="1:9" x14ac:dyDescent="0.25">
      <c r="A276" s="1" t="s">
        <v>148</v>
      </c>
      <c r="B276" s="1" t="s">
        <v>149</v>
      </c>
      <c r="C276" s="10">
        <v>45870</v>
      </c>
      <c r="D276" s="6">
        <v>118627</v>
      </c>
      <c r="E276" s="6">
        <v>53921</v>
      </c>
      <c r="F276" s="6">
        <v>18576</v>
      </c>
      <c r="G276" s="6">
        <v>0</v>
      </c>
      <c r="H276" s="6">
        <v>46130</v>
      </c>
      <c r="I276" s="7">
        <f t="shared" si="7"/>
        <v>4.7090310067671145E-3</v>
      </c>
    </row>
    <row r="277" spans="1:9" x14ac:dyDescent="0.25">
      <c r="A277" s="1" t="s">
        <v>148</v>
      </c>
      <c r="B277" s="1" t="s">
        <v>149</v>
      </c>
      <c r="C277" s="10">
        <v>45901</v>
      </c>
      <c r="D277" s="6">
        <v>126481</v>
      </c>
      <c r="E277" s="6">
        <v>57626</v>
      </c>
      <c r="F277" s="6">
        <v>18791</v>
      </c>
      <c r="G277" s="6">
        <v>0</v>
      </c>
      <c r="H277" s="6">
        <v>50064</v>
      </c>
      <c r="I277" s="7">
        <f t="shared" si="7"/>
        <v>6.6207524425299466E-2</v>
      </c>
    </row>
    <row r="278" spans="1:9" x14ac:dyDescent="0.25">
      <c r="A278" s="1" t="s">
        <v>148</v>
      </c>
      <c r="B278" s="1" t="s">
        <v>149</v>
      </c>
      <c r="C278" s="10">
        <v>45931</v>
      </c>
      <c r="D278" s="6">
        <v>137316</v>
      </c>
      <c r="E278" s="6">
        <v>62710</v>
      </c>
      <c r="F278" s="6">
        <v>19404</v>
      </c>
      <c r="G278" s="6">
        <v>0</v>
      </c>
      <c r="H278" s="6">
        <v>55201</v>
      </c>
      <c r="I278" s="7">
        <f t="shared" si="7"/>
        <v>8.566504059898325E-2</v>
      </c>
    </row>
    <row r="279" spans="1:9" x14ac:dyDescent="0.25">
      <c r="A279" s="1" t="s">
        <v>148</v>
      </c>
      <c r="B279" s="1" t="s">
        <v>149</v>
      </c>
      <c r="C279" s="10">
        <v>45962</v>
      </c>
      <c r="D279" s="6">
        <v>131651</v>
      </c>
      <c r="E279" s="6">
        <v>60265</v>
      </c>
      <c r="F279" s="6">
        <v>18579</v>
      </c>
      <c r="G279" s="6">
        <v>0</v>
      </c>
      <c r="H279" s="6">
        <v>52807</v>
      </c>
      <c r="I279" s="7">
        <f t="shared" si="7"/>
        <v>-4.1255206967869731E-2</v>
      </c>
    </row>
    <row r="280" spans="1:9" x14ac:dyDescent="0.25">
      <c r="A280" s="1" t="s">
        <v>148</v>
      </c>
      <c r="B280" s="1" t="s">
        <v>149</v>
      </c>
      <c r="C280" s="10">
        <v>45992</v>
      </c>
      <c r="D280" s="6">
        <v>130575</v>
      </c>
      <c r="E280" s="6">
        <v>59914</v>
      </c>
      <c r="F280" s="6">
        <v>19323</v>
      </c>
      <c r="G280" s="6">
        <v>0</v>
      </c>
      <c r="H280" s="6">
        <v>51338</v>
      </c>
      <c r="I280" s="7">
        <f t="shared" si="7"/>
        <v>-8.173124397080159E-3</v>
      </c>
    </row>
    <row r="281" spans="1:9" x14ac:dyDescent="0.25">
      <c r="A281" s="1" t="s">
        <v>148</v>
      </c>
      <c r="B281" s="1" t="s">
        <v>149</v>
      </c>
      <c r="C281" s="10">
        <v>46023</v>
      </c>
      <c r="D281" s="6">
        <v>120300</v>
      </c>
      <c r="E281" s="6">
        <v>55330</v>
      </c>
      <c r="F281" s="6">
        <v>17779</v>
      </c>
      <c r="G281" s="6">
        <v>0</v>
      </c>
      <c r="H281" s="6">
        <v>47192</v>
      </c>
      <c r="I281" s="7">
        <f t="shared" si="7"/>
        <v>-7.8690407811602525E-2</v>
      </c>
    </row>
    <row r="282" spans="1:9" x14ac:dyDescent="0.25">
      <c r="A282" s="1" t="s">
        <v>148</v>
      </c>
      <c r="B282" s="1" t="s">
        <v>149</v>
      </c>
      <c r="C282" s="10">
        <v>46054</v>
      </c>
      <c r="D282" s="6">
        <v>119745</v>
      </c>
      <c r="E282" s="6">
        <v>55205</v>
      </c>
      <c r="F282" s="6">
        <v>17673</v>
      </c>
      <c r="G282" s="6">
        <v>0</v>
      </c>
      <c r="H282" s="6">
        <v>46867</v>
      </c>
      <c r="I282" s="7">
        <f t="shared" si="7"/>
        <v>-4.6134663341645885E-3</v>
      </c>
    </row>
    <row r="283" spans="1:9" x14ac:dyDescent="0.25">
      <c r="A283" s="1" t="s">
        <v>148</v>
      </c>
      <c r="B283" s="1" t="s">
        <v>149</v>
      </c>
      <c r="C283" s="10">
        <v>46082</v>
      </c>
      <c r="D283" s="6">
        <v>135022</v>
      </c>
      <c r="E283" s="6">
        <v>62396</v>
      </c>
      <c r="F283" s="6">
        <v>18953</v>
      </c>
      <c r="G283" s="6">
        <v>0</v>
      </c>
      <c r="H283" s="6">
        <v>53673</v>
      </c>
      <c r="I283" s="7">
        <f t="shared" si="7"/>
        <v>0.12757943964257382</v>
      </c>
    </row>
    <row r="284" spans="1:9" x14ac:dyDescent="0.25">
      <c r="A284" s="1" t="s">
        <v>148</v>
      </c>
      <c r="B284" s="1" t="s">
        <v>149</v>
      </c>
      <c r="C284" s="10">
        <v>46113</v>
      </c>
      <c r="D284" s="6">
        <v>121595</v>
      </c>
      <c r="E284" s="6">
        <v>56324</v>
      </c>
      <c r="F284" s="6">
        <v>17898</v>
      </c>
      <c r="G284" s="6">
        <v>0</v>
      </c>
      <c r="H284" s="6">
        <v>47373</v>
      </c>
      <c r="I284" s="7">
        <f t="shared" si="7"/>
        <v>-9.944305372457822E-2</v>
      </c>
    </row>
    <row r="285" spans="1:9" x14ac:dyDescent="0.25">
      <c r="A285" s="1" t="s">
        <v>148</v>
      </c>
      <c r="B285" s="1" t="s">
        <v>149</v>
      </c>
      <c r="C285" s="10">
        <v>46143</v>
      </c>
      <c r="D285" s="6">
        <v>126345</v>
      </c>
      <c r="E285" s="6">
        <v>58663</v>
      </c>
      <c r="F285" s="6">
        <v>18572</v>
      </c>
      <c r="G285" s="6">
        <v>0</v>
      </c>
      <c r="H285" s="6">
        <v>49110</v>
      </c>
      <c r="I285" s="7">
        <f t="shared" si="7"/>
        <v>3.9064106254369013E-2</v>
      </c>
    </row>
    <row r="286" spans="1:9" x14ac:dyDescent="0.25">
      <c r="A286" s="1" t="s">
        <v>148</v>
      </c>
      <c r="B286" s="1" t="s">
        <v>149</v>
      </c>
      <c r="C286" s="10">
        <v>46174</v>
      </c>
      <c r="D286" s="6">
        <v>124923</v>
      </c>
      <c r="E286" s="6">
        <v>58141</v>
      </c>
      <c r="F286" s="6">
        <v>18338</v>
      </c>
      <c r="G286" s="6">
        <v>0</v>
      </c>
      <c r="H286" s="6">
        <v>48445</v>
      </c>
      <c r="I286" s="7">
        <f t="shared" si="7"/>
        <v>-1.1254897304998219E-2</v>
      </c>
    </row>
    <row r="287" spans="1:9" x14ac:dyDescent="0.25">
      <c r="A287" s="1" t="s">
        <v>148</v>
      </c>
      <c r="B287" s="1" t="s">
        <v>149</v>
      </c>
      <c r="C287" s="10">
        <v>46204</v>
      </c>
      <c r="D287" s="6">
        <v>117204</v>
      </c>
      <c r="E287" s="6">
        <v>54678</v>
      </c>
      <c r="F287" s="6">
        <v>18085</v>
      </c>
      <c r="G287" s="6">
        <v>0</v>
      </c>
      <c r="H287" s="6">
        <v>44441</v>
      </c>
      <c r="I287" s="7">
        <f t="shared" si="7"/>
        <v>-6.1790062678610022E-2</v>
      </c>
    </row>
    <row r="288" spans="1:9" x14ac:dyDescent="0.25">
      <c r="A288" s="1" t="s">
        <v>148</v>
      </c>
      <c r="B288" s="1" t="s">
        <v>149</v>
      </c>
      <c r="C288" s="10">
        <v>46235</v>
      </c>
      <c r="D288" s="6">
        <v>117000</v>
      </c>
      <c r="E288" s="6">
        <v>54713</v>
      </c>
      <c r="F288" s="6">
        <v>18029</v>
      </c>
      <c r="G288" s="6">
        <v>0</v>
      </c>
      <c r="H288" s="6">
        <v>44259</v>
      </c>
      <c r="I288" s="7">
        <f t="shared" si="7"/>
        <v>-1.7405549298658749E-3</v>
      </c>
    </row>
    <row r="289" spans="1:9" x14ac:dyDescent="0.25">
      <c r="A289" s="1" t="s">
        <v>148</v>
      </c>
      <c r="B289" s="1" t="s">
        <v>149</v>
      </c>
      <c r="C289" s="10">
        <v>46266</v>
      </c>
      <c r="D289" s="6">
        <v>127261</v>
      </c>
      <c r="E289" s="6">
        <v>59653</v>
      </c>
      <c r="F289" s="6">
        <v>18604</v>
      </c>
      <c r="G289" s="6">
        <v>0</v>
      </c>
      <c r="H289" s="6">
        <v>49005</v>
      </c>
      <c r="I289" s="7">
        <f t="shared" si="7"/>
        <v>8.7700854700854702E-2</v>
      </c>
    </row>
  </sheetData>
  <conditionalFormatting sqref="I2:I289">
    <cfRule type="cellIs" dxfId="3" priority="1" operator="greaterThan">
      <formula>0</formula>
    </cfRule>
    <cfRule type="cellIs" dxfId="2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3E5CC-254D-4803-AE53-35A79C994EFF}">
  <dimension ref="A1:J99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4.85546875" bestFit="1" customWidth="1"/>
    <col min="2" max="2" width="22" bestFit="1" customWidth="1"/>
    <col min="3" max="3" width="21.140625" bestFit="1" customWidth="1"/>
    <col min="4" max="4" width="18.28515625" bestFit="1" customWidth="1"/>
    <col min="5" max="7" width="15.42578125" bestFit="1" customWidth="1"/>
    <col min="8" max="8" width="28.85546875" bestFit="1" customWidth="1"/>
    <col min="9" max="9" width="16.85546875" bestFit="1" customWidth="1"/>
    <col min="10" max="10" width="22.140625" bestFit="1" customWidth="1"/>
  </cols>
  <sheetData>
    <row r="1" spans="1:10" x14ac:dyDescent="0.25">
      <c r="A1" s="3" t="s">
        <v>27</v>
      </c>
      <c r="B1" s="3" t="s">
        <v>105</v>
      </c>
      <c r="C1" s="3" t="s">
        <v>31</v>
      </c>
      <c r="D1" s="3" t="s">
        <v>1032</v>
      </c>
      <c r="E1" s="3" t="s">
        <v>1074</v>
      </c>
      <c r="F1" s="3" t="s">
        <v>1075</v>
      </c>
      <c r="G1" s="3" t="s">
        <v>1076</v>
      </c>
      <c r="H1" s="3" t="s">
        <v>1077</v>
      </c>
      <c r="I1" s="3" t="s">
        <v>112</v>
      </c>
      <c r="J1" s="3" t="s">
        <v>1078</v>
      </c>
    </row>
    <row r="2" spans="1:10" x14ac:dyDescent="0.25">
      <c r="A2" s="1" t="s">
        <v>117</v>
      </c>
      <c r="B2" s="1" t="s">
        <v>118</v>
      </c>
      <c r="C2" s="1" t="s">
        <v>1038</v>
      </c>
      <c r="D2" s="1" t="s">
        <v>1039</v>
      </c>
      <c r="E2" s="6">
        <f>SUMIFS(ACR_By_Service_Yearly!$F:$F,ACR_By_Service_Yearly!$A:$A,$A2,ACR_By_Service_Yearly!$C:$C,$C2,ACR_By_Service_Yearly!$E:$E,"FY2024")</f>
        <v>1723081</v>
      </c>
      <c r="F2" s="6">
        <f>SUMIFS(ACR_By_Service_Yearly!$F:$F,ACR_By_Service_Yearly!$A:$A,$A2,ACR_By_Service_Yearly!$C:$C,$C2,ACR_By_Service_Yearly!$E:$E,"FY2025")</f>
        <v>2052130</v>
      </c>
      <c r="G2" s="6">
        <f>SUMIFS(ACR_By_Service_Yearly!$F:$F,ACR_By_Service_Yearly!$A:$A,$A2,ACR_By_Service_Yearly!$C:$C,$C2,ACR_By_Service_Yearly!$E:$E,"FY2026")</f>
        <v>1944909</v>
      </c>
      <c r="H2" s="11">
        <f t="shared" ref="H2:H33" si="0">G2/E2</f>
        <v>1.1287391596796668</v>
      </c>
      <c r="I2" s="7">
        <f t="shared" ref="I2:I33" si="1">(G2/E2)^(1/2)-1</f>
        <v>6.2421366351254504E-2</v>
      </c>
      <c r="J2" s="1" t="str">
        <f t="shared" ref="J2:J33" si="2">IF(I2&gt;=0.4,"High Growth",IF(I2&gt;=0.1,"Moderate Growth",IF(I2&gt;=-0.02,"Flat","Contracting")))</f>
        <v>Flat</v>
      </c>
    </row>
    <row r="3" spans="1:10" x14ac:dyDescent="0.25">
      <c r="A3" s="1" t="s">
        <v>117</v>
      </c>
      <c r="B3" s="1" t="s">
        <v>118</v>
      </c>
      <c r="C3" s="1" t="s">
        <v>1043</v>
      </c>
      <c r="D3" s="1" t="s">
        <v>1044</v>
      </c>
      <c r="E3" s="6">
        <f>SUMIFS(ACR_By_Service_Yearly!$F:$F,ACR_By_Service_Yearly!$A:$A,$A3,ACR_By_Service_Yearly!$C:$C,$C3,ACR_By_Service_Yearly!$E:$E,"FY2024")</f>
        <v>605634</v>
      </c>
      <c r="F3" s="6">
        <f>SUMIFS(ACR_By_Service_Yearly!$F:$F,ACR_By_Service_Yearly!$A:$A,$A3,ACR_By_Service_Yearly!$C:$C,$C3,ACR_By_Service_Yearly!$E:$E,"FY2025")</f>
        <v>719274</v>
      </c>
      <c r="G3" s="6">
        <f>SUMIFS(ACR_By_Service_Yearly!$F:$F,ACR_By_Service_Yearly!$A:$A,$A3,ACR_By_Service_Yearly!$C:$C,$C3,ACR_By_Service_Yearly!$E:$E,"FY2026")</f>
        <v>861374</v>
      </c>
      <c r="H3" s="11">
        <f t="shared" si="0"/>
        <v>1.4222682346103421</v>
      </c>
      <c r="I3" s="7">
        <f t="shared" si="1"/>
        <v>0.19258887912404332</v>
      </c>
      <c r="J3" s="1" t="str">
        <f t="shared" si="2"/>
        <v>Moderate Growth</v>
      </c>
    </row>
    <row r="4" spans="1:10" x14ac:dyDescent="0.25">
      <c r="A4" s="1" t="s">
        <v>117</v>
      </c>
      <c r="B4" s="1" t="s">
        <v>118</v>
      </c>
      <c r="C4" s="1" t="s">
        <v>1045</v>
      </c>
      <c r="D4" s="1" t="s">
        <v>1046</v>
      </c>
      <c r="E4" s="6">
        <f>SUMIFS(ACR_By_Service_Yearly!$F:$F,ACR_By_Service_Yearly!$A:$A,$A4,ACR_By_Service_Yearly!$C:$C,$C4,ACR_By_Service_Yearly!$E:$E,"FY2024")</f>
        <v>138542</v>
      </c>
      <c r="F4" s="6">
        <f>SUMIFS(ACR_By_Service_Yearly!$F:$F,ACR_By_Service_Yearly!$A:$A,$A4,ACR_By_Service_Yearly!$C:$C,$C4,ACR_By_Service_Yearly!$E:$E,"FY2025")</f>
        <v>167637</v>
      </c>
      <c r="G4" s="6">
        <f>SUMIFS(ACR_By_Service_Yearly!$F:$F,ACR_By_Service_Yearly!$A:$A,$A4,ACR_By_Service_Yearly!$C:$C,$C4,ACR_By_Service_Yearly!$E:$E,"FY2026")</f>
        <v>177209</v>
      </c>
      <c r="H4" s="11">
        <f t="shared" si="0"/>
        <v>1.2790994788583967</v>
      </c>
      <c r="I4" s="7">
        <f t="shared" si="1"/>
        <v>0.13097280199764172</v>
      </c>
      <c r="J4" s="1" t="str">
        <f t="shared" si="2"/>
        <v>Moderate Growth</v>
      </c>
    </row>
    <row r="5" spans="1:10" x14ac:dyDescent="0.25">
      <c r="A5" s="1" t="s">
        <v>117</v>
      </c>
      <c r="B5" s="1" t="s">
        <v>118</v>
      </c>
      <c r="C5" s="1" t="s">
        <v>1047</v>
      </c>
      <c r="D5" s="1" t="s">
        <v>1048</v>
      </c>
      <c r="E5" s="6">
        <f>SUMIFS(ACR_By_Service_Yearly!$F:$F,ACR_By_Service_Yearly!$A:$A,$A5,ACR_By_Service_Yearly!$C:$C,$C5,ACR_By_Service_Yearly!$E:$E,"FY2024")</f>
        <v>227568</v>
      </c>
      <c r="F5" s="6">
        <f>SUMIFS(ACR_By_Service_Yearly!$F:$F,ACR_By_Service_Yearly!$A:$A,$A5,ACR_By_Service_Yearly!$C:$C,$C5,ACR_By_Service_Yearly!$E:$E,"FY2025")</f>
        <v>257737</v>
      </c>
      <c r="G5" s="6">
        <f>SUMIFS(ACR_By_Service_Yearly!$F:$F,ACR_By_Service_Yearly!$A:$A,$A5,ACR_By_Service_Yearly!$C:$C,$C5,ACR_By_Service_Yearly!$E:$E,"FY2026")</f>
        <v>279245</v>
      </c>
      <c r="H5" s="11">
        <f t="shared" si="0"/>
        <v>1.2270837727624271</v>
      </c>
      <c r="I5" s="7">
        <f t="shared" si="1"/>
        <v>0.10773813365904639</v>
      </c>
      <c r="J5" s="1" t="str">
        <f t="shared" si="2"/>
        <v>Moderate Growth</v>
      </c>
    </row>
    <row r="6" spans="1:10" x14ac:dyDescent="0.25">
      <c r="A6" s="1" t="s">
        <v>117</v>
      </c>
      <c r="B6" s="1" t="s">
        <v>118</v>
      </c>
      <c r="C6" s="1" t="s">
        <v>1049</v>
      </c>
      <c r="D6" s="1" t="s">
        <v>1048</v>
      </c>
      <c r="E6" s="6">
        <f>SUMIFS(ACR_By_Service_Yearly!$F:$F,ACR_By_Service_Yearly!$A:$A,$A6,ACR_By_Service_Yearly!$C:$C,$C6,ACR_By_Service_Yearly!$E:$E,"FY2024")</f>
        <v>110371</v>
      </c>
      <c r="F6" s="6">
        <f>SUMIFS(ACR_By_Service_Yearly!$F:$F,ACR_By_Service_Yearly!$A:$A,$A6,ACR_By_Service_Yearly!$C:$C,$C6,ACR_By_Service_Yearly!$E:$E,"FY2025")</f>
        <v>129909</v>
      </c>
      <c r="G6" s="6">
        <f>SUMIFS(ACR_By_Service_Yearly!$F:$F,ACR_By_Service_Yearly!$A:$A,$A6,ACR_By_Service_Yearly!$C:$C,$C6,ACR_By_Service_Yearly!$E:$E,"FY2026")</f>
        <v>129138</v>
      </c>
      <c r="H6" s="11">
        <f t="shared" si="0"/>
        <v>1.1700356071794222</v>
      </c>
      <c r="I6" s="7">
        <f t="shared" si="1"/>
        <v>8.1681841938479716E-2</v>
      </c>
      <c r="J6" s="1" t="str">
        <f t="shared" si="2"/>
        <v>Flat</v>
      </c>
    </row>
    <row r="7" spans="1:10" x14ac:dyDescent="0.25">
      <c r="A7" s="1" t="s">
        <v>117</v>
      </c>
      <c r="B7" s="1" t="s">
        <v>118</v>
      </c>
      <c r="C7" s="1" t="s">
        <v>1050</v>
      </c>
      <c r="D7" s="1" t="s">
        <v>1051</v>
      </c>
      <c r="E7" s="6">
        <f>SUMIFS(ACR_By_Service_Yearly!$F:$F,ACR_By_Service_Yearly!$A:$A,$A7,ACR_By_Service_Yearly!$C:$C,$C7,ACR_By_Service_Yearly!$E:$E,"FY2024")</f>
        <v>171544</v>
      </c>
      <c r="F7" s="6">
        <f>SUMIFS(ACR_By_Service_Yearly!$F:$F,ACR_By_Service_Yearly!$A:$A,$A7,ACR_By_Service_Yearly!$C:$C,$C7,ACR_By_Service_Yearly!$E:$E,"FY2025")</f>
        <v>166123</v>
      </c>
      <c r="G7" s="6">
        <f>SUMIFS(ACR_By_Service_Yearly!$F:$F,ACR_By_Service_Yearly!$A:$A,$A7,ACR_By_Service_Yearly!$C:$C,$C7,ACR_By_Service_Yearly!$E:$E,"FY2026")</f>
        <v>178005</v>
      </c>
      <c r="H7" s="11">
        <f t="shared" si="0"/>
        <v>1.0376638063703774</v>
      </c>
      <c r="I7" s="7">
        <f t="shared" si="1"/>
        <v>1.8657845584265642E-2</v>
      </c>
      <c r="J7" s="1" t="str">
        <f t="shared" si="2"/>
        <v>Flat</v>
      </c>
    </row>
    <row r="8" spans="1:10" x14ac:dyDescent="0.25">
      <c r="A8" s="1" t="s">
        <v>117</v>
      </c>
      <c r="B8" s="1" t="s">
        <v>118</v>
      </c>
      <c r="C8" s="1" t="s">
        <v>1052</v>
      </c>
      <c r="D8" s="1" t="s">
        <v>1039</v>
      </c>
      <c r="E8" s="6">
        <f>SUMIFS(ACR_By_Service_Yearly!$F:$F,ACR_By_Service_Yearly!$A:$A,$A8,ACR_By_Service_Yearly!$C:$C,$C8,ACR_By_Service_Yearly!$E:$E,"FY2024")</f>
        <v>563950</v>
      </c>
      <c r="F8" s="6">
        <f>SUMIFS(ACR_By_Service_Yearly!$F:$F,ACR_By_Service_Yearly!$A:$A,$A8,ACR_By_Service_Yearly!$C:$C,$C8,ACR_By_Service_Yearly!$E:$E,"FY2025")</f>
        <v>970675</v>
      </c>
      <c r="G8" s="6">
        <f>SUMIFS(ACR_By_Service_Yearly!$F:$F,ACR_By_Service_Yearly!$A:$A,$A8,ACR_By_Service_Yearly!$C:$C,$C8,ACR_By_Service_Yearly!$E:$E,"FY2026")</f>
        <v>1652116</v>
      </c>
      <c r="H8" s="11">
        <f t="shared" si="0"/>
        <v>2.9295433992375211</v>
      </c>
      <c r="I8" s="7">
        <f t="shared" si="1"/>
        <v>0.71159089715899149</v>
      </c>
      <c r="J8" s="1" t="str">
        <f t="shared" si="2"/>
        <v>High Growth</v>
      </c>
    </row>
    <row r="9" spans="1:10" x14ac:dyDescent="0.25">
      <c r="A9" s="1" t="s">
        <v>117</v>
      </c>
      <c r="B9" s="1" t="s">
        <v>118</v>
      </c>
      <c r="C9" s="1" t="s">
        <v>1053</v>
      </c>
      <c r="D9" s="1" t="s">
        <v>1054</v>
      </c>
      <c r="E9" s="6">
        <f>SUMIFS(ACR_By_Service_Yearly!$F:$F,ACR_By_Service_Yearly!$A:$A,$A9,ACR_By_Service_Yearly!$C:$C,$C9,ACR_By_Service_Yearly!$E:$E,"FY2024")</f>
        <v>190372</v>
      </c>
      <c r="F9" s="6">
        <f>SUMIFS(ACR_By_Service_Yearly!$F:$F,ACR_By_Service_Yearly!$A:$A,$A9,ACR_By_Service_Yearly!$C:$C,$C9,ACR_By_Service_Yearly!$E:$E,"FY2025")</f>
        <v>181055</v>
      </c>
      <c r="G9" s="6">
        <f>SUMIFS(ACR_By_Service_Yearly!$F:$F,ACR_By_Service_Yearly!$A:$A,$A9,ACR_By_Service_Yearly!$C:$C,$C9,ACR_By_Service_Yearly!$E:$E,"FY2026")</f>
        <v>168361</v>
      </c>
      <c r="H9" s="11">
        <f t="shared" si="0"/>
        <v>0.88437900531590785</v>
      </c>
      <c r="I9" s="7">
        <f t="shared" si="1"/>
        <v>-5.9585726758729085E-2</v>
      </c>
      <c r="J9" s="1" t="str">
        <f t="shared" si="2"/>
        <v>Contracting</v>
      </c>
    </row>
    <row r="10" spans="1:10" x14ac:dyDescent="0.25">
      <c r="A10" s="1" t="s">
        <v>117</v>
      </c>
      <c r="B10" s="1" t="s">
        <v>118</v>
      </c>
      <c r="C10" s="1" t="s">
        <v>1055</v>
      </c>
      <c r="D10" s="1" t="s">
        <v>1056</v>
      </c>
      <c r="E10" s="6">
        <f>SUMIFS(ACR_By_Service_Yearly!$F:$F,ACR_By_Service_Yearly!$A:$A,$A10,ACR_By_Service_Yearly!$C:$C,$C10,ACR_By_Service_Yearly!$E:$E,"FY2024")</f>
        <v>400479</v>
      </c>
      <c r="F10" s="6">
        <f>SUMIFS(ACR_By_Service_Yearly!$F:$F,ACR_By_Service_Yearly!$A:$A,$A10,ACR_By_Service_Yearly!$C:$C,$C10,ACR_By_Service_Yearly!$E:$E,"FY2025")</f>
        <v>472222</v>
      </c>
      <c r="G10" s="6">
        <f>SUMIFS(ACR_By_Service_Yearly!$F:$F,ACR_By_Service_Yearly!$A:$A,$A10,ACR_By_Service_Yearly!$C:$C,$C10,ACR_By_Service_Yearly!$E:$E,"FY2026")</f>
        <v>579615</v>
      </c>
      <c r="H10" s="11">
        <f t="shared" si="0"/>
        <v>1.4473043530372378</v>
      </c>
      <c r="I10" s="7">
        <f t="shared" si="1"/>
        <v>0.20303963070101627</v>
      </c>
      <c r="J10" s="1" t="str">
        <f t="shared" si="2"/>
        <v>Moderate Growth</v>
      </c>
    </row>
    <row r="11" spans="1:10" x14ac:dyDescent="0.25">
      <c r="A11" s="1" t="s">
        <v>117</v>
      </c>
      <c r="B11" s="1" t="s">
        <v>118</v>
      </c>
      <c r="C11" s="1" t="s">
        <v>1057</v>
      </c>
      <c r="D11" s="1" t="s">
        <v>1048</v>
      </c>
      <c r="E11" s="6">
        <f>SUMIFS(ACR_By_Service_Yearly!$F:$F,ACR_By_Service_Yearly!$A:$A,$A11,ACR_By_Service_Yearly!$C:$C,$C11,ACR_By_Service_Yearly!$E:$E,"FY2024")</f>
        <v>126078</v>
      </c>
      <c r="F11" s="6">
        <f>SUMIFS(ACR_By_Service_Yearly!$F:$F,ACR_By_Service_Yearly!$A:$A,$A11,ACR_By_Service_Yearly!$C:$C,$C11,ACR_By_Service_Yearly!$E:$E,"FY2025")</f>
        <v>109323</v>
      </c>
      <c r="G11" s="6">
        <f>SUMIFS(ACR_By_Service_Yearly!$F:$F,ACR_By_Service_Yearly!$A:$A,$A11,ACR_By_Service_Yearly!$C:$C,$C11,ACR_By_Service_Yearly!$E:$E,"FY2026")</f>
        <v>78666</v>
      </c>
      <c r="H11" s="11">
        <f t="shared" si="0"/>
        <v>0.62394708037881308</v>
      </c>
      <c r="I11" s="7">
        <f t="shared" si="1"/>
        <v>-0.21009679049973906</v>
      </c>
      <c r="J11" s="1" t="str">
        <f t="shared" si="2"/>
        <v>Contracting</v>
      </c>
    </row>
    <row r="12" spans="1:10" x14ac:dyDescent="0.25">
      <c r="A12" s="1" t="s">
        <v>117</v>
      </c>
      <c r="B12" s="1" t="s">
        <v>118</v>
      </c>
      <c r="C12" s="1" t="s">
        <v>1058</v>
      </c>
      <c r="D12" s="1" t="s">
        <v>1039</v>
      </c>
      <c r="E12" s="6">
        <f>SUMIFS(ACR_By_Service_Yearly!$F:$F,ACR_By_Service_Yearly!$A:$A,$A12,ACR_By_Service_Yearly!$C:$C,$C12,ACR_By_Service_Yearly!$E:$E,"FY2024")</f>
        <v>99733</v>
      </c>
      <c r="F12" s="6">
        <f>SUMIFS(ACR_By_Service_Yearly!$F:$F,ACR_By_Service_Yearly!$A:$A,$A12,ACR_By_Service_Yearly!$C:$C,$C12,ACR_By_Service_Yearly!$E:$E,"FY2025")</f>
        <v>101980</v>
      </c>
      <c r="G12" s="6">
        <f>SUMIFS(ACR_By_Service_Yearly!$F:$F,ACR_By_Service_Yearly!$A:$A,$A12,ACR_By_Service_Yearly!$C:$C,$C12,ACR_By_Service_Yearly!$E:$E,"FY2026")</f>
        <v>113137</v>
      </c>
      <c r="H12" s="11">
        <f t="shared" si="0"/>
        <v>1.1343988449159255</v>
      </c>
      <c r="I12" s="7">
        <f t="shared" si="1"/>
        <v>6.5081614204247407E-2</v>
      </c>
      <c r="J12" s="1" t="str">
        <f t="shared" si="2"/>
        <v>Flat</v>
      </c>
    </row>
    <row r="13" spans="1:10" x14ac:dyDescent="0.25">
      <c r="A13" s="1" t="s">
        <v>117</v>
      </c>
      <c r="B13" s="1" t="s">
        <v>118</v>
      </c>
      <c r="C13" s="1" t="s">
        <v>1059</v>
      </c>
      <c r="D13" s="1" t="s">
        <v>1039</v>
      </c>
      <c r="E13" s="6">
        <f>SUMIFS(ACR_By_Service_Yearly!$F:$F,ACR_By_Service_Yearly!$A:$A,$A13,ACR_By_Service_Yearly!$C:$C,$C13,ACR_By_Service_Yearly!$E:$E,"FY2024")</f>
        <v>206353</v>
      </c>
      <c r="F13" s="6">
        <f>SUMIFS(ACR_By_Service_Yearly!$F:$F,ACR_By_Service_Yearly!$A:$A,$A13,ACR_By_Service_Yearly!$C:$C,$C13,ACR_By_Service_Yearly!$E:$E,"FY2025")</f>
        <v>141933</v>
      </c>
      <c r="G13" s="6">
        <f>SUMIFS(ACR_By_Service_Yearly!$F:$F,ACR_By_Service_Yearly!$A:$A,$A13,ACR_By_Service_Yearly!$C:$C,$C13,ACR_By_Service_Yearly!$E:$E,"FY2026")</f>
        <v>105565</v>
      </c>
      <c r="H13" s="11">
        <f t="shared" si="0"/>
        <v>0.51157482566282053</v>
      </c>
      <c r="I13" s="7">
        <f t="shared" si="1"/>
        <v>-0.28475540850502024</v>
      </c>
      <c r="J13" s="1" t="str">
        <f t="shared" si="2"/>
        <v>Contracting</v>
      </c>
    </row>
    <row r="14" spans="1:10" x14ac:dyDescent="0.25">
      <c r="A14" s="1" t="s">
        <v>117</v>
      </c>
      <c r="B14" s="1" t="s">
        <v>118</v>
      </c>
      <c r="C14" s="1" t="s">
        <v>1060</v>
      </c>
      <c r="D14" s="1" t="s">
        <v>1056</v>
      </c>
      <c r="E14" s="6">
        <f>SUMIFS(ACR_By_Service_Yearly!$F:$F,ACR_By_Service_Yearly!$A:$A,$A14,ACR_By_Service_Yearly!$C:$C,$C14,ACR_By_Service_Yearly!$E:$E,"FY2024")</f>
        <v>163820</v>
      </c>
      <c r="F14" s="6">
        <f>SUMIFS(ACR_By_Service_Yearly!$F:$F,ACR_By_Service_Yearly!$A:$A,$A14,ACR_By_Service_Yearly!$C:$C,$C14,ACR_By_Service_Yearly!$E:$E,"FY2025")</f>
        <v>174260</v>
      </c>
      <c r="G14" s="6">
        <f>SUMIFS(ACR_By_Service_Yearly!$F:$F,ACR_By_Service_Yearly!$A:$A,$A14,ACR_By_Service_Yearly!$C:$C,$C14,ACR_By_Service_Yearly!$E:$E,"FY2026")</f>
        <v>206911</v>
      </c>
      <c r="H14" s="11">
        <f t="shared" si="0"/>
        <v>1.2630387010133073</v>
      </c>
      <c r="I14" s="7">
        <f t="shared" si="1"/>
        <v>0.12384994595066257</v>
      </c>
      <c r="J14" s="1" t="str">
        <f t="shared" si="2"/>
        <v>Moderate Growth</v>
      </c>
    </row>
    <row r="15" spans="1:10" x14ac:dyDescent="0.25">
      <c r="A15" s="1" t="s">
        <v>117</v>
      </c>
      <c r="B15" s="1" t="s">
        <v>118</v>
      </c>
      <c r="C15" s="1" t="s">
        <v>1061</v>
      </c>
      <c r="D15" s="1" t="s">
        <v>1062</v>
      </c>
      <c r="E15" s="6">
        <f>SUMIFS(ACR_By_Service_Yearly!$F:$F,ACR_By_Service_Yearly!$A:$A,$A15,ACR_By_Service_Yearly!$C:$C,$C15,ACR_By_Service_Yearly!$E:$E,"FY2024")</f>
        <v>46990</v>
      </c>
      <c r="F15" s="6">
        <f>SUMIFS(ACR_By_Service_Yearly!$F:$F,ACR_By_Service_Yearly!$A:$A,$A15,ACR_By_Service_Yearly!$C:$C,$C15,ACR_By_Service_Yearly!$E:$E,"FY2025")</f>
        <v>136517</v>
      </c>
      <c r="G15" s="6">
        <f>SUMIFS(ACR_By_Service_Yearly!$F:$F,ACR_By_Service_Yearly!$A:$A,$A15,ACR_By_Service_Yearly!$C:$C,$C15,ACR_By_Service_Yearly!$E:$E,"FY2026")</f>
        <v>398769</v>
      </c>
      <c r="H15" s="11">
        <f t="shared" si="0"/>
        <v>8.4862523941264101</v>
      </c>
      <c r="I15" s="7">
        <f t="shared" si="1"/>
        <v>1.9131172983809646</v>
      </c>
      <c r="J15" s="1" t="str">
        <f t="shared" si="2"/>
        <v>High Growth</v>
      </c>
    </row>
    <row r="16" spans="1:10" x14ac:dyDescent="0.25">
      <c r="A16" s="1" t="s">
        <v>122</v>
      </c>
      <c r="B16" s="1" t="s">
        <v>123</v>
      </c>
      <c r="C16" s="1" t="s">
        <v>1038</v>
      </c>
      <c r="D16" s="1" t="s">
        <v>1039</v>
      </c>
      <c r="E16" s="6">
        <f>SUMIFS(ACR_By_Service_Yearly!$F:$F,ACR_By_Service_Yearly!$A:$A,$A16,ACR_By_Service_Yearly!$C:$C,$C16,ACR_By_Service_Yearly!$E:$E,"FY2024")</f>
        <v>752431</v>
      </c>
      <c r="F16" s="6">
        <f>SUMIFS(ACR_By_Service_Yearly!$F:$F,ACR_By_Service_Yearly!$A:$A,$A16,ACR_By_Service_Yearly!$C:$C,$C16,ACR_By_Service_Yearly!$E:$E,"FY2025")</f>
        <v>848750</v>
      </c>
      <c r="G16" s="6">
        <f>SUMIFS(ACR_By_Service_Yearly!$F:$F,ACR_By_Service_Yearly!$A:$A,$A16,ACR_By_Service_Yearly!$C:$C,$C16,ACR_By_Service_Yearly!$E:$E,"FY2026")</f>
        <v>756910</v>
      </c>
      <c r="H16" s="11">
        <f t="shared" si="0"/>
        <v>1.0059527052978945</v>
      </c>
      <c r="I16" s="7">
        <f t="shared" si="1"/>
        <v>2.9719364458282715E-3</v>
      </c>
      <c r="J16" s="1" t="str">
        <f t="shared" si="2"/>
        <v>Flat</v>
      </c>
    </row>
    <row r="17" spans="1:10" x14ac:dyDescent="0.25">
      <c r="A17" s="1" t="s">
        <v>122</v>
      </c>
      <c r="B17" s="1" t="s">
        <v>123</v>
      </c>
      <c r="C17" s="1" t="s">
        <v>1043</v>
      </c>
      <c r="D17" s="1" t="s">
        <v>1044</v>
      </c>
      <c r="E17" s="6">
        <f>SUMIFS(ACR_By_Service_Yearly!$F:$F,ACR_By_Service_Yearly!$A:$A,$A17,ACR_By_Service_Yearly!$C:$C,$C17,ACR_By_Service_Yearly!$E:$E,"FY2024")</f>
        <v>409784</v>
      </c>
      <c r="F17" s="6">
        <f>SUMIFS(ACR_By_Service_Yearly!$F:$F,ACR_By_Service_Yearly!$A:$A,$A17,ACR_By_Service_Yearly!$C:$C,$C17,ACR_By_Service_Yearly!$E:$E,"FY2025")</f>
        <v>479265</v>
      </c>
      <c r="G17" s="6">
        <f>SUMIFS(ACR_By_Service_Yearly!$F:$F,ACR_By_Service_Yearly!$A:$A,$A17,ACR_By_Service_Yearly!$C:$C,$C17,ACR_By_Service_Yearly!$E:$E,"FY2026")</f>
        <v>509521</v>
      </c>
      <c r="H17" s="11">
        <f t="shared" si="0"/>
        <v>1.2433892001639888</v>
      </c>
      <c r="I17" s="7">
        <f t="shared" si="1"/>
        <v>0.11507362992942705</v>
      </c>
      <c r="J17" s="1" t="str">
        <f t="shared" si="2"/>
        <v>Moderate Growth</v>
      </c>
    </row>
    <row r="18" spans="1:10" x14ac:dyDescent="0.25">
      <c r="A18" s="1" t="s">
        <v>122</v>
      </c>
      <c r="B18" s="1" t="s">
        <v>123</v>
      </c>
      <c r="C18" s="1" t="s">
        <v>1045</v>
      </c>
      <c r="D18" s="1" t="s">
        <v>1046</v>
      </c>
      <c r="E18" s="6">
        <f>SUMIFS(ACR_By_Service_Yearly!$F:$F,ACR_By_Service_Yearly!$A:$A,$A18,ACR_By_Service_Yearly!$C:$C,$C18,ACR_By_Service_Yearly!$E:$E,"FY2024")</f>
        <v>104174</v>
      </c>
      <c r="F18" s="6">
        <f>SUMIFS(ACR_By_Service_Yearly!$F:$F,ACR_By_Service_Yearly!$A:$A,$A18,ACR_By_Service_Yearly!$C:$C,$C18,ACR_By_Service_Yearly!$E:$E,"FY2025")</f>
        <v>127556</v>
      </c>
      <c r="G18" s="6">
        <f>SUMIFS(ACR_By_Service_Yearly!$F:$F,ACR_By_Service_Yearly!$A:$A,$A18,ACR_By_Service_Yearly!$C:$C,$C18,ACR_By_Service_Yearly!$E:$E,"FY2026")</f>
        <v>153670</v>
      </c>
      <c r="H18" s="11">
        <f t="shared" si="0"/>
        <v>1.4751281509781711</v>
      </c>
      <c r="I18" s="7">
        <f t="shared" si="1"/>
        <v>0.2145485379259946</v>
      </c>
      <c r="J18" s="1" t="str">
        <f t="shared" si="2"/>
        <v>Moderate Growth</v>
      </c>
    </row>
    <row r="19" spans="1:10" x14ac:dyDescent="0.25">
      <c r="A19" s="1" t="s">
        <v>122</v>
      </c>
      <c r="B19" s="1" t="s">
        <v>123</v>
      </c>
      <c r="C19" s="1" t="s">
        <v>1047</v>
      </c>
      <c r="D19" s="1" t="s">
        <v>1048</v>
      </c>
      <c r="E19" s="6">
        <f>SUMIFS(ACR_By_Service_Yearly!$F:$F,ACR_By_Service_Yearly!$A:$A,$A19,ACR_By_Service_Yearly!$C:$C,$C19,ACR_By_Service_Yearly!$E:$E,"FY2024")</f>
        <v>146392</v>
      </c>
      <c r="F19" s="6">
        <f>SUMIFS(ACR_By_Service_Yearly!$F:$F,ACR_By_Service_Yearly!$A:$A,$A19,ACR_By_Service_Yearly!$C:$C,$C19,ACR_By_Service_Yearly!$E:$E,"FY2025")</f>
        <v>180837</v>
      </c>
      <c r="G19" s="6">
        <f>SUMIFS(ACR_By_Service_Yearly!$F:$F,ACR_By_Service_Yearly!$A:$A,$A19,ACR_By_Service_Yearly!$C:$C,$C19,ACR_By_Service_Yearly!$E:$E,"FY2026")</f>
        <v>229926</v>
      </c>
      <c r="H19" s="11">
        <f t="shared" si="0"/>
        <v>1.5706186130389639</v>
      </c>
      <c r="I19" s="7">
        <f t="shared" si="1"/>
        <v>0.25324323777906899</v>
      </c>
      <c r="J19" s="1" t="str">
        <f t="shared" si="2"/>
        <v>Moderate Growth</v>
      </c>
    </row>
    <row r="20" spans="1:10" x14ac:dyDescent="0.25">
      <c r="A20" s="1" t="s">
        <v>122</v>
      </c>
      <c r="B20" s="1" t="s">
        <v>123</v>
      </c>
      <c r="C20" s="1" t="s">
        <v>1049</v>
      </c>
      <c r="D20" s="1" t="s">
        <v>1048</v>
      </c>
      <c r="E20" s="6">
        <f>SUMIFS(ACR_By_Service_Yearly!$F:$F,ACR_By_Service_Yearly!$A:$A,$A20,ACR_By_Service_Yearly!$C:$C,$C20,ACR_By_Service_Yearly!$E:$E,"FY2024")</f>
        <v>151106</v>
      </c>
      <c r="F20" s="6">
        <f>SUMIFS(ACR_By_Service_Yearly!$F:$F,ACR_By_Service_Yearly!$A:$A,$A20,ACR_By_Service_Yearly!$C:$C,$C20,ACR_By_Service_Yearly!$E:$E,"FY2025")</f>
        <v>164569</v>
      </c>
      <c r="G20" s="6">
        <f>SUMIFS(ACR_By_Service_Yearly!$F:$F,ACR_By_Service_Yearly!$A:$A,$A20,ACR_By_Service_Yearly!$C:$C,$C20,ACR_By_Service_Yearly!$E:$E,"FY2026")</f>
        <v>158244</v>
      </c>
      <c r="H20" s="11">
        <f t="shared" si="0"/>
        <v>1.0472383624740249</v>
      </c>
      <c r="I20" s="7">
        <f t="shared" si="1"/>
        <v>2.3346648244877422E-2</v>
      </c>
      <c r="J20" s="1" t="str">
        <f t="shared" si="2"/>
        <v>Flat</v>
      </c>
    </row>
    <row r="21" spans="1:10" x14ac:dyDescent="0.25">
      <c r="A21" s="1" t="s">
        <v>122</v>
      </c>
      <c r="B21" s="1" t="s">
        <v>123</v>
      </c>
      <c r="C21" s="1" t="s">
        <v>1057</v>
      </c>
      <c r="D21" s="1" t="s">
        <v>1048</v>
      </c>
      <c r="E21" s="6">
        <f>SUMIFS(ACR_By_Service_Yearly!$F:$F,ACR_By_Service_Yearly!$A:$A,$A21,ACR_By_Service_Yearly!$C:$C,$C21,ACR_By_Service_Yearly!$E:$E,"FY2024")</f>
        <v>63338</v>
      </c>
      <c r="F21" s="6">
        <f>SUMIFS(ACR_By_Service_Yearly!$F:$F,ACR_By_Service_Yearly!$A:$A,$A21,ACR_By_Service_Yearly!$C:$C,$C21,ACR_By_Service_Yearly!$E:$E,"FY2025")</f>
        <v>57783</v>
      </c>
      <c r="G21" s="6">
        <f>SUMIFS(ACR_By_Service_Yearly!$F:$F,ACR_By_Service_Yearly!$A:$A,$A21,ACR_By_Service_Yearly!$C:$C,$C21,ACR_By_Service_Yearly!$E:$E,"FY2026")</f>
        <v>43497</v>
      </c>
      <c r="H21" s="11">
        <f t="shared" si="0"/>
        <v>0.68674413464271056</v>
      </c>
      <c r="I21" s="7">
        <f t="shared" si="1"/>
        <v>-0.17129973172279556</v>
      </c>
      <c r="J21" s="1" t="str">
        <f t="shared" si="2"/>
        <v>Contracting</v>
      </c>
    </row>
    <row r="22" spans="1:10" x14ac:dyDescent="0.25">
      <c r="A22" s="1" t="s">
        <v>122</v>
      </c>
      <c r="B22" s="1" t="s">
        <v>123</v>
      </c>
      <c r="C22" s="1" t="s">
        <v>1053</v>
      </c>
      <c r="D22" s="1" t="s">
        <v>1054</v>
      </c>
      <c r="E22" s="6">
        <f>SUMIFS(ACR_By_Service_Yearly!$F:$F,ACR_By_Service_Yearly!$A:$A,$A22,ACR_By_Service_Yearly!$C:$C,$C22,ACR_By_Service_Yearly!$E:$E,"FY2024")</f>
        <v>121386</v>
      </c>
      <c r="F22" s="6">
        <f>SUMIFS(ACR_By_Service_Yearly!$F:$F,ACR_By_Service_Yearly!$A:$A,$A22,ACR_By_Service_Yearly!$C:$C,$C22,ACR_By_Service_Yearly!$E:$E,"FY2025")</f>
        <v>143677</v>
      </c>
      <c r="G22" s="6">
        <f>SUMIFS(ACR_By_Service_Yearly!$F:$F,ACR_By_Service_Yearly!$A:$A,$A22,ACR_By_Service_Yearly!$C:$C,$C22,ACR_By_Service_Yearly!$E:$E,"FY2026")</f>
        <v>167929</v>
      </c>
      <c r="H22" s="11">
        <f t="shared" si="0"/>
        <v>1.3834297200665646</v>
      </c>
      <c r="I22" s="7">
        <f t="shared" si="1"/>
        <v>0.17619289237206526</v>
      </c>
      <c r="J22" s="1" t="str">
        <f t="shared" si="2"/>
        <v>Moderate Growth</v>
      </c>
    </row>
    <row r="23" spans="1:10" x14ac:dyDescent="0.25">
      <c r="A23" s="1" t="s">
        <v>122</v>
      </c>
      <c r="B23" s="1" t="s">
        <v>123</v>
      </c>
      <c r="C23" s="1" t="s">
        <v>1052</v>
      </c>
      <c r="D23" s="1" t="s">
        <v>1039</v>
      </c>
      <c r="E23" s="6">
        <f>SUMIFS(ACR_By_Service_Yearly!$F:$F,ACR_By_Service_Yearly!$A:$A,$A23,ACR_By_Service_Yearly!$C:$C,$C23,ACR_By_Service_Yearly!$E:$E,"FY2024")</f>
        <v>186930</v>
      </c>
      <c r="F23" s="6">
        <f>SUMIFS(ACR_By_Service_Yearly!$F:$F,ACR_By_Service_Yearly!$A:$A,$A23,ACR_By_Service_Yearly!$C:$C,$C23,ACR_By_Service_Yearly!$E:$E,"FY2025")</f>
        <v>288378</v>
      </c>
      <c r="G23" s="6">
        <f>SUMIFS(ACR_By_Service_Yearly!$F:$F,ACR_By_Service_Yearly!$A:$A,$A23,ACR_By_Service_Yearly!$C:$C,$C23,ACR_By_Service_Yearly!$E:$E,"FY2026")</f>
        <v>388130</v>
      </c>
      <c r="H23" s="11">
        <f t="shared" si="0"/>
        <v>2.0763387364254</v>
      </c>
      <c r="I23" s="7">
        <f t="shared" si="1"/>
        <v>0.44095063635969156</v>
      </c>
      <c r="J23" s="1" t="str">
        <f t="shared" si="2"/>
        <v>High Growth</v>
      </c>
    </row>
    <row r="24" spans="1:10" x14ac:dyDescent="0.25">
      <c r="A24" s="1" t="s">
        <v>122</v>
      </c>
      <c r="B24" s="1" t="s">
        <v>123</v>
      </c>
      <c r="C24" s="1" t="s">
        <v>1060</v>
      </c>
      <c r="D24" s="1" t="s">
        <v>1056</v>
      </c>
      <c r="E24" s="6">
        <f>SUMIFS(ACR_By_Service_Yearly!$F:$F,ACR_By_Service_Yearly!$A:$A,$A24,ACR_By_Service_Yearly!$C:$C,$C24,ACR_By_Service_Yearly!$E:$E,"FY2024")</f>
        <v>212529</v>
      </c>
      <c r="F24" s="6">
        <f>SUMIFS(ACR_By_Service_Yearly!$F:$F,ACR_By_Service_Yearly!$A:$A,$A24,ACR_By_Service_Yearly!$C:$C,$C24,ACR_By_Service_Yearly!$E:$E,"FY2025")</f>
        <v>248323</v>
      </c>
      <c r="G24" s="6">
        <f>SUMIFS(ACR_By_Service_Yearly!$F:$F,ACR_By_Service_Yearly!$A:$A,$A24,ACR_By_Service_Yearly!$C:$C,$C24,ACR_By_Service_Yearly!$E:$E,"FY2026")</f>
        <v>255144</v>
      </c>
      <c r="H24" s="11">
        <f t="shared" si="0"/>
        <v>1.2005138122326835</v>
      </c>
      <c r="I24" s="7">
        <f t="shared" si="1"/>
        <v>9.5679612036604134E-2</v>
      </c>
      <c r="J24" s="1" t="str">
        <f t="shared" si="2"/>
        <v>Flat</v>
      </c>
    </row>
    <row r="25" spans="1:10" x14ac:dyDescent="0.25">
      <c r="A25" s="1" t="s">
        <v>122</v>
      </c>
      <c r="B25" s="1" t="s">
        <v>123</v>
      </c>
      <c r="C25" s="1" t="s">
        <v>1063</v>
      </c>
      <c r="D25" s="1" t="s">
        <v>1056</v>
      </c>
      <c r="E25" s="6">
        <f>SUMIFS(ACR_By_Service_Yearly!$F:$F,ACR_By_Service_Yearly!$A:$A,$A25,ACR_By_Service_Yearly!$C:$C,$C25,ACR_By_Service_Yearly!$E:$E,"FY2024")</f>
        <v>84005</v>
      </c>
      <c r="F25" s="6">
        <f>SUMIFS(ACR_By_Service_Yearly!$F:$F,ACR_By_Service_Yearly!$A:$A,$A25,ACR_By_Service_Yearly!$C:$C,$C25,ACR_By_Service_Yearly!$E:$E,"FY2025")</f>
        <v>211015</v>
      </c>
      <c r="G25" s="6">
        <f>SUMIFS(ACR_By_Service_Yearly!$F:$F,ACR_By_Service_Yearly!$A:$A,$A25,ACR_By_Service_Yearly!$C:$C,$C25,ACR_By_Service_Yearly!$E:$E,"FY2026")</f>
        <v>575734</v>
      </c>
      <c r="H25" s="11">
        <f t="shared" si="0"/>
        <v>6.853568239985715</v>
      </c>
      <c r="I25" s="7">
        <f t="shared" si="1"/>
        <v>1.6179320541193798</v>
      </c>
      <c r="J25" s="1" t="str">
        <f t="shared" si="2"/>
        <v>High Growth</v>
      </c>
    </row>
    <row r="26" spans="1:10" x14ac:dyDescent="0.25">
      <c r="A26" s="1" t="s">
        <v>122</v>
      </c>
      <c r="B26" s="1" t="s">
        <v>123</v>
      </c>
      <c r="C26" s="1" t="s">
        <v>1061</v>
      </c>
      <c r="D26" s="1" t="s">
        <v>1062</v>
      </c>
      <c r="E26" s="6">
        <f>SUMIFS(ACR_By_Service_Yearly!$F:$F,ACR_By_Service_Yearly!$A:$A,$A26,ACR_By_Service_Yearly!$C:$C,$C26,ACR_By_Service_Yearly!$E:$E,"FY2024")</f>
        <v>83136</v>
      </c>
      <c r="F26" s="6">
        <f>SUMIFS(ACR_By_Service_Yearly!$F:$F,ACR_By_Service_Yearly!$A:$A,$A26,ACR_By_Service_Yearly!$C:$C,$C26,ACR_By_Service_Yearly!$E:$E,"FY2025")</f>
        <v>210501</v>
      </c>
      <c r="G26" s="6">
        <f>SUMIFS(ACR_By_Service_Yearly!$F:$F,ACR_By_Service_Yearly!$A:$A,$A26,ACR_By_Service_Yearly!$C:$C,$C26,ACR_By_Service_Yearly!$E:$E,"FY2026")</f>
        <v>422055</v>
      </c>
      <c r="H26" s="11">
        <f t="shared" si="0"/>
        <v>5.0766815819861435</v>
      </c>
      <c r="I26" s="7">
        <f t="shared" si="1"/>
        <v>1.2531492587012836</v>
      </c>
      <c r="J26" s="1" t="str">
        <f t="shared" si="2"/>
        <v>High Growth</v>
      </c>
    </row>
    <row r="27" spans="1:10" x14ac:dyDescent="0.25">
      <c r="A27" s="1" t="s">
        <v>122</v>
      </c>
      <c r="B27" s="1" t="s">
        <v>123</v>
      </c>
      <c r="C27" s="1" t="s">
        <v>1064</v>
      </c>
      <c r="D27" s="1" t="s">
        <v>1062</v>
      </c>
      <c r="E27" s="6">
        <f>SUMIFS(ACR_By_Service_Yearly!$F:$F,ACR_By_Service_Yearly!$A:$A,$A27,ACR_By_Service_Yearly!$C:$C,$C27,ACR_By_Service_Yearly!$E:$E,"FY2024")</f>
        <v>102974</v>
      </c>
      <c r="F27" s="6">
        <f>SUMIFS(ACR_By_Service_Yearly!$F:$F,ACR_By_Service_Yearly!$A:$A,$A27,ACR_By_Service_Yearly!$C:$C,$C27,ACR_By_Service_Yearly!$E:$E,"FY2025")</f>
        <v>241919</v>
      </c>
      <c r="G27" s="6">
        <f>SUMIFS(ACR_By_Service_Yearly!$F:$F,ACR_By_Service_Yearly!$A:$A,$A27,ACR_By_Service_Yearly!$C:$C,$C27,ACR_By_Service_Yearly!$E:$E,"FY2026")</f>
        <v>714011</v>
      </c>
      <c r="H27" s="11">
        <f t="shared" si="0"/>
        <v>6.9338959348961877</v>
      </c>
      <c r="I27" s="7">
        <f t="shared" si="1"/>
        <v>1.6332291838911757</v>
      </c>
      <c r="J27" s="1" t="str">
        <f t="shared" si="2"/>
        <v>High Growth</v>
      </c>
    </row>
    <row r="28" spans="1:10" x14ac:dyDescent="0.25">
      <c r="A28" s="1" t="s">
        <v>127</v>
      </c>
      <c r="B28" s="1" t="s">
        <v>128</v>
      </c>
      <c r="C28" s="1" t="s">
        <v>1038</v>
      </c>
      <c r="D28" s="1" t="s">
        <v>1039</v>
      </c>
      <c r="E28" s="6">
        <f>SUMIFS(ACR_By_Service_Yearly!$F:$F,ACR_By_Service_Yearly!$A:$A,$A28,ACR_By_Service_Yearly!$C:$C,$C28,ACR_By_Service_Yearly!$E:$E,"FY2024")</f>
        <v>1558188</v>
      </c>
      <c r="F28" s="6">
        <f>SUMIFS(ACR_By_Service_Yearly!$F:$F,ACR_By_Service_Yearly!$A:$A,$A28,ACR_By_Service_Yearly!$C:$C,$C28,ACR_By_Service_Yearly!$E:$E,"FY2025")</f>
        <v>1822256</v>
      </c>
      <c r="G28" s="6">
        <f>SUMIFS(ACR_By_Service_Yearly!$F:$F,ACR_By_Service_Yearly!$A:$A,$A28,ACR_By_Service_Yearly!$C:$C,$C28,ACR_By_Service_Yearly!$E:$E,"FY2026")</f>
        <v>1808337</v>
      </c>
      <c r="H28" s="11">
        <f t="shared" si="0"/>
        <v>1.1605383945968009</v>
      </c>
      <c r="I28" s="7">
        <f t="shared" si="1"/>
        <v>7.7282875848679211E-2</v>
      </c>
      <c r="J28" s="1" t="str">
        <f t="shared" si="2"/>
        <v>Flat</v>
      </c>
    </row>
    <row r="29" spans="1:10" x14ac:dyDescent="0.25">
      <c r="A29" s="1" t="s">
        <v>127</v>
      </c>
      <c r="B29" s="1" t="s">
        <v>128</v>
      </c>
      <c r="C29" s="1" t="s">
        <v>1043</v>
      </c>
      <c r="D29" s="1" t="s">
        <v>1044</v>
      </c>
      <c r="E29" s="6">
        <f>SUMIFS(ACR_By_Service_Yearly!$F:$F,ACR_By_Service_Yearly!$A:$A,$A29,ACR_By_Service_Yearly!$C:$C,$C29,ACR_By_Service_Yearly!$E:$E,"FY2024")</f>
        <v>461019</v>
      </c>
      <c r="F29" s="6">
        <f>SUMIFS(ACR_By_Service_Yearly!$F:$F,ACR_By_Service_Yearly!$A:$A,$A29,ACR_By_Service_Yearly!$C:$C,$C29,ACR_By_Service_Yearly!$E:$E,"FY2025")</f>
        <v>550158</v>
      </c>
      <c r="G29" s="6">
        <f>SUMIFS(ACR_By_Service_Yearly!$F:$F,ACR_By_Service_Yearly!$A:$A,$A29,ACR_By_Service_Yearly!$C:$C,$C29,ACR_By_Service_Yearly!$E:$E,"FY2026")</f>
        <v>618709</v>
      </c>
      <c r="H29" s="11">
        <f t="shared" si="0"/>
        <v>1.3420466401601669</v>
      </c>
      <c r="I29" s="7">
        <f t="shared" si="1"/>
        <v>0.15846736689479823</v>
      </c>
      <c r="J29" s="1" t="str">
        <f t="shared" si="2"/>
        <v>Moderate Growth</v>
      </c>
    </row>
    <row r="30" spans="1:10" x14ac:dyDescent="0.25">
      <c r="A30" s="1" t="s">
        <v>127</v>
      </c>
      <c r="B30" s="1" t="s">
        <v>128</v>
      </c>
      <c r="C30" s="1" t="s">
        <v>1045</v>
      </c>
      <c r="D30" s="1" t="s">
        <v>1046</v>
      </c>
      <c r="E30" s="6">
        <f>SUMIFS(ACR_By_Service_Yearly!$F:$F,ACR_By_Service_Yearly!$A:$A,$A30,ACR_By_Service_Yearly!$C:$C,$C30,ACR_By_Service_Yearly!$E:$E,"FY2024")</f>
        <v>122558</v>
      </c>
      <c r="F30" s="6">
        <f>SUMIFS(ACR_By_Service_Yearly!$F:$F,ACR_By_Service_Yearly!$A:$A,$A30,ACR_By_Service_Yearly!$C:$C,$C30,ACR_By_Service_Yearly!$E:$E,"FY2025")</f>
        <v>134907</v>
      </c>
      <c r="G30" s="6">
        <f>SUMIFS(ACR_By_Service_Yearly!$F:$F,ACR_By_Service_Yearly!$A:$A,$A30,ACR_By_Service_Yearly!$C:$C,$C30,ACR_By_Service_Yearly!$E:$E,"FY2026")</f>
        <v>125496</v>
      </c>
      <c r="H30" s="11">
        <f t="shared" si="0"/>
        <v>1.0239723233081479</v>
      </c>
      <c r="I30" s="7">
        <f t="shared" si="1"/>
        <v>1.1915175945171663E-2</v>
      </c>
      <c r="J30" s="1" t="str">
        <f t="shared" si="2"/>
        <v>Flat</v>
      </c>
    </row>
    <row r="31" spans="1:10" x14ac:dyDescent="0.25">
      <c r="A31" s="1" t="s">
        <v>127</v>
      </c>
      <c r="B31" s="1" t="s">
        <v>128</v>
      </c>
      <c r="C31" s="1" t="s">
        <v>1047</v>
      </c>
      <c r="D31" s="1" t="s">
        <v>1048</v>
      </c>
      <c r="E31" s="6">
        <f>SUMIFS(ACR_By_Service_Yearly!$F:$F,ACR_By_Service_Yearly!$A:$A,$A31,ACR_By_Service_Yearly!$C:$C,$C31,ACR_By_Service_Yearly!$E:$E,"FY2024")</f>
        <v>177255</v>
      </c>
      <c r="F31" s="6">
        <f>SUMIFS(ACR_By_Service_Yearly!$F:$F,ACR_By_Service_Yearly!$A:$A,$A31,ACR_By_Service_Yearly!$C:$C,$C31,ACR_By_Service_Yearly!$E:$E,"FY2025")</f>
        <v>177462</v>
      </c>
      <c r="G31" s="6">
        <f>SUMIFS(ACR_By_Service_Yearly!$F:$F,ACR_By_Service_Yearly!$A:$A,$A31,ACR_By_Service_Yearly!$C:$C,$C31,ACR_By_Service_Yearly!$E:$E,"FY2026")</f>
        <v>168360</v>
      </c>
      <c r="H31" s="11">
        <f t="shared" si="0"/>
        <v>0.94981805872894987</v>
      </c>
      <c r="I31" s="7">
        <f t="shared" si="1"/>
        <v>-2.5413903891015943E-2</v>
      </c>
      <c r="J31" s="1" t="str">
        <f t="shared" si="2"/>
        <v>Contracting</v>
      </c>
    </row>
    <row r="32" spans="1:10" x14ac:dyDescent="0.25">
      <c r="A32" s="1" t="s">
        <v>127</v>
      </c>
      <c r="B32" s="1" t="s">
        <v>128</v>
      </c>
      <c r="C32" s="1" t="s">
        <v>1049</v>
      </c>
      <c r="D32" s="1" t="s">
        <v>1048</v>
      </c>
      <c r="E32" s="6">
        <f>SUMIFS(ACR_By_Service_Yearly!$F:$F,ACR_By_Service_Yearly!$A:$A,$A32,ACR_By_Service_Yearly!$C:$C,$C32,ACR_By_Service_Yearly!$E:$E,"FY2024")</f>
        <v>231988</v>
      </c>
      <c r="F32" s="6">
        <f>SUMIFS(ACR_By_Service_Yearly!$F:$F,ACR_By_Service_Yearly!$A:$A,$A32,ACR_By_Service_Yearly!$C:$C,$C32,ACR_By_Service_Yearly!$E:$E,"FY2025")</f>
        <v>247946</v>
      </c>
      <c r="G32" s="6">
        <f>SUMIFS(ACR_By_Service_Yearly!$F:$F,ACR_By_Service_Yearly!$A:$A,$A32,ACR_By_Service_Yearly!$C:$C,$C32,ACR_By_Service_Yearly!$E:$E,"FY2026")</f>
        <v>255457</v>
      </c>
      <c r="H32" s="11">
        <f t="shared" si="0"/>
        <v>1.1011647154163147</v>
      </c>
      <c r="I32" s="7">
        <f t="shared" si="1"/>
        <v>4.9363957555392135E-2</v>
      </c>
      <c r="J32" s="1" t="str">
        <f t="shared" si="2"/>
        <v>Flat</v>
      </c>
    </row>
    <row r="33" spans="1:10" x14ac:dyDescent="0.25">
      <c r="A33" s="1" t="s">
        <v>127</v>
      </c>
      <c r="B33" s="1" t="s">
        <v>128</v>
      </c>
      <c r="C33" s="1" t="s">
        <v>1050</v>
      </c>
      <c r="D33" s="1" t="s">
        <v>1051</v>
      </c>
      <c r="E33" s="6">
        <f>SUMIFS(ACR_By_Service_Yearly!$F:$F,ACR_By_Service_Yearly!$A:$A,$A33,ACR_By_Service_Yearly!$C:$C,$C33,ACR_By_Service_Yearly!$E:$E,"FY2024")</f>
        <v>174753</v>
      </c>
      <c r="F33" s="6">
        <f>SUMIFS(ACR_By_Service_Yearly!$F:$F,ACR_By_Service_Yearly!$A:$A,$A33,ACR_By_Service_Yearly!$C:$C,$C33,ACR_By_Service_Yearly!$E:$E,"FY2025")</f>
        <v>215021</v>
      </c>
      <c r="G33" s="6">
        <f>SUMIFS(ACR_By_Service_Yearly!$F:$F,ACR_By_Service_Yearly!$A:$A,$A33,ACR_By_Service_Yearly!$C:$C,$C33,ACR_By_Service_Yearly!$E:$E,"FY2026")</f>
        <v>229541</v>
      </c>
      <c r="H33" s="11">
        <f t="shared" si="0"/>
        <v>1.3135167922725217</v>
      </c>
      <c r="I33" s="7">
        <f t="shared" si="1"/>
        <v>0.14608760235530061</v>
      </c>
      <c r="J33" s="1" t="str">
        <f t="shared" si="2"/>
        <v>Moderate Growth</v>
      </c>
    </row>
    <row r="34" spans="1:10" x14ac:dyDescent="0.25">
      <c r="A34" s="1" t="s">
        <v>127</v>
      </c>
      <c r="B34" s="1" t="s">
        <v>128</v>
      </c>
      <c r="C34" s="1" t="s">
        <v>1055</v>
      </c>
      <c r="D34" s="1" t="s">
        <v>1056</v>
      </c>
      <c r="E34" s="6">
        <f>SUMIFS(ACR_By_Service_Yearly!$F:$F,ACR_By_Service_Yearly!$A:$A,$A34,ACR_By_Service_Yearly!$C:$C,$C34,ACR_By_Service_Yearly!$E:$E,"FY2024")</f>
        <v>256960</v>
      </c>
      <c r="F34" s="6">
        <f>SUMIFS(ACR_By_Service_Yearly!$F:$F,ACR_By_Service_Yearly!$A:$A,$A34,ACR_By_Service_Yearly!$C:$C,$C34,ACR_By_Service_Yearly!$E:$E,"FY2025")</f>
        <v>263485</v>
      </c>
      <c r="G34" s="6">
        <f>SUMIFS(ACR_By_Service_Yearly!$F:$F,ACR_By_Service_Yearly!$A:$A,$A34,ACR_By_Service_Yearly!$C:$C,$C34,ACR_By_Service_Yearly!$E:$E,"FY2026")</f>
        <v>302225</v>
      </c>
      <c r="H34" s="11">
        <f t="shared" ref="H34:H65" si="3">G34/E34</f>
        <v>1.1761558219178083</v>
      </c>
      <c r="I34" s="7">
        <f t="shared" ref="I34:I65" si="4">(G34/E34)^(1/2)-1</f>
        <v>8.450717928366358E-2</v>
      </c>
      <c r="J34" s="1" t="str">
        <f t="shared" ref="J34:J65" si="5">IF(I34&gt;=0.4,"High Growth",IF(I34&gt;=0.1,"Moderate Growth",IF(I34&gt;=-0.02,"Flat","Contracting")))</f>
        <v>Flat</v>
      </c>
    </row>
    <row r="35" spans="1:10" x14ac:dyDescent="0.25">
      <c r="A35" s="1" t="s">
        <v>127</v>
      </c>
      <c r="B35" s="1" t="s">
        <v>128</v>
      </c>
      <c r="C35" s="1" t="s">
        <v>1065</v>
      </c>
      <c r="D35" s="1" t="s">
        <v>1056</v>
      </c>
      <c r="E35" s="6">
        <f>SUMIFS(ACR_By_Service_Yearly!$F:$F,ACR_By_Service_Yearly!$A:$A,$A35,ACR_By_Service_Yearly!$C:$C,$C35,ACR_By_Service_Yearly!$E:$E,"FY2024")</f>
        <v>410749</v>
      </c>
      <c r="F35" s="6">
        <f>SUMIFS(ACR_By_Service_Yearly!$F:$F,ACR_By_Service_Yearly!$A:$A,$A35,ACR_By_Service_Yearly!$C:$C,$C35,ACR_By_Service_Yearly!$E:$E,"FY2025")</f>
        <v>509595</v>
      </c>
      <c r="G35" s="6">
        <f>SUMIFS(ACR_By_Service_Yearly!$F:$F,ACR_By_Service_Yearly!$A:$A,$A35,ACR_By_Service_Yearly!$C:$C,$C35,ACR_By_Service_Yearly!$E:$E,"FY2026")</f>
        <v>634841</v>
      </c>
      <c r="H35" s="11">
        <f t="shared" si="3"/>
        <v>1.5455691918909116</v>
      </c>
      <c r="I35" s="7">
        <f t="shared" si="4"/>
        <v>0.24320923093858648</v>
      </c>
      <c r="J35" s="1" t="str">
        <f t="shared" si="5"/>
        <v>Moderate Growth</v>
      </c>
    </row>
    <row r="36" spans="1:10" x14ac:dyDescent="0.25">
      <c r="A36" s="1" t="s">
        <v>127</v>
      </c>
      <c r="B36" s="1" t="s">
        <v>128</v>
      </c>
      <c r="C36" s="1" t="s">
        <v>1057</v>
      </c>
      <c r="D36" s="1" t="s">
        <v>1048</v>
      </c>
      <c r="E36" s="6">
        <f>SUMIFS(ACR_By_Service_Yearly!$F:$F,ACR_By_Service_Yearly!$A:$A,$A36,ACR_By_Service_Yearly!$C:$C,$C36,ACR_By_Service_Yearly!$E:$E,"FY2024")</f>
        <v>246870</v>
      </c>
      <c r="F36" s="6">
        <f>SUMIFS(ACR_By_Service_Yearly!$F:$F,ACR_By_Service_Yearly!$A:$A,$A36,ACR_By_Service_Yearly!$C:$C,$C36,ACR_By_Service_Yearly!$E:$E,"FY2025")</f>
        <v>187005</v>
      </c>
      <c r="G36" s="6">
        <f>SUMIFS(ACR_By_Service_Yearly!$F:$F,ACR_By_Service_Yearly!$A:$A,$A36,ACR_By_Service_Yearly!$C:$C,$C36,ACR_By_Service_Yearly!$E:$E,"FY2026")</f>
        <v>126378</v>
      </c>
      <c r="H36" s="11">
        <f t="shared" si="3"/>
        <v>0.51192125410134892</v>
      </c>
      <c r="I36" s="7">
        <f t="shared" si="4"/>
        <v>-0.28451327468544263</v>
      </c>
      <c r="J36" s="1" t="str">
        <f t="shared" si="5"/>
        <v>Contracting</v>
      </c>
    </row>
    <row r="37" spans="1:10" x14ac:dyDescent="0.25">
      <c r="A37" s="1" t="s">
        <v>127</v>
      </c>
      <c r="B37" s="1" t="s">
        <v>128</v>
      </c>
      <c r="C37" s="1" t="s">
        <v>1061</v>
      </c>
      <c r="D37" s="1" t="s">
        <v>1062</v>
      </c>
      <c r="E37" s="6">
        <f>SUMIFS(ACR_By_Service_Yearly!$F:$F,ACR_By_Service_Yearly!$A:$A,$A37,ACR_By_Service_Yearly!$C:$C,$C37,ACR_By_Service_Yearly!$E:$E,"FY2024")</f>
        <v>101299</v>
      </c>
      <c r="F37" s="6">
        <f>SUMIFS(ACR_By_Service_Yearly!$F:$F,ACR_By_Service_Yearly!$A:$A,$A37,ACR_By_Service_Yearly!$C:$C,$C37,ACR_By_Service_Yearly!$E:$E,"FY2025")</f>
        <v>199825</v>
      </c>
      <c r="G37" s="6">
        <f>SUMIFS(ACR_By_Service_Yearly!$F:$F,ACR_By_Service_Yearly!$A:$A,$A37,ACR_By_Service_Yearly!$C:$C,$C37,ACR_By_Service_Yearly!$E:$E,"FY2026")</f>
        <v>471360</v>
      </c>
      <c r="H37" s="11">
        <f t="shared" si="3"/>
        <v>4.6531555099260604</v>
      </c>
      <c r="I37" s="7">
        <f t="shared" si="4"/>
        <v>1.1571174075432382</v>
      </c>
      <c r="J37" s="1" t="str">
        <f t="shared" si="5"/>
        <v>High Growth</v>
      </c>
    </row>
    <row r="38" spans="1:10" x14ac:dyDescent="0.25">
      <c r="A38" s="1" t="s">
        <v>127</v>
      </c>
      <c r="B38" s="1" t="s">
        <v>128</v>
      </c>
      <c r="C38" s="1" t="s">
        <v>1063</v>
      </c>
      <c r="D38" s="1" t="s">
        <v>1056</v>
      </c>
      <c r="E38" s="6">
        <f>SUMIFS(ACR_By_Service_Yearly!$F:$F,ACR_By_Service_Yearly!$A:$A,$A38,ACR_By_Service_Yearly!$C:$C,$C38,ACR_By_Service_Yearly!$E:$E,"FY2024")</f>
        <v>87945</v>
      </c>
      <c r="F38" s="6">
        <f>SUMIFS(ACR_By_Service_Yearly!$F:$F,ACR_By_Service_Yearly!$A:$A,$A38,ACR_By_Service_Yearly!$C:$C,$C38,ACR_By_Service_Yearly!$E:$E,"FY2025")</f>
        <v>271049</v>
      </c>
      <c r="G38" s="6">
        <f>SUMIFS(ACR_By_Service_Yearly!$F:$F,ACR_By_Service_Yearly!$A:$A,$A38,ACR_By_Service_Yearly!$C:$C,$C38,ACR_By_Service_Yearly!$E:$E,"FY2026")</f>
        <v>771918</v>
      </c>
      <c r="H38" s="11">
        <f t="shared" si="3"/>
        <v>8.7772812553300366</v>
      </c>
      <c r="I38" s="7">
        <f t="shared" si="4"/>
        <v>1.9626476765437424</v>
      </c>
      <c r="J38" s="1" t="str">
        <f t="shared" si="5"/>
        <v>High Growth</v>
      </c>
    </row>
    <row r="39" spans="1:10" x14ac:dyDescent="0.25">
      <c r="A39" s="1" t="s">
        <v>127</v>
      </c>
      <c r="B39" s="1" t="s">
        <v>128</v>
      </c>
      <c r="C39" s="1" t="s">
        <v>1060</v>
      </c>
      <c r="D39" s="1" t="s">
        <v>1056</v>
      </c>
      <c r="E39" s="6">
        <f>SUMIFS(ACR_By_Service_Yearly!$F:$F,ACR_By_Service_Yearly!$A:$A,$A39,ACR_By_Service_Yearly!$C:$C,$C39,ACR_By_Service_Yearly!$E:$E,"FY2024")</f>
        <v>284077</v>
      </c>
      <c r="F39" s="6">
        <f>SUMIFS(ACR_By_Service_Yearly!$F:$F,ACR_By_Service_Yearly!$A:$A,$A39,ACR_By_Service_Yearly!$C:$C,$C39,ACR_By_Service_Yearly!$E:$E,"FY2025")</f>
        <v>270852</v>
      </c>
      <c r="G39" s="6">
        <f>SUMIFS(ACR_By_Service_Yearly!$F:$F,ACR_By_Service_Yearly!$A:$A,$A39,ACR_By_Service_Yearly!$C:$C,$C39,ACR_By_Service_Yearly!$E:$E,"FY2026")</f>
        <v>275131</v>
      </c>
      <c r="H39" s="11">
        <f t="shared" si="3"/>
        <v>0.96850853817802918</v>
      </c>
      <c r="I39" s="7">
        <f t="shared" si="4"/>
        <v>-1.5871686121149531E-2</v>
      </c>
      <c r="J39" s="1" t="str">
        <f t="shared" si="5"/>
        <v>Flat</v>
      </c>
    </row>
    <row r="40" spans="1:10" x14ac:dyDescent="0.25">
      <c r="A40" s="1" t="s">
        <v>127</v>
      </c>
      <c r="B40" s="1" t="s">
        <v>128</v>
      </c>
      <c r="C40" s="1" t="s">
        <v>1052</v>
      </c>
      <c r="D40" s="1" t="s">
        <v>1039</v>
      </c>
      <c r="E40" s="6">
        <f>SUMIFS(ACR_By_Service_Yearly!$F:$F,ACR_By_Service_Yearly!$A:$A,$A40,ACR_By_Service_Yearly!$C:$C,$C40,ACR_By_Service_Yearly!$E:$E,"FY2024")</f>
        <v>210288</v>
      </c>
      <c r="F40" s="6">
        <f>SUMIFS(ACR_By_Service_Yearly!$F:$F,ACR_By_Service_Yearly!$A:$A,$A40,ACR_By_Service_Yearly!$C:$C,$C40,ACR_By_Service_Yearly!$E:$E,"FY2025")</f>
        <v>278183</v>
      </c>
      <c r="G40" s="6">
        <f>SUMIFS(ACR_By_Service_Yearly!$F:$F,ACR_By_Service_Yearly!$A:$A,$A40,ACR_By_Service_Yearly!$C:$C,$C40,ACR_By_Service_Yearly!$E:$E,"FY2026")</f>
        <v>476663</v>
      </c>
      <c r="H40" s="11">
        <f t="shared" si="3"/>
        <v>2.266715171574222</v>
      </c>
      <c r="I40" s="7">
        <f t="shared" si="4"/>
        <v>0.50556141408254152</v>
      </c>
      <c r="J40" s="1" t="str">
        <f t="shared" si="5"/>
        <v>High Growth</v>
      </c>
    </row>
    <row r="41" spans="1:10" x14ac:dyDescent="0.25">
      <c r="A41" s="1" t="s">
        <v>127</v>
      </c>
      <c r="B41" s="1" t="s">
        <v>128</v>
      </c>
      <c r="C41" s="1" t="s">
        <v>1064</v>
      </c>
      <c r="D41" s="1" t="s">
        <v>1062</v>
      </c>
      <c r="E41" s="6">
        <f>SUMIFS(ACR_By_Service_Yearly!$F:$F,ACR_By_Service_Yearly!$A:$A,$A41,ACR_By_Service_Yearly!$C:$C,$C41,ACR_By_Service_Yearly!$E:$E,"FY2024")</f>
        <v>115759</v>
      </c>
      <c r="F41" s="6">
        <f>SUMIFS(ACR_By_Service_Yearly!$F:$F,ACR_By_Service_Yearly!$A:$A,$A41,ACR_By_Service_Yearly!$C:$C,$C41,ACR_By_Service_Yearly!$E:$E,"FY2025")</f>
        <v>211020</v>
      </c>
      <c r="G41" s="6">
        <f>SUMIFS(ACR_By_Service_Yearly!$F:$F,ACR_By_Service_Yearly!$A:$A,$A41,ACR_By_Service_Yearly!$C:$C,$C41,ACR_By_Service_Yearly!$E:$E,"FY2026")</f>
        <v>594504</v>
      </c>
      <c r="H41" s="11">
        <f t="shared" si="3"/>
        <v>5.1357043512815421</v>
      </c>
      <c r="I41" s="7">
        <f t="shared" si="4"/>
        <v>1.2662092470205706</v>
      </c>
      <c r="J41" s="1" t="str">
        <f t="shared" si="5"/>
        <v>High Growth</v>
      </c>
    </row>
    <row r="42" spans="1:10" x14ac:dyDescent="0.25">
      <c r="A42" s="1" t="s">
        <v>131</v>
      </c>
      <c r="B42" s="1" t="s">
        <v>132</v>
      </c>
      <c r="C42" s="1" t="s">
        <v>1038</v>
      </c>
      <c r="D42" s="1" t="s">
        <v>1039</v>
      </c>
      <c r="E42" s="6">
        <f>SUMIFS(ACR_By_Service_Yearly!$F:$F,ACR_By_Service_Yearly!$A:$A,$A42,ACR_By_Service_Yearly!$C:$C,$C42,ACR_By_Service_Yearly!$E:$E,"FY2024")</f>
        <v>649449</v>
      </c>
      <c r="F42" s="6">
        <f>SUMIFS(ACR_By_Service_Yearly!$F:$F,ACR_By_Service_Yearly!$A:$A,$A42,ACR_By_Service_Yearly!$C:$C,$C42,ACR_By_Service_Yearly!$E:$E,"FY2025")</f>
        <v>685470</v>
      </c>
      <c r="G42" s="6">
        <f>SUMIFS(ACR_By_Service_Yearly!$F:$F,ACR_By_Service_Yearly!$A:$A,$A42,ACR_By_Service_Yearly!$C:$C,$C42,ACR_By_Service_Yearly!$E:$E,"FY2026")</f>
        <v>763414</v>
      </c>
      <c r="H42" s="11">
        <f t="shared" si="3"/>
        <v>1.1754795218716174</v>
      </c>
      <c r="I42" s="7">
        <f t="shared" si="4"/>
        <v>8.4195333817489448E-2</v>
      </c>
      <c r="J42" s="1" t="str">
        <f t="shared" si="5"/>
        <v>Flat</v>
      </c>
    </row>
    <row r="43" spans="1:10" x14ac:dyDescent="0.25">
      <c r="A43" s="1" t="s">
        <v>131</v>
      </c>
      <c r="B43" s="1" t="s">
        <v>132</v>
      </c>
      <c r="C43" s="1" t="s">
        <v>1043</v>
      </c>
      <c r="D43" s="1" t="s">
        <v>1044</v>
      </c>
      <c r="E43" s="6">
        <f>SUMIFS(ACR_By_Service_Yearly!$F:$F,ACR_By_Service_Yearly!$A:$A,$A43,ACR_By_Service_Yearly!$C:$C,$C43,ACR_By_Service_Yearly!$E:$E,"FY2024")</f>
        <v>240844</v>
      </c>
      <c r="F43" s="6">
        <f>SUMIFS(ACR_By_Service_Yearly!$F:$F,ACR_By_Service_Yearly!$A:$A,$A43,ACR_By_Service_Yearly!$C:$C,$C43,ACR_By_Service_Yearly!$E:$E,"FY2025")</f>
        <v>278292</v>
      </c>
      <c r="G43" s="6">
        <f>SUMIFS(ACR_By_Service_Yearly!$F:$F,ACR_By_Service_Yearly!$A:$A,$A43,ACR_By_Service_Yearly!$C:$C,$C43,ACR_By_Service_Yearly!$E:$E,"FY2026")</f>
        <v>337734</v>
      </c>
      <c r="H43" s="11">
        <f t="shared" si="3"/>
        <v>1.4022936008370563</v>
      </c>
      <c r="I43" s="7">
        <f t="shared" si="4"/>
        <v>0.18418478323150911</v>
      </c>
      <c r="J43" s="1" t="str">
        <f t="shared" si="5"/>
        <v>Moderate Growth</v>
      </c>
    </row>
    <row r="44" spans="1:10" x14ac:dyDescent="0.25">
      <c r="A44" s="1" t="s">
        <v>131</v>
      </c>
      <c r="B44" s="1" t="s">
        <v>132</v>
      </c>
      <c r="C44" s="1" t="s">
        <v>1045</v>
      </c>
      <c r="D44" s="1" t="s">
        <v>1046</v>
      </c>
      <c r="E44" s="6">
        <f>SUMIFS(ACR_By_Service_Yearly!$F:$F,ACR_By_Service_Yearly!$A:$A,$A44,ACR_By_Service_Yearly!$C:$C,$C44,ACR_By_Service_Yearly!$E:$E,"FY2024")</f>
        <v>41122</v>
      </c>
      <c r="F44" s="6">
        <f>SUMIFS(ACR_By_Service_Yearly!$F:$F,ACR_By_Service_Yearly!$A:$A,$A44,ACR_By_Service_Yearly!$C:$C,$C44,ACR_By_Service_Yearly!$E:$E,"FY2025")</f>
        <v>41007</v>
      </c>
      <c r="G44" s="6">
        <f>SUMIFS(ACR_By_Service_Yearly!$F:$F,ACR_By_Service_Yearly!$A:$A,$A44,ACR_By_Service_Yearly!$C:$C,$C44,ACR_By_Service_Yearly!$E:$E,"FY2026")</f>
        <v>47758</v>
      </c>
      <c r="H44" s="11">
        <f t="shared" si="3"/>
        <v>1.1613734740528185</v>
      </c>
      <c r="I44" s="7">
        <f t="shared" si="4"/>
        <v>7.7670392120345211E-2</v>
      </c>
      <c r="J44" s="1" t="str">
        <f t="shared" si="5"/>
        <v>Flat</v>
      </c>
    </row>
    <row r="45" spans="1:10" x14ac:dyDescent="0.25">
      <c r="A45" s="1" t="s">
        <v>131</v>
      </c>
      <c r="B45" s="1" t="s">
        <v>132</v>
      </c>
      <c r="C45" s="1" t="s">
        <v>1047</v>
      </c>
      <c r="D45" s="1" t="s">
        <v>1048</v>
      </c>
      <c r="E45" s="6">
        <f>SUMIFS(ACR_By_Service_Yearly!$F:$F,ACR_By_Service_Yearly!$A:$A,$A45,ACR_By_Service_Yearly!$C:$C,$C45,ACR_By_Service_Yearly!$E:$E,"FY2024")</f>
        <v>77923</v>
      </c>
      <c r="F45" s="6">
        <f>SUMIFS(ACR_By_Service_Yearly!$F:$F,ACR_By_Service_Yearly!$A:$A,$A45,ACR_By_Service_Yearly!$C:$C,$C45,ACR_By_Service_Yearly!$E:$E,"FY2025")</f>
        <v>93608</v>
      </c>
      <c r="G45" s="6">
        <f>SUMIFS(ACR_By_Service_Yearly!$F:$F,ACR_By_Service_Yearly!$A:$A,$A45,ACR_By_Service_Yearly!$C:$C,$C45,ACR_By_Service_Yearly!$E:$E,"FY2026")</f>
        <v>86685</v>
      </c>
      <c r="H45" s="11">
        <f t="shared" si="3"/>
        <v>1.1124443360753564</v>
      </c>
      <c r="I45" s="7">
        <f t="shared" si="4"/>
        <v>5.4724767925431905E-2</v>
      </c>
      <c r="J45" s="1" t="str">
        <f t="shared" si="5"/>
        <v>Flat</v>
      </c>
    </row>
    <row r="46" spans="1:10" x14ac:dyDescent="0.25">
      <c r="A46" s="1" t="s">
        <v>131</v>
      </c>
      <c r="B46" s="1" t="s">
        <v>132</v>
      </c>
      <c r="C46" s="1" t="s">
        <v>1049</v>
      </c>
      <c r="D46" s="1" t="s">
        <v>1048</v>
      </c>
      <c r="E46" s="6">
        <f>SUMIFS(ACR_By_Service_Yearly!$F:$F,ACR_By_Service_Yearly!$A:$A,$A46,ACR_By_Service_Yearly!$C:$C,$C46,ACR_By_Service_Yearly!$E:$E,"FY2024")</f>
        <v>100285</v>
      </c>
      <c r="F46" s="6">
        <f>SUMIFS(ACR_By_Service_Yearly!$F:$F,ACR_By_Service_Yearly!$A:$A,$A46,ACR_By_Service_Yearly!$C:$C,$C46,ACR_By_Service_Yearly!$E:$E,"FY2025")</f>
        <v>120153</v>
      </c>
      <c r="G46" s="6">
        <f>SUMIFS(ACR_By_Service_Yearly!$F:$F,ACR_By_Service_Yearly!$A:$A,$A46,ACR_By_Service_Yearly!$C:$C,$C46,ACR_By_Service_Yearly!$E:$E,"FY2026")</f>
        <v>145520</v>
      </c>
      <c r="H46" s="11">
        <f t="shared" si="3"/>
        <v>1.4510644662711274</v>
      </c>
      <c r="I46" s="7">
        <f t="shared" si="4"/>
        <v>0.20460137235150433</v>
      </c>
      <c r="J46" s="1" t="str">
        <f t="shared" si="5"/>
        <v>Moderate Growth</v>
      </c>
    </row>
    <row r="47" spans="1:10" x14ac:dyDescent="0.25">
      <c r="A47" s="1" t="s">
        <v>131</v>
      </c>
      <c r="B47" s="1" t="s">
        <v>132</v>
      </c>
      <c r="C47" s="1" t="s">
        <v>1064</v>
      </c>
      <c r="D47" s="1" t="s">
        <v>1062</v>
      </c>
      <c r="E47" s="6">
        <f>SUMIFS(ACR_By_Service_Yearly!$F:$F,ACR_By_Service_Yearly!$A:$A,$A47,ACR_By_Service_Yearly!$C:$C,$C47,ACR_By_Service_Yearly!$E:$E,"FY2024")</f>
        <v>29345</v>
      </c>
      <c r="F47" s="6">
        <f>SUMIFS(ACR_By_Service_Yearly!$F:$F,ACR_By_Service_Yearly!$A:$A,$A47,ACR_By_Service_Yearly!$C:$C,$C47,ACR_By_Service_Yearly!$E:$E,"FY2025")</f>
        <v>95176</v>
      </c>
      <c r="G47" s="6">
        <f>SUMIFS(ACR_By_Service_Yearly!$F:$F,ACR_By_Service_Yearly!$A:$A,$A47,ACR_By_Service_Yearly!$C:$C,$C47,ACR_By_Service_Yearly!$E:$E,"FY2026")</f>
        <v>183266</v>
      </c>
      <c r="H47" s="11">
        <f t="shared" si="3"/>
        <v>6.2452206508774921</v>
      </c>
      <c r="I47" s="7">
        <f t="shared" si="4"/>
        <v>1.4990439473681714</v>
      </c>
      <c r="J47" s="1" t="str">
        <f t="shared" si="5"/>
        <v>High Growth</v>
      </c>
    </row>
    <row r="48" spans="1:10" x14ac:dyDescent="0.25">
      <c r="A48" s="1" t="s">
        <v>131</v>
      </c>
      <c r="B48" s="1" t="s">
        <v>132</v>
      </c>
      <c r="C48" s="1" t="s">
        <v>1050</v>
      </c>
      <c r="D48" s="1" t="s">
        <v>1051</v>
      </c>
      <c r="E48" s="6">
        <f>SUMIFS(ACR_By_Service_Yearly!$F:$F,ACR_By_Service_Yearly!$A:$A,$A48,ACR_By_Service_Yearly!$C:$C,$C48,ACR_By_Service_Yearly!$E:$E,"FY2024")</f>
        <v>24970</v>
      </c>
      <c r="F48" s="6">
        <f>SUMIFS(ACR_By_Service_Yearly!$F:$F,ACR_By_Service_Yearly!$A:$A,$A48,ACR_By_Service_Yearly!$C:$C,$C48,ACR_By_Service_Yearly!$E:$E,"FY2025")</f>
        <v>27134</v>
      </c>
      <c r="G48" s="6">
        <f>SUMIFS(ACR_By_Service_Yearly!$F:$F,ACR_By_Service_Yearly!$A:$A,$A48,ACR_By_Service_Yearly!$C:$C,$C48,ACR_By_Service_Yearly!$E:$E,"FY2026")</f>
        <v>26837</v>
      </c>
      <c r="H48" s="11">
        <f t="shared" si="3"/>
        <v>1.0747697236684022</v>
      </c>
      <c r="I48" s="7">
        <f t="shared" si="4"/>
        <v>3.671101261074794E-2</v>
      </c>
      <c r="J48" s="1" t="str">
        <f t="shared" si="5"/>
        <v>Flat</v>
      </c>
    </row>
    <row r="49" spans="1:10" x14ac:dyDescent="0.25">
      <c r="A49" s="1" t="s">
        <v>131</v>
      </c>
      <c r="B49" s="1" t="s">
        <v>132</v>
      </c>
      <c r="C49" s="1" t="s">
        <v>1060</v>
      </c>
      <c r="D49" s="1" t="s">
        <v>1056</v>
      </c>
      <c r="E49" s="6">
        <f>SUMIFS(ACR_By_Service_Yearly!$F:$F,ACR_By_Service_Yearly!$A:$A,$A49,ACR_By_Service_Yearly!$C:$C,$C49,ACR_By_Service_Yearly!$E:$E,"FY2024")</f>
        <v>166899</v>
      </c>
      <c r="F49" s="6">
        <f>SUMIFS(ACR_By_Service_Yearly!$F:$F,ACR_By_Service_Yearly!$A:$A,$A49,ACR_By_Service_Yearly!$C:$C,$C49,ACR_By_Service_Yearly!$E:$E,"FY2025")</f>
        <v>171527</v>
      </c>
      <c r="G49" s="6">
        <f>SUMIFS(ACR_By_Service_Yearly!$F:$F,ACR_By_Service_Yearly!$A:$A,$A49,ACR_By_Service_Yearly!$C:$C,$C49,ACR_By_Service_Yearly!$E:$E,"FY2026")</f>
        <v>194089</v>
      </c>
      <c r="H49" s="11">
        <f t="shared" si="3"/>
        <v>1.162912899418211</v>
      </c>
      <c r="I49" s="7">
        <f t="shared" si="4"/>
        <v>7.8384393163315025E-2</v>
      </c>
      <c r="J49" s="1" t="str">
        <f t="shared" si="5"/>
        <v>Flat</v>
      </c>
    </row>
    <row r="50" spans="1:10" x14ac:dyDescent="0.25">
      <c r="A50" s="1" t="s">
        <v>131</v>
      </c>
      <c r="B50" s="1" t="s">
        <v>132</v>
      </c>
      <c r="C50" s="1" t="s">
        <v>1066</v>
      </c>
      <c r="D50" s="1" t="s">
        <v>1062</v>
      </c>
      <c r="E50" s="6">
        <f>SUMIFS(ACR_By_Service_Yearly!$F:$F,ACR_By_Service_Yearly!$A:$A,$A50,ACR_By_Service_Yearly!$C:$C,$C50,ACR_By_Service_Yearly!$E:$E,"FY2024")</f>
        <v>40364</v>
      </c>
      <c r="F50" s="6">
        <f>SUMIFS(ACR_By_Service_Yearly!$F:$F,ACR_By_Service_Yearly!$A:$A,$A50,ACR_By_Service_Yearly!$C:$C,$C50,ACR_By_Service_Yearly!$E:$E,"FY2025")</f>
        <v>123452</v>
      </c>
      <c r="G50" s="6">
        <f>SUMIFS(ACR_By_Service_Yearly!$F:$F,ACR_By_Service_Yearly!$A:$A,$A50,ACR_By_Service_Yearly!$C:$C,$C50,ACR_By_Service_Yearly!$E:$E,"FY2026")</f>
        <v>283677</v>
      </c>
      <c r="H50" s="11">
        <f t="shared" si="3"/>
        <v>7.0279704687345159</v>
      </c>
      <c r="I50" s="7">
        <f t="shared" si="4"/>
        <v>1.6510319629786654</v>
      </c>
      <c r="J50" s="1" t="str">
        <f t="shared" si="5"/>
        <v>High Growth</v>
      </c>
    </row>
    <row r="51" spans="1:10" x14ac:dyDescent="0.25">
      <c r="A51" s="1" t="s">
        <v>131</v>
      </c>
      <c r="B51" s="1" t="s">
        <v>132</v>
      </c>
      <c r="C51" s="1" t="s">
        <v>1065</v>
      </c>
      <c r="D51" s="1" t="s">
        <v>1056</v>
      </c>
      <c r="E51" s="6">
        <f>SUMIFS(ACR_By_Service_Yearly!$F:$F,ACR_By_Service_Yearly!$A:$A,$A51,ACR_By_Service_Yearly!$C:$C,$C51,ACR_By_Service_Yearly!$E:$E,"FY2024")</f>
        <v>109684</v>
      </c>
      <c r="F51" s="6">
        <f>SUMIFS(ACR_By_Service_Yearly!$F:$F,ACR_By_Service_Yearly!$A:$A,$A51,ACR_By_Service_Yearly!$C:$C,$C51,ACR_By_Service_Yearly!$E:$E,"FY2025")</f>
        <v>136643</v>
      </c>
      <c r="G51" s="6">
        <f>SUMIFS(ACR_By_Service_Yearly!$F:$F,ACR_By_Service_Yearly!$A:$A,$A51,ACR_By_Service_Yearly!$C:$C,$C51,ACR_By_Service_Yearly!$E:$E,"FY2026")</f>
        <v>132977</v>
      </c>
      <c r="H51" s="11">
        <f t="shared" si="3"/>
        <v>1.2123646110645125</v>
      </c>
      <c r="I51" s="7">
        <f t="shared" si="4"/>
        <v>0.10107429861227457</v>
      </c>
      <c r="J51" s="1" t="str">
        <f t="shared" si="5"/>
        <v>Moderate Growth</v>
      </c>
    </row>
    <row r="52" spans="1:10" x14ac:dyDescent="0.25">
      <c r="A52" s="1" t="s">
        <v>135</v>
      </c>
      <c r="B52" s="1" t="s">
        <v>136</v>
      </c>
      <c r="C52" s="1" t="s">
        <v>1038</v>
      </c>
      <c r="D52" s="1" t="s">
        <v>1039</v>
      </c>
      <c r="E52" s="6">
        <f>SUMIFS(ACR_By_Service_Yearly!$F:$F,ACR_By_Service_Yearly!$A:$A,$A52,ACR_By_Service_Yearly!$C:$C,$C52,ACR_By_Service_Yearly!$E:$E,"FY2024")</f>
        <v>1070995</v>
      </c>
      <c r="F52" s="6">
        <f>SUMIFS(ACR_By_Service_Yearly!$F:$F,ACR_By_Service_Yearly!$A:$A,$A52,ACR_By_Service_Yearly!$C:$C,$C52,ACR_By_Service_Yearly!$E:$E,"FY2025")</f>
        <v>1292249</v>
      </c>
      <c r="G52" s="6">
        <f>SUMIFS(ACR_By_Service_Yearly!$F:$F,ACR_By_Service_Yearly!$A:$A,$A52,ACR_By_Service_Yearly!$C:$C,$C52,ACR_By_Service_Yearly!$E:$E,"FY2026")</f>
        <v>1249546</v>
      </c>
      <c r="H52" s="11">
        <f t="shared" si="3"/>
        <v>1.1667150640292439</v>
      </c>
      <c r="I52" s="7">
        <f t="shared" si="4"/>
        <v>8.0145853127828293E-2</v>
      </c>
      <c r="J52" s="1" t="str">
        <f t="shared" si="5"/>
        <v>Flat</v>
      </c>
    </row>
    <row r="53" spans="1:10" x14ac:dyDescent="0.25">
      <c r="A53" s="1" t="s">
        <v>135</v>
      </c>
      <c r="B53" s="1" t="s">
        <v>136</v>
      </c>
      <c r="C53" s="1" t="s">
        <v>1043</v>
      </c>
      <c r="D53" s="1" t="s">
        <v>1044</v>
      </c>
      <c r="E53" s="6">
        <f>SUMIFS(ACR_By_Service_Yearly!$F:$F,ACR_By_Service_Yearly!$A:$A,$A53,ACR_By_Service_Yearly!$C:$C,$C53,ACR_By_Service_Yearly!$E:$E,"FY2024")</f>
        <v>644009</v>
      </c>
      <c r="F53" s="6">
        <f>SUMIFS(ACR_By_Service_Yearly!$F:$F,ACR_By_Service_Yearly!$A:$A,$A53,ACR_By_Service_Yearly!$C:$C,$C53,ACR_By_Service_Yearly!$E:$E,"FY2025")</f>
        <v>696666</v>
      </c>
      <c r="G53" s="6">
        <f>SUMIFS(ACR_By_Service_Yearly!$F:$F,ACR_By_Service_Yearly!$A:$A,$A53,ACR_By_Service_Yearly!$C:$C,$C53,ACR_By_Service_Yearly!$E:$E,"FY2026")</f>
        <v>740390</v>
      </c>
      <c r="H53" s="11">
        <f t="shared" si="3"/>
        <v>1.1496578463965565</v>
      </c>
      <c r="I53" s="7">
        <f t="shared" si="4"/>
        <v>7.2220987668380143E-2</v>
      </c>
      <c r="J53" s="1" t="str">
        <f t="shared" si="5"/>
        <v>Flat</v>
      </c>
    </row>
    <row r="54" spans="1:10" x14ac:dyDescent="0.25">
      <c r="A54" s="1" t="s">
        <v>135</v>
      </c>
      <c r="B54" s="1" t="s">
        <v>136</v>
      </c>
      <c r="C54" s="1" t="s">
        <v>1045</v>
      </c>
      <c r="D54" s="1" t="s">
        <v>1046</v>
      </c>
      <c r="E54" s="6">
        <f>SUMIFS(ACR_By_Service_Yearly!$F:$F,ACR_By_Service_Yearly!$A:$A,$A54,ACR_By_Service_Yearly!$C:$C,$C54,ACR_By_Service_Yearly!$E:$E,"FY2024")</f>
        <v>76586</v>
      </c>
      <c r="F54" s="6">
        <f>SUMIFS(ACR_By_Service_Yearly!$F:$F,ACR_By_Service_Yearly!$A:$A,$A54,ACR_By_Service_Yearly!$C:$C,$C54,ACR_By_Service_Yearly!$E:$E,"FY2025")</f>
        <v>80704</v>
      </c>
      <c r="G54" s="6">
        <f>SUMIFS(ACR_By_Service_Yearly!$F:$F,ACR_By_Service_Yearly!$A:$A,$A54,ACR_By_Service_Yearly!$C:$C,$C54,ACR_By_Service_Yearly!$E:$E,"FY2026")</f>
        <v>92584</v>
      </c>
      <c r="H54" s="11">
        <f t="shared" si="3"/>
        <v>1.2088893531454834</v>
      </c>
      <c r="I54" s="7">
        <f t="shared" si="4"/>
        <v>9.9495044620703688E-2</v>
      </c>
      <c r="J54" s="1" t="str">
        <f t="shared" si="5"/>
        <v>Flat</v>
      </c>
    </row>
    <row r="55" spans="1:10" x14ac:dyDescent="0.25">
      <c r="A55" s="1" t="s">
        <v>135</v>
      </c>
      <c r="B55" s="1" t="s">
        <v>136</v>
      </c>
      <c r="C55" s="1" t="s">
        <v>1047</v>
      </c>
      <c r="D55" s="1" t="s">
        <v>1048</v>
      </c>
      <c r="E55" s="6">
        <f>SUMIFS(ACR_By_Service_Yearly!$F:$F,ACR_By_Service_Yearly!$A:$A,$A55,ACR_By_Service_Yearly!$C:$C,$C55,ACR_By_Service_Yearly!$E:$E,"FY2024")</f>
        <v>85835</v>
      </c>
      <c r="F55" s="6">
        <f>SUMIFS(ACR_By_Service_Yearly!$F:$F,ACR_By_Service_Yearly!$A:$A,$A55,ACR_By_Service_Yearly!$C:$C,$C55,ACR_By_Service_Yearly!$E:$E,"FY2025")</f>
        <v>95149</v>
      </c>
      <c r="G55" s="6">
        <f>SUMIFS(ACR_By_Service_Yearly!$F:$F,ACR_By_Service_Yearly!$A:$A,$A55,ACR_By_Service_Yearly!$C:$C,$C55,ACR_By_Service_Yearly!$E:$E,"FY2026")</f>
        <v>120010</v>
      </c>
      <c r="H55" s="11">
        <f t="shared" si="3"/>
        <v>1.3981476087842954</v>
      </c>
      <c r="I55" s="7">
        <f t="shared" si="4"/>
        <v>0.18243291935918937</v>
      </c>
      <c r="J55" s="1" t="str">
        <f t="shared" si="5"/>
        <v>Moderate Growth</v>
      </c>
    </row>
    <row r="56" spans="1:10" x14ac:dyDescent="0.25">
      <c r="A56" s="1" t="s">
        <v>135</v>
      </c>
      <c r="B56" s="1" t="s">
        <v>136</v>
      </c>
      <c r="C56" s="1" t="s">
        <v>1049</v>
      </c>
      <c r="D56" s="1" t="s">
        <v>1048</v>
      </c>
      <c r="E56" s="6">
        <f>SUMIFS(ACR_By_Service_Yearly!$F:$F,ACR_By_Service_Yearly!$A:$A,$A56,ACR_By_Service_Yearly!$C:$C,$C56,ACR_By_Service_Yearly!$E:$E,"FY2024")</f>
        <v>231246</v>
      </c>
      <c r="F56" s="6">
        <f>SUMIFS(ACR_By_Service_Yearly!$F:$F,ACR_By_Service_Yearly!$A:$A,$A56,ACR_By_Service_Yearly!$C:$C,$C56,ACR_By_Service_Yearly!$E:$E,"FY2025")</f>
        <v>248466</v>
      </c>
      <c r="G56" s="6">
        <f>SUMIFS(ACR_By_Service_Yearly!$F:$F,ACR_By_Service_Yearly!$A:$A,$A56,ACR_By_Service_Yearly!$C:$C,$C56,ACR_By_Service_Yearly!$E:$E,"FY2026")</f>
        <v>285472</v>
      </c>
      <c r="H56" s="11">
        <f t="shared" si="3"/>
        <v>1.234494866938239</v>
      </c>
      <c r="I56" s="7">
        <f t="shared" si="4"/>
        <v>0.11107824519168719</v>
      </c>
      <c r="J56" s="1" t="str">
        <f t="shared" si="5"/>
        <v>Moderate Growth</v>
      </c>
    </row>
    <row r="57" spans="1:10" x14ac:dyDescent="0.25">
      <c r="A57" s="1" t="s">
        <v>135</v>
      </c>
      <c r="B57" s="1" t="s">
        <v>136</v>
      </c>
      <c r="C57" s="1" t="s">
        <v>1050</v>
      </c>
      <c r="D57" s="1" t="s">
        <v>1051</v>
      </c>
      <c r="E57" s="6">
        <f>SUMIFS(ACR_By_Service_Yearly!$F:$F,ACR_By_Service_Yearly!$A:$A,$A57,ACR_By_Service_Yearly!$C:$C,$C57,ACR_By_Service_Yearly!$E:$E,"FY2024")</f>
        <v>60064</v>
      </c>
      <c r="F57" s="6">
        <f>SUMIFS(ACR_By_Service_Yearly!$F:$F,ACR_By_Service_Yearly!$A:$A,$A57,ACR_By_Service_Yearly!$C:$C,$C57,ACR_By_Service_Yearly!$E:$E,"FY2025")</f>
        <v>66315</v>
      </c>
      <c r="G57" s="6">
        <f>SUMIFS(ACR_By_Service_Yearly!$F:$F,ACR_By_Service_Yearly!$A:$A,$A57,ACR_By_Service_Yearly!$C:$C,$C57,ACR_By_Service_Yearly!$E:$E,"FY2026")</f>
        <v>71132</v>
      </c>
      <c r="H57" s="11">
        <f t="shared" si="3"/>
        <v>1.1842701118806607</v>
      </c>
      <c r="I57" s="7">
        <f t="shared" si="4"/>
        <v>8.8241752498340986E-2</v>
      </c>
      <c r="J57" s="1" t="str">
        <f t="shared" si="5"/>
        <v>Flat</v>
      </c>
    </row>
    <row r="58" spans="1:10" x14ac:dyDescent="0.25">
      <c r="A58" s="1" t="s">
        <v>135</v>
      </c>
      <c r="B58" s="1" t="s">
        <v>136</v>
      </c>
      <c r="C58" s="1" t="s">
        <v>1061</v>
      </c>
      <c r="D58" s="1" t="s">
        <v>1062</v>
      </c>
      <c r="E58" s="6">
        <f>SUMIFS(ACR_By_Service_Yearly!$F:$F,ACR_By_Service_Yearly!$A:$A,$A58,ACR_By_Service_Yearly!$C:$C,$C58,ACR_By_Service_Yearly!$E:$E,"FY2024")</f>
        <v>37006</v>
      </c>
      <c r="F58" s="6">
        <f>SUMIFS(ACR_By_Service_Yearly!$F:$F,ACR_By_Service_Yearly!$A:$A,$A58,ACR_By_Service_Yearly!$C:$C,$C58,ACR_By_Service_Yearly!$E:$E,"FY2025")</f>
        <v>118581</v>
      </c>
      <c r="G58" s="6">
        <f>SUMIFS(ACR_By_Service_Yearly!$F:$F,ACR_By_Service_Yearly!$A:$A,$A58,ACR_By_Service_Yearly!$C:$C,$C58,ACR_By_Service_Yearly!$E:$E,"FY2026")</f>
        <v>303065</v>
      </c>
      <c r="H58" s="11">
        <f t="shared" si="3"/>
        <v>8.189617899800032</v>
      </c>
      <c r="I58" s="7">
        <f t="shared" si="4"/>
        <v>1.8617508451645528</v>
      </c>
      <c r="J58" s="1" t="str">
        <f t="shared" si="5"/>
        <v>High Growth</v>
      </c>
    </row>
    <row r="59" spans="1:10" x14ac:dyDescent="0.25">
      <c r="A59" s="1" t="s">
        <v>135</v>
      </c>
      <c r="B59" s="1" t="s">
        <v>136</v>
      </c>
      <c r="C59" s="1" t="s">
        <v>1066</v>
      </c>
      <c r="D59" s="1" t="s">
        <v>1062</v>
      </c>
      <c r="E59" s="6">
        <f>SUMIFS(ACR_By_Service_Yearly!$F:$F,ACR_By_Service_Yearly!$A:$A,$A59,ACR_By_Service_Yearly!$C:$C,$C59,ACR_By_Service_Yearly!$E:$E,"FY2024")</f>
        <v>67375</v>
      </c>
      <c r="F59" s="6">
        <f>SUMIFS(ACR_By_Service_Yearly!$F:$F,ACR_By_Service_Yearly!$A:$A,$A59,ACR_By_Service_Yearly!$C:$C,$C59,ACR_By_Service_Yearly!$E:$E,"FY2025")</f>
        <v>175311</v>
      </c>
      <c r="G59" s="6">
        <f>SUMIFS(ACR_By_Service_Yearly!$F:$F,ACR_By_Service_Yearly!$A:$A,$A59,ACR_By_Service_Yearly!$C:$C,$C59,ACR_By_Service_Yearly!$E:$E,"FY2026")</f>
        <v>282186</v>
      </c>
      <c r="H59" s="11">
        <f t="shared" si="3"/>
        <v>4.1882894248608533</v>
      </c>
      <c r="I59" s="7">
        <f t="shared" si="4"/>
        <v>1.046531071071449</v>
      </c>
      <c r="J59" s="1" t="str">
        <f t="shared" si="5"/>
        <v>High Growth</v>
      </c>
    </row>
    <row r="60" spans="1:10" x14ac:dyDescent="0.25">
      <c r="A60" s="1" t="s">
        <v>135</v>
      </c>
      <c r="B60" s="1" t="s">
        <v>136</v>
      </c>
      <c r="C60" s="1" t="s">
        <v>1058</v>
      </c>
      <c r="D60" s="1" t="s">
        <v>1039</v>
      </c>
      <c r="E60" s="6">
        <f>SUMIFS(ACR_By_Service_Yearly!$F:$F,ACR_By_Service_Yearly!$A:$A,$A60,ACR_By_Service_Yearly!$C:$C,$C60,ACR_By_Service_Yearly!$E:$E,"FY2024")</f>
        <v>137968</v>
      </c>
      <c r="F60" s="6">
        <f>SUMIFS(ACR_By_Service_Yearly!$F:$F,ACR_By_Service_Yearly!$A:$A,$A60,ACR_By_Service_Yearly!$C:$C,$C60,ACR_By_Service_Yearly!$E:$E,"FY2025")</f>
        <v>164641</v>
      </c>
      <c r="G60" s="6">
        <f>SUMIFS(ACR_By_Service_Yearly!$F:$F,ACR_By_Service_Yearly!$A:$A,$A60,ACR_By_Service_Yearly!$C:$C,$C60,ACR_By_Service_Yearly!$E:$E,"FY2026")</f>
        <v>180833</v>
      </c>
      <c r="H60" s="11">
        <f t="shared" si="3"/>
        <v>1.3106879856198539</v>
      </c>
      <c r="I60" s="7">
        <f t="shared" si="4"/>
        <v>0.14485282268938571</v>
      </c>
      <c r="J60" s="1" t="str">
        <f t="shared" si="5"/>
        <v>Moderate Growth</v>
      </c>
    </row>
    <row r="61" spans="1:10" x14ac:dyDescent="0.25">
      <c r="A61" s="1" t="s">
        <v>135</v>
      </c>
      <c r="B61" s="1" t="s">
        <v>136</v>
      </c>
      <c r="C61" s="1" t="s">
        <v>1064</v>
      </c>
      <c r="D61" s="1" t="s">
        <v>1062</v>
      </c>
      <c r="E61" s="6">
        <f>SUMIFS(ACR_By_Service_Yearly!$F:$F,ACR_By_Service_Yearly!$A:$A,$A61,ACR_By_Service_Yearly!$C:$C,$C61,ACR_By_Service_Yearly!$E:$E,"FY2024")</f>
        <v>130623</v>
      </c>
      <c r="F61" s="6">
        <f>SUMIFS(ACR_By_Service_Yearly!$F:$F,ACR_By_Service_Yearly!$A:$A,$A61,ACR_By_Service_Yearly!$C:$C,$C61,ACR_By_Service_Yearly!$E:$E,"FY2025")</f>
        <v>322705</v>
      </c>
      <c r="G61" s="6">
        <f>SUMIFS(ACR_By_Service_Yearly!$F:$F,ACR_By_Service_Yearly!$A:$A,$A61,ACR_By_Service_Yearly!$C:$C,$C61,ACR_By_Service_Yearly!$E:$E,"FY2026")</f>
        <v>668605</v>
      </c>
      <c r="H61" s="11">
        <f t="shared" si="3"/>
        <v>5.1185855477213051</v>
      </c>
      <c r="I61" s="7">
        <f t="shared" si="4"/>
        <v>1.2624291254581448</v>
      </c>
      <c r="J61" s="1" t="str">
        <f t="shared" si="5"/>
        <v>High Growth</v>
      </c>
    </row>
    <row r="62" spans="1:10" x14ac:dyDescent="0.25">
      <c r="A62" s="1" t="s">
        <v>135</v>
      </c>
      <c r="B62" s="1" t="s">
        <v>136</v>
      </c>
      <c r="C62" s="1" t="s">
        <v>1060</v>
      </c>
      <c r="D62" s="1" t="s">
        <v>1056</v>
      </c>
      <c r="E62" s="6">
        <f>SUMIFS(ACR_By_Service_Yearly!$F:$F,ACR_By_Service_Yearly!$A:$A,$A62,ACR_By_Service_Yearly!$C:$C,$C62,ACR_By_Service_Yearly!$E:$E,"FY2024")</f>
        <v>326522</v>
      </c>
      <c r="F62" s="6">
        <f>SUMIFS(ACR_By_Service_Yearly!$F:$F,ACR_By_Service_Yearly!$A:$A,$A62,ACR_By_Service_Yearly!$C:$C,$C62,ACR_By_Service_Yearly!$E:$E,"FY2025")</f>
        <v>324994</v>
      </c>
      <c r="G62" s="6">
        <f>SUMIFS(ACR_By_Service_Yearly!$F:$F,ACR_By_Service_Yearly!$A:$A,$A62,ACR_By_Service_Yearly!$C:$C,$C62,ACR_By_Service_Yearly!$E:$E,"FY2026")</f>
        <v>396533</v>
      </c>
      <c r="H62" s="11">
        <f t="shared" si="3"/>
        <v>1.2144143426782881</v>
      </c>
      <c r="I62" s="7">
        <f t="shared" si="4"/>
        <v>0.10200469267525714</v>
      </c>
      <c r="J62" s="1" t="str">
        <f t="shared" si="5"/>
        <v>Moderate Growth</v>
      </c>
    </row>
    <row r="63" spans="1:10" x14ac:dyDescent="0.25">
      <c r="A63" s="1" t="s">
        <v>135</v>
      </c>
      <c r="B63" s="1" t="s">
        <v>136</v>
      </c>
      <c r="C63" s="1" t="s">
        <v>1057</v>
      </c>
      <c r="D63" s="1" t="s">
        <v>1048</v>
      </c>
      <c r="E63" s="6">
        <f>SUMIFS(ACR_By_Service_Yearly!$F:$F,ACR_By_Service_Yearly!$A:$A,$A63,ACR_By_Service_Yearly!$C:$C,$C63,ACR_By_Service_Yearly!$E:$E,"FY2024")</f>
        <v>219313</v>
      </c>
      <c r="F63" s="6">
        <f>SUMIFS(ACR_By_Service_Yearly!$F:$F,ACR_By_Service_Yearly!$A:$A,$A63,ACR_By_Service_Yearly!$C:$C,$C63,ACR_By_Service_Yearly!$E:$E,"FY2025")</f>
        <v>174606</v>
      </c>
      <c r="G63" s="6">
        <f>SUMIFS(ACR_By_Service_Yearly!$F:$F,ACR_By_Service_Yearly!$A:$A,$A63,ACR_By_Service_Yearly!$C:$C,$C63,ACR_By_Service_Yearly!$E:$E,"FY2026")</f>
        <v>150942</v>
      </c>
      <c r="H63" s="11">
        <f t="shared" si="3"/>
        <v>0.68824921459284216</v>
      </c>
      <c r="I63" s="7">
        <f t="shared" si="4"/>
        <v>-0.17039213203294523</v>
      </c>
      <c r="J63" s="1" t="str">
        <f t="shared" si="5"/>
        <v>Contracting</v>
      </c>
    </row>
    <row r="64" spans="1:10" x14ac:dyDescent="0.25">
      <c r="A64" s="1" t="s">
        <v>135</v>
      </c>
      <c r="B64" s="1" t="s">
        <v>136</v>
      </c>
      <c r="C64" s="1" t="s">
        <v>1052</v>
      </c>
      <c r="D64" s="1" t="s">
        <v>1039</v>
      </c>
      <c r="E64" s="6">
        <f>SUMIFS(ACR_By_Service_Yearly!$F:$F,ACR_By_Service_Yearly!$A:$A,$A64,ACR_By_Service_Yearly!$C:$C,$C64,ACR_By_Service_Yearly!$E:$E,"FY2024")</f>
        <v>623598</v>
      </c>
      <c r="F64" s="6">
        <f>SUMIFS(ACR_By_Service_Yearly!$F:$F,ACR_By_Service_Yearly!$A:$A,$A64,ACR_By_Service_Yearly!$C:$C,$C64,ACR_By_Service_Yearly!$E:$E,"FY2025")</f>
        <v>993810</v>
      </c>
      <c r="G64" s="6">
        <f>SUMIFS(ACR_By_Service_Yearly!$F:$F,ACR_By_Service_Yearly!$A:$A,$A64,ACR_By_Service_Yearly!$C:$C,$C64,ACR_By_Service_Yearly!$E:$E,"FY2026")</f>
        <v>1585513</v>
      </c>
      <c r="H64" s="11">
        <f t="shared" si="3"/>
        <v>2.5425241902635993</v>
      </c>
      <c r="I64" s="7">
        <f t="shared" si="4"/>
        <v>0.59452945732074802</v>
      </c>
      <c r="J64" s="1" t="str">
        <f t="shared" si="5"/>
        <v>High Growth</v>
      </c>
    </row>
    <row r="65" spans="1:10" x14ac:dyDescent="0.25">
      <c r="A65" s="1" t="s">
        <v>139</v>
      </c>
      <c r="B65" s="1" t="s">
        <v>140</v>
      </c>
      <c r="C65" s="1" t="s">
        <v>1038</v>
      </c>
      <c r="D65" s="1" t="s">
        <v>1039</v>
      </c>
      <c r="E65" s="6">
        <f>SUMIFS(ACR_By_Service_Yearly!$F:$F,ACR_By_Service_Yearly!$A:$A,$A65,ACR_By_Service_Yearly!$C:$C,$C65,ACR_By_Service_Yearly!$E:$E,"FY2024")</f>
        <v>632302</v>
      </c>
      <c r="F65" s="6">
        <f>SUMIFS(ACR_By_Service_Yearly!$F:$F,ACR_By_Service_Yearly!$A:$A,$A65,ACR_By_Service_Yearly!$C:$C,$C65,ACR_By_Service_Yearly!$E:$E,"FY2025")</f>
        <v>769962</v>
      </c>
      <c r="G65" s="6">
        <f>SUMIFS(ACR_By_Service_Yearly!$F:$F,ACR_By_Service_Yearly!$A:$A,$A65,ACR_By_Service_Yearly!$C:$C,$C65,ACR_By_Service_Yearly!$E:$E,"FY2026")</f>
        <v>902329</v>
      </c>
      <c r="H65" s="11">
        <f t="shared" si="3"/>
        <v>1.4270538445236611</v>
      </c>
      <c r="I65" s="7">
        <f t="shared" si="4"/>
        <v>0.19459358968799978</v>
      </c>
      <c r="J65" s="1" t="str">
        <f t="shared" si="5"/>
        <v>Moderate Growth</v>
      </c>
    </row>
    <row r="66" spans="1:10" x14ac:dyDescent="0.25">
      <c r="A66" s="1" t="s">
        <v>139</v>
      </c>
      <c r="B66" s="1" t="s">
        <v>140</v>
      </c>
      <c r="C66" s="1" t="s">
        <v>1043</v>
      </c>
      <c r="D66" s="1" t="s">
        <v>1044</v>
      </c>
      <c r="E66" s="6">
        <f>SUMIFS(ACR_By_Service_Yearly!$F:$F,ACR_By_Service_Yearly!$A:$A,$A66,ACR_By_Service_Yearly!$C:$C,$C66,ACR_By_Service_Yearly!$E:$E,"FY2024")</f>
        <v>81974</v>
      </c>
      <c r="F66" s="6">
        <f>SUMIFS(ACR_By_Service_Yearly!$F:$F,ACR_By_Service_Yearly!$A:$A,$A66,ACR_By_Service_Yearly!$C:$C,$C66,ACR_By_Service_Yearly!$E:$E,"FY2025")</f>
        <v>80622</v>
      </c>
      <c r="G66" s="6">
        <f>SUMIFS(ACR_By_Service_Yearly!$F:$F,ACR_By_Service_Yearly!$A:$A,$A66,ACR_By_Service_Yearly!$C:$C,$C66,ACR_By_Service_Yearly!$E:$E,"FY2026")</f>
        <v>83231</v>
      </c>
      <c r="H66" s="11">
        <f t="shared" ref="H66:H97" si="6">G66/E66</f>
        <v>1.0153341303340084</v>
      </c>
      <c r="I66" s="7">
        <f t="shared" ref="I66:I99" si="7">(G66/E66)^(1/2)-1</f>
        <v>7.6378964360204193E-3</v>
      </c>
      <c r="J66" s="1" t="str">
        <f t="shared" ref="J66:J97" si="8">IF(I66&gt;=0.4,"High Growth",IF(I66&gt;=0.1,"Moderate Growth",IF(I66&gt;=-0.02,"Flat","Contracting")))</f>
        <v>Flat</v>
      </c>
    </row>
    <row r="67" spans="1:10" x14ac:dyDescent="0.25">
      <c r="A67" s="1" t="s">
        <v>139</v>
      </c>
      <c r="B67" s="1" t="s">
        <v>140</v>
      </c>
      <c r="C67" s="1" t="s">
        <v>1045</v>
      </c>
      <c r="D67" s="1" t="s">
        <v>1046</v>
      </c>
      <c r="E67" s="6">
        <f>SUMIFS(ACR_By_Service_Yearly!$F:$F,ACR_By_Service_Yearly!$A:$A,$A67,ACR_By_Service_Yearly!$C:$C,$C67,ACR_By_Service_Yearly!$E:$E,"FY2024")</f>
        <v>45135</v>
      </c>
      <c r="F67" s="6">
        <f>SUMIFS(ACR_By_Service_Yearly!$F:$F,ACR_By_Service_Yearly!$A:$A,$A67,ACR_By_Service_Yearly!$C:$C,$C67,ACR_By_Service_Yearly!$E:$E,"FY2025")</f>
        <v>44617</v>
      </c>
      <c r="G67" s="6">
        <f>SUMIFS(ACR_By_Service_Yearly!$F:$F,ACR_By_Service_Yearly!$A:$A,$A67,ACR_By_Service_Yearly!$C:$C,$C67,ACR_By_Service_Yearly!$E:$E,"FY2026")</f>
        <v>48486</v>
      </c>
      <c r="H67" s="11">
        <f t="shared" si="6"/>
        <v>1.0742439348620805</v>
      </c>
      <c r="I67" s="7">
        <f t="shared" si="7"/>
        <v>3.6457396549458121E-2</v>
      </c>
      <c r="J67" s="1" t="str">
        <f t="shared" si="8"/>
        <v>Flat</v>
      </c>
    </row>
    <row r="68" spans="1:10" x14ac:dyDescent="0.25">
      <c r="A68" s="1" t="s">
        <v>139</v>
      </c>
      <c r="B68" s="1" t="s">
        <v>140</v>
      </c>
      <c r="C68" s="1" t="s">
        <v>1047</v>
      </c>
      <c r="D68" s="1" t="s">
        <v>1048</v>
      </c>
      <c r="E68" s="6">
        <f>SUMIFS(ACR_By_Service_Yearly!$F:$F,ACR_By_Service_Yearly!$A:$A,$A68,ACR_By_Service_Yearly!$C:$C,$C68,ACR_By_Service_Yearly!$E:$E,"FY2024")</f>
        <v>36878</v>
      </c>
      <c r="F68" s="6">
        <f>SUMIFS(ACR_By_Service_Yearly!$F:$F,ACR_By_Service_Yearly!$A:$A,$A68,ACR_By_Service_Yearly!$C:$C,$C68,ACR_By_Service_Yearly!$E:$E,"FY2025")</f>
        <v>39643</v>
      </c>
      <c r="G68" s="6">
        <f>SUMIFS(ACR_By_Service_Yearly!$F:$F,ACR_By_Service_Yearly!$A:$A,$A68,ACR_By_Service_Yearly!$C:$C,$C68,ACR_By_Service_Yearly!$E:$E,"FY2026")</f>
        <v>42092</v>
      </c>
      <c r="H68" s="11">
        <f t="shared" si="6"/>
        <v>1.1413851076522588</v>
      </c>
      <c r="I68" s="7">
        <f t="shared" si="7"/>
        <v>6.8356264385742715E-2</v>
      </c>
      <c r="J68" s="1" t="str">
        <f t="shared" si="8"/>
        <v>Flat</v>
      </c>
    </row>
    <row r="69" spans="1:10" x14ac:dyDescent="0.25">
      <c r="A69" s="1" t="s">
        <v>139</v>
      </c>
      <c r="B69" s="1" t="s">
        <v>140</v>
      </c>
      <c r="C69" s="1" t="s">
        <v>1049</v>
      </c>
      <c r="D69" s="1" t="s">
        <v>1048</v>
      </c>
      <c r="E69" s="6">
        <f>SUMIFS(ACR_By_Service_Yearly!$F:$F,ACR_By_Service_Yearly!$A:$A,$A69,ACR_By_Service_Yearly!$C:$C,$C69,ACR_By_Service_Yearly!$E:$E,"FY2024")</f>
        <v>59819</v>
      </c>
      <c r="F69" s="6">
        <f>SUMIFS(ACR_By_Service_Yearly!$F:$F,ACR_By_Service_Yearly!$A:$A,$A69,ACR_By_Service_Yearly!$C:$C,$C69,ACR_By_Service_Yearly!$E:$E,"FY2025")</f>
        <v>61645</v>
      </c>
      <c r="G69" s="6">
        <f>SUMIFS(ACR_By_Service_Yearly!$F:$F,ACR_By_Service_Yearly!$A:$A,$A69,ACR_By_Service_Yearly!$C:$C,$C69,ACR_By_Service_Yearly!$E:$E,"FY2026")</f>
        <v>65069</v>
      </c>
      <c r="H69" s="11">
        <f t="shared" si="6"/>
        <v>1.0877647570170013</v>
      </c>
      <c r="I69" s="7">
        <f t="shared" si="7"/>
        <v>4.2959614279000302E-2</v>
      </c>
      <c r="J69" s="1" t="str">
        <f t="shared" si="8"/>
        <v>Flat</v>
      </c>
    </row>
    <row r="70" spans="1:10" x14ac:dyDescent="0.25">
      <c r="A70" s="1" t="s">
        <v>139</v>
      </c>
      <c r="B70" s="1" t="s">
        <v>140</v>
      </c>
      <c r="C70" s="1" t="s">
        <v>1061</v>
      </c>
      <c r="D70" s="1" t="s">
        <v>1062</v>
      </c>
      <c r="E70" s="6">
        <f>SUMIFS(ACR_By_Service_Yearly!$F:$F,ACR_By_Service_Yearly!$A:$A,$A70,ACR_By_Service_Yearly!$C:$C,$C70,ACR_By_Service_Yearly!$E:$E,"FY2024")</f>
        <v>24477</v>
      </c>
      <c r="F70" s="6">
        <f>SUMIFS(ACR_By_Service_Yearly!$F:$F,ACR_By_Service_Yearly!$A:$A,$A70,ACR_By_Service_Yearly!$C:$C,$C70,ACR_By_Service_Yearly!$E:$E,"FY2025")</f>
        <v>78447</v>
      </c>
      <c r="G70" s="6">
        <f>SUMIFS(ACR_By_Service_Yearly!$F:$F,ACR_By_Service_Yearly!$A:$A,$A70,ACR_By_Service_Yearly!$C:$C,$C70,ACR_By_Service_Yearly!$E:$E,"FY2026")</f>
        <v>238632</v>
      </c>
      <c r="H70" s="11">
        <f t="shared" si="6"/>
        <v>9.7492339747518084</v>
      </c>
      <c r="I70" s="7">
        <f t="shared" si="7"/>
        <v>2.1223763345810522</v>
      </c>
      <c r="J70" s="1" t="str">
        <f t="shared" si="8"/>
        <v>High Growth</v>
      </c>
    </row>
    <row r="71" spans="1:10" x14ac:dyDescent="0.25">
      <c r="A71" s="1" t="s">
        <v>139</v>
      </c>
      <c r="B71" s="1" t="s">
        <v>140</v>
      </c>
      <c r="C71" s="1" t="s">
        <v>1058</v>
      </c>
      <c r="D71" s="1" t="s">
        <v>1039</v>
      </c>
      <c r="E71" s="6">
        <f>SUMIFS(ACR_By_Service_Yearly!$F:$F,ACR_By_Service_Yearly!$A:$A,$A71,ACR_By_Service_Yearly!$C:$C,$C71,ACR_By_Service_Yearly!$E:$E,"FY2024")</f>
        <v>46878</v>
      </c>
      <c r="F71" s="6">
        <f>SUMIFS(ACR_By_Service_Yearly!$F:$F,ACR_By_Service_Yearly!$A:$A,$A71,ACR_By_Service_Yearly!$C:$C,$C71,ACR_By_Service_Yearly!$E:$E,"FY2025")</f>
        <v>50169</v>
      </c>
      <c r="G71" s="6">
        <f>SUMIFS(ACR_By_Service_Yearly!$F:$F,ACR_By_Service_Yearly!$A:$A,$A71,ACR_By_Service_Yearly!$C:$C,$C71,ACR_By_Service_Yearly!$E:$E,"FY2026")</f>
        <v>54119</v>
      </c>
      <c r="H71" s="11">
        <f t="shared" si="6"/>
        <v>1.1544647809206878</v>
      </c>
      <c r="I71" s="7">
        <f t="shared" si="7"/>
        <v>7.4460227705375637E-2</v>
      </c>
      <c r="J71" s="1" t="str">
        <f t="shared" si="8"/>
        <v>Flat</v>
      </c>
    </row>
    <row r="72" spans="1:10" x14ac:dyDescent="0.25">
      <c r="A72" s="1" t="s">
        <v>139</v>
      </c>
      <c r="B72" s="1" t="s">
        <v>140</v>
      </c>
      <c r="C72" s="1" t="s">
        <v>1059</v>
      </c>
      <c r="D72" s="1" t="s">
        <v>1039</v>
      </c>
      <c r="E72" s="6">
        <f>SUMIFS(ACR_By_Service_Yearly!$F:$F,ACR_By_Service_Yearly!$A:$A,$A72,ACR_By_Service_Yearly!$C:$C,$C72,ACR_By_Service_Yearly!$E:$E,"FY2024")</f>
        <v>65068</v>
      </c>
      <c r="F72" s="6">
        <f>SUMIFS(ACR_By_Service_Yearly!$F:$F,ACR_By_Service_Yearly!$A:$A,$A72,ACR_By_Service_Yearly!$C:$C,$C72,ACR_By_Service_Yearly!$E:$E,"FY2025")</f>
        <v>45220</v>
      </c>
      <c r="G72" s="6">
        <f>SUMIFS(ACR_By_Service_Yearly!$F:$F,ACR_By_Service_Yearly!$A:$A,$A72,ACR_By_Service_Yearly!$C:$C,$C72,ACR_By_Service_Yearly!$E:$E,"FY2026")</f>
        <v>36128</v>
      </c>
      <c r="H72" s="11">
        <f t="shared" si="6"/>
        <v>0.55523452388270733</v>
      </c>
      <c r="I72" s="7">
        <f t="shared" si="7"/>
        <v>-0.25485939321312834</v>
      </c>
      <c r="J72" s="1" t="str">
        <f t="shared" si="8"/>
        <v>Contracting</v>
      </c>
    </row>
    <row r="73" spans="1:10" x14ac:dyDescent="0.25">
      <c r="A73" s="1" t="s">
        <v>139</v>
      </c>
      <c r="B73" s="1" t="s">
        <v>140</v>
      </c>
      <c r="C73" s="1" t="s">
        <v>1065</v>
      </c>
      <c r="D73" s="1" t="s">
        <v>1056</v>
      </c>
      <c r="E73" s="6">
        <f>SUMIFS(ACR_By_Service_Yearly!$F:$F,ACR_By_Service_Yearly!$A:$A,$A73,ACR_By_Service_Yearly!$C:$C,$C73,ACR_By_Service_Yearly!$E:$E,"FY2024")</f>
        <v>54165</v>
      </c>
      <c r="F73" s="6">
        <f>SUMIFS(ACR_By_Service_Yearly!$F:$F,ACR_By_Service_Yearly!$A:$A,$A73,ACR_By_Service_Yearly!$C:$C,$C73,ACR_By_Service_Yearly!$E:$E,"FY2025")</f>
        <v>53568</v>
      </c>
      <c r="G73" s="6">
        <f>SUMIFS(ACR_By_Service_Yearly!$F:$F,ACR_By_Service_Yearly!$A:$A,$A73,ACR_By_Service_Yearly!$C:$C,$C73,ACR_By_Service_Yearly!$E:$E,"FY2026")</f>
        <v>55753</v>
      </c>
      <c r="H73" s="11">
        <f t="shared" si="6"/>
        <v>1.0293178251638513</v>
      </c>
      <c r="I73" s="7">
        <f t="shared" si="7"/>
        <v>1.4553017423856174E-2</v>
      </c>
      <c r="J73" s="1" t="str">
        <f t="shared" si="8"/>
        <v>Flat</v>
      </c>
    </row>
    <row r="74" spans="1:10" x14ac:dyDescent="0.25">
      <c r="A74" s="1" t="s">
        <v>139</v>
      </c>
      <c r="B74" s="1" t="s">
        <v>140</v>
      </c>
      <c r="C74" s="1" t="s">
        <v>1050</v>
      </c>
      <c r="D74" s="1" t="s">
        <v>1051</v>
      </c>
      <c r="E74" s="6">
        <f>SUMIFS(ACR_By_Service_Yearly!$F:$F,ACR_By_Service_Yearly!$A:$A,$A74,ACR_By_Service_Yearly!$C:$C,$C74,ACR_By_Service_Yearly!$E:$E,"FY2024")</f>
        <v>40015</v>
      </c>
      <c r="F74" s="6">
        <f>SUMIFS(ACR_By_Service_Yearly!$F:$F,ACR_By_Service_Yearly!$A:$A,$A74,ACR_By_Service_Yearly!$C:$C,$C74,ACR_By_Service_Yearly!$E:$E,"FY2025")</f>
        <v>41282</v>
      </c>
      <c r="G74" s="6">
        <f>SUMIFS(ACR_By_Service_Yearly!$F:$F,ACR_By_Service_Yearly!$A:$A,$A74,ACR_By_Service_Yearly!$C:$C,$C74,ACR_By_Service_Yearly!$E:$E,"FY2026")</f>
        <v>42583</v>
      </c>
      <c r="H74" s="11">
        <f t="shared" si="6"/>
        <v>1.0641759340247408</v>
      </c>
      <c r="I74" s="7">
        <f t="shared" si="7"/>
        <v>3.158903349383313E-2</v>
      </c>
      <c r="J74" s="1" t="str">
        <f t="shared" si="8"/>
        <v>Flat</v>
      </c>
    </row>
    <row r="75" spans="1:10" x14ac:dyDescent="0.25">
      <c r="A75" s="1" t="s">
        <v>144</v>
      </c>
      <c r="B75" s="1" t="s">
        <v>145</v>
      </c>
      <c r="C75" s="1" t="s">
        <v>1038</v>
      </c>
      <c r="D75" s="1" t="s">
        <v>1039</v>
      </c>
      <c r="E75" s="6">
        <f>SUMIFS(ACR_By_Service_Yearly!$F:$F,ACR_By_Service_Yearly!$A:$A,$A75,ACR_By_Service_Yearly!$C:$C,$C75,ACR_By_Service_Yearly!$E:$E,"FY2024")</f>
        <v>919165</v>
      </c>
      <c r="F75" s="6">
        <f>SUMIFS(ACR_By_Service_Yearly!$F:$F,ACR_By_Service_Yearly!$A:$A,$A75,ACR_By_Service_Yearly!$C:$C,$C75,ACR_By_Service_Yearly!$E:$E,"FY2025")</f>
        <v>1093425</v>
      </c>
      <c r="G75" s="6">
        <f>SUMIFS(ACR_By_Service_Yearly!$F:$F,ACR_By_Service_Yearly!$A:$A,$A75,ACR_By_Service_Yearly!$C:$C,$C75,ACR_By_Service_Yearly!$E:$E,"FY2026")</f>
        <v>992012</v>
      </c>
      <c r="H75" s="11">
        <f t="shared" si="6"/>
        <v>1.0792534528621085</v>
      </c>
      <c r="I75" s="7">
        <f t="shared" si="7"/>
        <v>3.887123978966156E-2</v>
      </c>
      <c r="J75" s="1" t="str">
        <f t="shared" si="8"/>
        <v>Flat</v>
      </c>
    </row>
    <row r="76" spans="1:10" x14ac:dyDescent="0.25">
      <c r="A76" s="1" t="s">
        <v>144</v>
      </c>
      <c r="B76" s="1" t="s">
        <v>145</v>
      </c>
      <c r="C76" s="1" t="s">
        <v>1043</v>
      </c>
      <c r="D76" s="1" t="s">
        <v>1044</v>
      </c>
      <c r="E76" s="6">
        <f>SUMIFS(ACR_By_Service_Yearly!$F:$F,ACR_By_Service_Yearly!$A:$A,$A76,ACR_By_Service_Yearly!$C:$C,$C76,ACR_By_Service_Yearly!$E:$E,"FY2024")</f>
        <v>314365</v>
      </c>
      <c r="F76" s="6">
        <f>SUMIFS(ACR_By_Service_Yearly!$F:$F,ACR_By_Service_Yearly!$A:$A,$A76,ACR_By_Service_Yearly!$C:$C,$C76,ACR_By_Service_Yearly!$E:$E,"FY2025")</f>
        <v>339320</v>
      </c>
      <c r="G76" s="6">
        <f>SUMIFS(ACR_By_Service_Yearly!$F:$F,ACR_By_Service_Yearly!$A:$A,$A76,ACR_By_Service_Yearly!$C:$C,$C76,ACR_By_Service_Yearly!$E:$E,"FY2026")</f>
        <v>421443</v>
      </c>
      <c r="H76" s="11">
        <f t="shared" si="6"/>
        <v>1.3406167989439028</v>
      </c>
      <c r="I76" s="7">
        <f t="shared" si="7"/>
        <v>0.15785007619462665</v>
      </c>
      <c r="J76" s="1" t="str">
        <f t="shared" si="8"/>
        <v>Moderate Growth</v>
      </c>
    </row>
    <row r="77" spans="1:10" x14ac:dyDescent="0.25">
      <c r="A77" s="1" t="s">
        <v>144</v>
      </c>
      <c r="B77" s="1" t="s">
        <v>145</v>
      </c>
      <c r="C77" s="1" t="s">
        <v>1045</v>
      </c>
      <c r="D77" s="1" t="s">
        <v>1046</v>
      </c>
      <c r="E77" s="6">
        <f>SUMIFS(ACR_By_Service_Yearly!$F:$F,ACR_By_Service_Yearly!$A:$A,$A77,ACR_By_Service_Yearly!$C:$C,$C77,ACR_By_Service_Yearly!$E:$E,"FY2024")</f>
        <v>44374</v>
      </c>
      <c r="F77" s="6">
        <f>SUMIFS(ACR_By_Service_Yearly!$F:$F,ACR_By_Service_Yearly!$A:$A,$A77,ACR_By_Service_Yearly!$C:$C,$C77,ACR_By_Service_Yearly!$E:$E,"FY2025")</f>
        <v>54385</v>
      </c>
      <c r="G77" s="6">
        <f>SUMIFS(ACR_By_Service_Yearly!$F:$F,ACR_By_Service_Yearly!$A:$A,$A77,ACR_By_Service_Yearly!$C:$C,$C77,ACR_By_Service_Yearly!$E:$E,"FY2026")</f>
        <v>54673</v>
      </c>
      <c r="H77" s="11">
        <f t="shared" si="6"/>
        <v>1.2320953711632938</v>
      </c>
      <c r="I77" s="7">
        <f t="shared" si="7"/>
        <v>0.10999791493646227</v>
      </c>
      <c r="J77" s="1" t="str">
        <f t="shared" si="8"/>
        <v>Moderate Growth</v>
      </c>
    </row>
    <row r="78" spans="1:10" x14ac:dyDescent="0.25">
      <c r="A78" s="1" t="s">
        <v>144</v>
      </c>
      <c r="B78" s="1" t="s">
        <v>145</v>
      </c>
      <c r="C78" s="1" t="s">
        <v>1047</v>
      </c>
      <c r="D78" s="1" t="s">
        <v>1048</v>
      </c>
      <c r="E78" s="6">
        <f>SUMIFS(ACR_By_Service_Yearly!$F:$F,ACR_By_Service_Yearly!$A:$A,$A78,ACR_By_Service_Yearly!$C:$C,$C78,ACR_By_Service_Yearly!$E:$E,"FY2024")</f>
        <v>140625</v>
      </c>
      <c r="F78" s="6">
        <f>SUMIFS(ACR_By_Service_Yearly!$F:$F,ACR_By_Service_Yearly!$A:$A,$A78,ACR_By_Service_Yearly!$C:$C,$C78,ACR_By_Service_Yearly!$E:$E,"FY2025")</f>
        <v>169070</v>
      </c>
      <c r="G78" s="6">
        <f>SUMIFS(ACR_By_Service_Yearly!$F:$F,ACR_By_Service_Yearly!$A:$A,$A78,ACR_By_Service_Yearly!$C:$C,$C78,ACR_By_Service_Yearly!$E:$E,"FY2026")</f>
        <v>203384</v>
      </c>
      <c r="H78" s="11">
        <f t="shared" si="6"/>
        <v>1.4462862222222221</v>
      </c>
      <c r="I78" s="7">
        <f t="shared" si="7"/>
        <v>0.20261640693207839</v>
      </c>
      <c r="J78" s="1" t="str">
        <f t="shared" si="8"/>
        <v>Moderate Growth</v>
      </c>
    </row>
    <row r="79" spans="1:10" x14ac:dyDescent="0.25">
      <c r="A79" s="1" t="s">
        <v>144</v>
      </c>
      <c r="B79" s="1" t="s">
        <v>145</v>
      </c>
      <c r="C79" s="1" t="s">
        <v>1049</v>
      </c>
      <c r="D79" s="1" t="s">
        <v>1048</v>
      </c>
      <c r="E79" s="6">
        <f>SUMIFS(ACR_By_Service_Yearly!$F:$F,ACR_By_Service_Yearly!$A:$A,$A79,ACR_By_Service_Yearly!$C:$C,$C79,ACR_By_Service_Yearly!$E:$E,"FY2024")</f>
        <v>41877</v>
      </c>
      <c r="F79" s="6">
        <f>SUMIFS(ACR_By_Service_Yearly!$F:$F,ACR_By_Service_Yearly!$A:$A,$A79,ACR_By_Service_Yearly!$C:$C,$C79,ACR_By_Service_Yearly!$E:$E,"FY2025")</f>
        <v>40063</v>
      </c>
      <c r="G79" s="6">
        <f>SUMIFS(ACR_By_Service_Yearly!$F:$F,ACR_By_Service_Yearly!$A:$A,$A79,ACR_By_Service_Yearly!$C:$C,$C79,ACR_By_Service_Yearly!$E:$E,"FY2026")</f>
        <v>47872</v>
      </c>
      <c r="H79" s="11">
        <f t="shared" si="6"/>
        <v>1.143157341738902</v>
      </c>
      <c r="I79" s="7">
        <f t="shared" si="7"/>
        <v>6.9185363601140137E-2</v>
      </c>
      <c r="J79" s="1" t="str">
        <f t="shared" si="8"/>
        <v>Flat</v>
      </c>
    </row>
    <row r="80" spans="1:10" x14ac:dyDescent="0.25">
      <c r="A80" s="1" t="s">
        <v>144</v>
      </c>
      <c r="B80" s="1" t="s">
        <v>145</v>
      </c>
      <c r="C80" s="1" t="s">
        <v>1065</v>
      </c>
      <c r="D80" s="1" t="s">
        <v>1056</v>
      </c>
      <c r="E80" s="6">
        <f>SUMIFS(ACR_By_Service_Yearly!$F:$F,ACR_By_Service_Yearly!$A:$A,$A80,ACR_By_Service_Yearly!$C:$C,$C80,ACR_By_Service_Yearly!$E:$E,"FY2024")</f>
        <v>122072</v>
      </c>
      <c r="F80" s="6">
        <f>SUMIFS(ACR_By_Service_Yearly!$F:$F,ACR_By_Service_Yearly!$A:$A,$A80,ACR_By_Service_Yearly!$C:$C,$C80,ACR_By_Service_Yearly!$E:$E,"FY2025")</f>
        <v>150393</v>
      </c>
      <c r="G80" s="6">
        <f>SUMIFS(ACR_By_Service_Yearly!$F:$F,ACR_By_Service_Yearly!$A:$A,$A80,ACR_By_Service_Yearly!$C:$C,$C80,ACR_By_Service_Yearly!$E:$E,"FY2026")</f>
        <v>191299</v>
      </c>
      <c r="H80" s="11">
        <f t="shared" si="6"/>
        <v>1.5670997444131332</v>
      </c>
      <c r="I80" s="7">
        <f t="shared" si="7"/>
        <v>0.25183854566518815</v>
      </c>
      <c r="J80" s="1" t="str">
        <f t="shared" si="8"/>
        <v>Moderate Growth</v>
      </c>
    </row>
    <row r="81" spans="1:10" x14ac:dyDescent="0.25">
      <c r="A81" s="1" t="s">
        <v>144</v>
      </c>
      <c r="B81" s="1" t="s">
        <v>145</v>
      </c>
      <c r="C81" s="1" t="s">
        <v>1052</v>
      </c>
      <c r="D81" s="1" t="s">
        <v>1039</v>
      </c>
      <c r="E81" s="6">
        <f>SUMIFS(ACR_By_Service_Yearly!$F:$F,ACR_By_Service_Yearly!$A:$A,$A81,ACR_By_Service_Yearly!$C:$C,$C81,ACR_By_Service_Yearly!$E:$E,"FY2024")</f>
        <v>327927</v>
      </c>
      <c r="F81" s="6">
        <f>SUMIFS(ACR_By_Service_Yearly!$F:$F,ACR_By_Service_Yearly!$A:$A,$A81,ACR_By_Service_Yearly!$C:$C,$C81,ACR_By_Service_Yearly!$E:$E,"FY2025")</f>
        <v>497073</v>
      </c>
      <c r="G81" s="6">
        <f>SUMIFS(ACR_By_Service_Yearly!$F:$F,ACR_By_Service_Yearly!$A:$A,$A81,ACR_By_Service_Yearly!$C:$C,$C81,ACR_By_Service_Yearly!$E:$E,"FY2026")</f>
        <v>741844</v>
      </c>
      <c r="H81" s="11">
        <f t="shared" si="6"/>
        <v>2.2622229947518808</v>
      </c>
      <c r="I81" s="7">
        <f t="shared" si="7"/>
        <v>0.50406881317042163</v>
      </c>
      <c r="J81" s="1" t="str">
        <f t="shared" si="8"/>
        <v>High Growth</v>
      </c>
    </row>
    <row r="82" spans="1:10" x14ac:dyDescent="0.25">
      <c r="A82" s="1" t="s">
        <v>144</v>
      </c>
      <c r="B82" s="1" t="s">
        <v>145</v>
      </c>
      <c r="C82" s="1" t="s">
        <v>1066</v>
      </c>
      <c r="D82" s="1" t="s">
        <v>1062</v>
      </c>
      <c r="E82" s="6">
        <f>SUMIFS(ACR_By_Service_Yearly!$F:$F,ACR_By_Service_Yearly!$A:$A,$A82,ACR_By_Service_Yearly!$C:$C,$C82,ACR_By_Service_Yearly!$E:$E,"FY2024")</f>
        <v>29208</v>
      </c>
      <c r="F82" s="6">
        <f>SUMIFS(ACR_By_Service_Yearly!$F:$F,ACR_By_Service_Yearly!$A:$A,$A82,ACR_By_Service_Yearly!$C:$C,$C82,ACR_By_Service_Yearly!$E:$E,"FY2025")</f>
        <v>75635</v>
      </c>
      <c r="G82" s="6">
        <f>SUMIFS(ACR_By_Service_Yearly!$F:$F,ACR_By_Service_Yearly!$A:$A,$A82,ACR_By_Service_Yearly!$C:$C,$C82,ACR_By_Service_Yearly!$E:$E,"FY2026")</f>
        <v>218179</v>
      </c>
      <c r="H82" s="11">
        <f t="shared" si="6"/>
        <v>7.4698370309504245</v>
      </c>
      <c r="I82" s="7">
        <f t="shared" si="7"/>
        <v>1.7331002599521343</v>
      </c>
      <c r="J82" s="1" t="str">
        <f t="shared" si="8"/>
        <v>High Growth</v>
      </c>
    </row>
    <row r="83" spans="1:10" x14ac:dyDescent="0.25">
      <c r="A83" s="1" t="s">
        <v>144</v>
      </c>
      <c r="B83" s="1" t="s">
        <v>145</v>
      </c>
      <c r="C83" s="1" t="s">
        <v>1055</v>
      </c>
      <c r="D83" s="1" t="s">
        <v>1056</v>
      </c>
      <c r="E83" s="6">
        <f>SUMIFS(ACR_By_Service_Yearly!$F:$F,ACR_By_Service_Yearly!$A:$A,$A83,ACR_By_Service_Yearly!$C:$C,$C83,ACR_By_Service_Yearly!$E:$E,"FY2024")</f>
        <v>200639</v>
      </c>
      <c r="F83" s="6">
        <f>SUMIFS(ACR_By_Service_Yearly!$F:$F,ACR_By_Service_Yearly!$A:$A,$A83,ACR_By_Service_Yearly!$C:$C,$C83,ACR_By_Service_Yearly!$E:$E,"FY2025")</f>
        <v>229504</v>
      </c>
      <c r="G83" s="6">
        <f>SUMIFS(ACR_By_Service_Yearly!$F:$F,ACR_By_Service_Yearly!$A:$A,$A83,ACR_By_Service_Yearly!$C:$C,$C83,ACR_By_Service_Yearly!$E:$E,"FY2026")</f>
        <v>292145</v>
      </c>
      <c r="H83" s="11">
        <f t="shared" si="6"/>
        <v>1.4560728472530267</v>
      </c>
      <c r="I83" s="7">
        <f t="shared" si="7"/>
        <v>0.20667843572885092</v>
      </c>
      <c r="J83" s="1" t="str">
        <f t="shared" si="8"/>
        <v>Moderate Growth</v>
      </c>
    </row>
    <row r="84" spans="1:10" x14ac:dyDescent="0.25">
      <c r="A84" s="1" t="s">
        <v>144</v>
      </c>
      <c r="B84" s="1" t="s">
        <v>145</v>
      </c>
      <c r="C84" s="1" t="s">
        <v>1058</v>
      </c>
      <c r="D84" s="1" t="s">
        <v>1039</v>
      </c>
      <c r="E84" s="6">
        <f>SUMIFS(ACR_By_Service_Yearly!$F:$F,ACR_By_Service_Yearly!$A:$A,$A84,ACR_By_Service_Yearly!$C:$C,$C84,ACR_By_Service_Yearly!$E:$E,"FY2024")</f>
        <v>92714</v>
      </c>
      <c r="F84" s="6">
        <f>SUMIFS(ACR_By_Service_Yearly!$F:$F,ACR_By_Service_Yearly!$A:$A,$A84,ACR_By_Service_Yearly!$C:$C,$C84,ACR_By_Service_Yearly!$E:$E,"FY2025")</f>
        <v>100926</v>
      </c>
      <c r="G84" s="6">
        <f>SUMIFS(ACR_By_Service_Yearly!$F:$F,ACR_By_Service_Yearly!$A:$A,$A84,ACR_By_Service_Yearly!$C:$C,$C84,ACR_By_Service_Yearly!$E:$E,"FY2026")</f>
        <v>113555</v>
      </c>
      <c r="H84" s="11">
        <f t="shared" si="6"/>
        <v>1.2247880578984836</v>
      </c>
      <c r="I84" s="7">
        <f t="shared" si="7"/>
        <v>0.10670143123540043</v>
      </c>
      <c r="J84" s="1" t="str">
        <f t="shared" si="8"/>
        <v>Moderate Growth</v>
      </c>
    </row>
    <row r="85" spans="1:10" x14ac:dyDescent="0.25">
      <c r="A85" s="1" t="s">
        <v>144</v>
      </c>
      <c r="B85" s="1" t="s">
        <v>145</v>
      </c>
      <c r="C85" s="1" t="s">
        <v>1053</v>
      </c>
      <c r="D85" s="1" t="s">
        <v>1054</v>
      </c>
      <c r="E85" s="6">
        <f>SUMIFS(ACR_By_Service_Yearly!$F:$F,ACR_By_Service_Yearly!$A:$A,$A85,ACR_By_Service_Yearly!$C:$C,$C85,ACR_By_Service_Yearly!$E:$E,"FY2024")</f>
        <v>114251</v>
      </c>
      <c r="F85" s="6">
        <f>SUMIFS(ACR_By_Service_Yearly!$F:$F,ACR_By_Service_Yearly!$A:$A,$A85,ACR_By_Service_Yearly!$C:$C,$C85,ACR_By_Service_Yearly!$E:$E,"FY2025")</f>
        <v>120531</v>
      </c>
      <c r="G85" s="6">
        <f>SUMIFS(ACR_By_Service_Yearly!$F:$F,ACR_By_Service_Yearly!$A:$A,$A85,ACR_By_Service_Yearly!$C:$C,$C85,ACR_By_Service_Yearly!$E:$E,"FY2026")</f>
        <v>115077</v>
      </c>
      <c r="H85" s="11">
        <f t="shared" si="6"/>
        <v>1.0072296960201661</v>
      </c>
      <c r="I85" s="7">
        <f t="shared" si="7"/>
        <v>3.608337958671104E-3</v>
      </c>
      <c r="J85" s="1" t="str">
        <f t="shared" si="8"/>
        <v>Flat</v>
      </c>
    </row>
    <row r="86" spans="1:10" x14ac:dyDescent="0.25">
      <c r="A86" s="1" t="s">
        <v>144</v>
      </c>
      <c r="B86" s="1" t="s">
        <v>145</v>
      </c>
      <c r="C86" s="1" t="s">
        <v>1064</v>
      </c>
      <c r="D86" s="1" t="s">
        <v>1062</v>
      </c>
      <c r="E86" s="6">
        <f>SUMIFS(ACR_By_Service_Yearly!$F:$F,ACR_By_Service_Yearly!$A:$A,$A86,ACR_By_Service_Yearly!$C:$C,$C86,ACR_By_Service_Yearly!$E:$E,"FY2024")</f>
        <v>49601</v>
      </c>
      <c r="F86" s="6">
        <f>SUMIFS(ACR_By_Service_Yearly!$F:$F,ACR_By_Service_Yearly!$A:$A,$A86,ACR_By_Service_Yearly!$C:$C,$C86,ACR_By_Service_Yearly!$E:$E,"FY2025")</f>
        <v>148559</v>
      </c>
      <c r="G86" s="6">
        <f>SUMIFS(ACR_By_Service_Yearly!$F:$F,ACR_By_Service_Yearly!$A:$A,$A86,ACR_By_Service_Yearly!$C:$C,$C86,ACR_By_Service_Yearly!$E:$E,"FY2026")</f>
        <v>290694</v>
      </c>
      <c r="H86" s="11">
        <f t="shared" si="6"/>
        <v>5.8606479708070403</v>
      </c>
      <c r="I86" s="7">
        <f t="shared" si="7"/>
        <v>1.4208775208190603</v>
      </c>
      <c r="J86" s="1" t="str">
        <f t="shared" si="8"/>
        <v>High Growth</v>
      </c>
    </row>
    <row r="87" spans="1:10" x14ac:dyDescent="0.25">
      <c r="A87" s="1" t="s">
        <v>144</v>
      </c>
      <c r="B87" s="1" t="s">
        <v>145</v>
      </c>
      <c r="C87" s="1" t="s">
        <v>1060</v>
      </c>
      <c r="D87" s="1" t="s">
        <v>1056</v>
      </c>
      <c r="E87" s="6">
        <f>SUMIFS(ACR_By_Service_Yearly!$F:$F,ACR_By_Service_Yearly!$A:$A,$A87,ACR_By_Service_Yearly!$C:$C,$C87,ACR_By_Service_Yearly!$E:$E,"FY2024")</f>
        <v>74045</v>
      </c>
      <c r="F87" s="6">
        <f>SUMIFS(ACR_By_Service_Yearly!$F:$F,ACR_By_Service_Yearly!$A:$A,$A87,ACR_By_Service_Yearly!$C:$C,$C87,ACR_By_Service_Yearly!$E:$E,"FY2025")</f>
        <v>71328</v>
      </c>
      <c r="G87" s="6">
        <f>SUMIFS(ACR_By_Service_Yearly!$F:$F,ACR_By_Service_Yearly!$A:$A,$A87,ACR_By_Service_Yearly!$C:$C,$C87,ACR_By_Service_Yearly!$E:$E,"FY2026")</f>
        <v>83099</v>
      </c>
      <c r="H87" s="11">
        <f t="shared" si="6"/>
        <v>1.1222769937200352</v>
      </c>
      <c r="I87" s="7">
        <f t="shared" si="7"/>
        <v>5.9375756622755294E-2</v>
      </c>
      <c r="J87" s="1" t="str">
        <f t="shared" si="8"/>
        <v>Flat</v>
      </c>
    </row>
    <row r="88" spans="1:10" x14ac:dyDescent="0.25">
      <c r="A88" s="1" t="s">
        <v>144</v>
      </c>
      <c r="B88" s="1" t="s">
        <v>145</v>
      </c>
      <c r="C88" s="1" t="s">
        <v>1061</v>
      </c>
      <c r="D88" s="1" t="s">
        <v>1062</v>
      </c>
      <c r="E88" s="6">
        <f>SUMIFS(ACR_By_Service_Yearly!$F:$F,ACR_By_Service_Yearly!$A:$A,$A88,ACR_By_Service_Yearly!$C:$C,$C88,ACR_By_Service_Yearly!$E:$E,"FY2024")</f>
        <v>64634</v>
      </c>
      <c r="F88" s="6">
        <f>SUMIFS(ACR_By_Service_Yearly!$F:$F,ACR_By_Service_Yearly!$A:$A,$A88,ACR_By_Service_Yearly!$C:$C,$C88,ACR_By_Service_Yearly!$E:$E,"FY2025")</f>
        <v>146310</v>
      </c>
      <c r="G88" s="6">
        <f>SUMIFS(ACR_By_Service_Yearly!$F:$F,ACR_By_Service_Yearly!$A:$A,$A88,ACR_By_Service_Yearly!$C:$C,$C88,ACR_By_Service_Yearly!$E:$E,"FY2026")</f>
        <v>298898</v>
      </c>
      <c r="H88" s="11">
        <f t="shared" si="6"/>
        <v>4.6244700931398333</v>
      </c>
      <c r="I88" s="7">
        <f t="shared" si="7"/>
        <v>1.1504581123890403</v>
      </c>
      <c r="J88" s="1" t="str">
        <f t="shared" si="8"/>
        <v>High Growth</v>
      </c>
    </row>
    <row r="89" spans="1:10" x14ac:dyDescent="0.25">
      <c r="A89" s="1" t="s">
        <v>148</v>
      </c>
      <c r="B89" s="1" t="s">
        <v>149</v>
      </c>
      <c r="C89" s="1" t="s">
        <v>1038</v>
      </c>
      <c r="D89" s="1" t="s">
        <v>1039</v>
      </c>
      <c r="E89" s="6">
        <f>SUMIFS(ACR_By_Service_Yearly!$F:$F,ACR_By_Service_Yearly!$A:$A,$A89,ACR_By_Service_Yearly!$C:$C,$C89,ACR_By_Service_Yearly!$E:$E,"FY2024")</f>
        <v>529659</v>
      </c>
      <c r="F89" s="6">
        <f>SUMIFS(ACR_By_Service_Yearly!$F:$F,ACR_By_Service_Yearly!$A:$A,$A89,ACR_By_Service_Yearly!$C:$C,$C89,ACR_By_Service_Yearly!$E:$E,"FY2025")</f>
        <v>464283</v>
      </c>
      <c r="G89" s="6">
        <f>SUMIFS(ACR_By_Service_Yearly!$F:$F,ACR_By_Service_Yearly!$A:$A,$A89,ACR_By_Service_Yearly!$C:$C,$C89,ACR_By_Service_Yearly!$E:$E,"FY2026")</f>
        <v>392476</v>
      </c>
      <c r="H89" s="11">
        <f t="shared" si="6"/>
        <v>0.74099750971851697</v>
      </c>
      <c r="I89" s="7">
        <f t="shared" si="7"/>
        <v>-0.13918787780461817</v>
      </c>
      <c r="J89" s="1" t="str">
        <f t="shared" si="8"/>
        <v>Contracting</v>
      </c>
    </row>
    <row r="90" spans="1:10" x14ac:dyDescent="0.25">
      <c r="A90" s="1" t="s">
        <v>148</v>
      </c>
      <c r="B90" s="1" t="s">
        <v>149</v>
      </c>
      <c r="C90" s="1" t="s">
        <v>1043</v>
      </c>
      <c r="D90" s="1" t="s">
        <v>1044</v>
      </c>
      <c r="E90" s="6">
        <f>SUMIFS(ACR_By_Service_Yearly!$F:$F,ACR_By_Service_Yearly!$A:$A,$A90,ACR_By_Service_Yearly!$C:$C,$C90,ACR_By_Service_Yearly!$E:$E,"FY2024")</f>
        <v>214571</v>
      </c>
      <c r="F90" s="6">
        <f>SUMIFS(ACR_By_Service_Yearly!$F:$F,ACR_By_Service_Yearly!$A:$A,$A90,ACR_By_Service_Yearly!$C:$C,$C90,ACR_By_Service_Yearly!$E:$E,"FY2025")</f>
        <v>201855</v>
      </c>
      <c r="G90" s="6">
        <f>SUMIFS(ACR_By_Service_Yearly!$F:$F,ACR_By_Service_Yearly!$A:$A,$A90,ACR_By_Service_Yearly!$C:$C,$C90,ACR_By_Service_Yearly!$E:$E,"FY2026")</f>
        <v>189643</v>
      </c>
      <c r="H90" s="11">
        <f t="shared" si="6"/>
        <v>0.8838240023115892</v>
      </c>
      <c r="I90" s="7">
        <f t="shared" si="7"/>
        <v>-5.9880857384773223E-2</v>
      </c>
      <c r="J90" s="1" t="str">
        <f t="shared" si="8"/>
        <v>Contracting</v>
      </c>
    </row>
    <row r="91" spans="1:10" x14ac:dyDescent="0.25">
      <c r="A91" s="1" t="s">
        <v>148</v>
      </c>
      <c r="B91" s="1" t="s">
        <v>149</v>
      </c>
      <c r="C91" s="1" t="s">
        <v>1045</v>
      </c>
      <c r="D91" s="1" t="s">
        <v>1046</v>
      </c>
      <c r="E91" s="6">
        <f>SUMIFS(ACR_By_Service_Yearly!$F:$F,ACR_By_Service_Yearly!$A:$A,$A91,ACR_By_Service_Yearly!$C:$C,$C91,ACR_By_Service_Yearly!$E:$E,"FY2024")</f>
        <v>37272</v>
      </c>
      <c r="F91" s="6">
        <f>SUMIFS(ACR_By_Service_Yearly!$F:$F,ACR_By_Service_Yearly!$A:$A,$A91,ACR_By_Service_Yearly!$C:$C,$C91,ACR_By_Service_Yearly!$E:$E,"FY2025")</f>
        <v>36015</v>
      </c>
      <c r="G91" s="6">
        <f>SUMIFS(ACR_By_Service_Yearly!$F:$F,ACR_By_Service_Yearly!$A:$A,$A91,ACR_By_Service_Yearly!$C:$C,$C91,ACR_By_Service_Yearly!$E:$E,"FY2026")</f>
        <v>28911</v>
      </c>
      <c r="H91" s="11">
        <f t="shared" si="6"/>
        <v>0.7756761107533805</v>
      </c>
      <c r="I91" s="7">
        <f t="shared" si="7"/>
        <v>-0.11927523552849928</v>
      </c>
      <c r="J91" s="1" t="str">
        <f t="shared" si="8"/>
        <v>Contracting</v>
      </c>
    </row>
    <row r="92" spans="1:10" x14ac:dyDescent="0.25">
      <c r="A92" s="1" t="s">
        <v>148</v>
      </c>
      <c r="B92" s="1" t="s">
        <v>149</v>
      </c>
      <c r="C92" s="1" t="s">
        <v>1047</v>
      </c>
      <c r="D92" s="1" t="s">
        <v>1048</v>
      </c>
      <c r="E92" s="6">
        <f>SUMIFS(ACR_By_Service_Yearly!$F:$F,ACR_By_Service_Yearly!$A:$A,$A92,ACR_By_Service_Yearly!$C:$C,$C92,ACR_By_Service_Yearly!$E:$E,"FY2024")</f>
        <v>60845</v>
      </c>
      <c r="F92" s="6">
        <f>SUMIFS(ACR_By_Service_Yearly!$F:$F,ACR_By_Service_Yearly!$A:$A,$A92,ACR_By_Service_Yearly!$C:$C,$C92,ACR_By_Service_Yearly!$E:$E,"FY2025")</f>
        <v>63153</v>
      </c>
      <c r="G92" s="6">
        <f>SUMIFS(ACR_By_Service_Yearly!$F:$F,ACR_By_Service_Yearly!$A:$A,$A92,ACR_By_Service_Yearly!$C:$C,$C92,ACR_By_Service_Yearly!$E:$E,"FY2026")</f>
        <v>58507</v>
      </c>
      <c r="H92" s="11">
        <f t="shared" si="6"/>
        <v>0.96157449256307015</v>
      </c>
      <c r="I92" s="7">
        <f t="shared" si="7"/>
        <v>-1.9400952191432008E-2</v>
      </c>
      <c r="J92" s="1" t="str">
        <f t="shared" si="8"/>
        <v>Flat</v>
      </c>
    </row>
    <row r="93" spans="1:10" x14ac:dyDescent="0.25">
      <c r="A93" s="1" t="s">
        <v>148</v>
      </c>
      <c r="B93" s="1" t="s">
        <v>149</v>
      </c>
      <c r="C93" s="1" t="s">
        <v>1049</v>
      </c>
      <c r="D93" s="1" t="s">
        <v>1048</v>
      </c>
      <c r="E93" s="6">
        <f>SUMIFS(ACR_By_Service_Yearly!$F:$F,ACR_By_Service_Yearly!$A:$A,$A93,ACR_By_Service_Yearly!$C:$C,$C93,ACR_By_Service_Yearly!$E:$E,"FY2024")</f>
        <v>57720</v>
      </c>
      <c r="F93" s="6">
        <f>SUMIFS(ACR_By_Service_Yearly!$F:$F,ACR_By_Service_Yearly!$A:$A,$A93,ACR_By_Service_Yearly!$C:$C,$C93,ACR_By_Service_Yearly!$E:$E,"FY2025")</f>
        <v>53410</v>
      </c>
      <c r="G93" s="6">
        <f>SUMIFS(ACR_By_Service_Yearly!$F:$F,ACR_By_Service_Yearly!$A:$A,$A93,ACR_By_Service_Yearly!$C:$C,$C93,ACR_By_Service_Yearly!$E:$E,"FY2026")</f>
        <v>46478</v>
      </c>
      <c r="H93" s="11">
        <f t="shared" si="6"/>
        <v>0.80523215523215519</v>
      </c>
      <c r="I93" s="7">
        <f t="shared" si="7"/>
        <v>-0.10265271202719117</v>
      </c>
      <c r="J93" s="1" t="str">
        <f t="shared" si="8"/>
        <v>Contracting</v>
      </c>
    </row>
    <row r="94" spans="1:10" x14ac:dyDescent="0.25">
      <c r="A94" s="1" t="s">
        <v>148</v>
      </c>
      <c r="B94" s="1" t="s">
        <v>149</v>
      </c>
      <c r="C94" s="1" t="s">
        <v>1053</v>
      </c>
      <c r="D94" s="1" t="s">
        <v>1054</v>
      </c>
      <c r="E94" s="6">
        <f>SUMIFS(ACR_By_Service_Yearly!$F:$F,ACR_By_Service_Yearly!$A:$A,$A94,ACR_By_Service_Yearly!$C:$C,$C94,ACR_By_Service_Yearly!$E:$E,"FY2024")</f>
        <v>100079</v>
      </c>
      <c r="F94" s="6">
        <f>SUMIFS(ACR_By_Service_Yearly!$F:$F,ACR_By_Service_Yearly!$A:$A,$A94,ACR_By_Service_Yearly!$C:$C,$C94,ACR_By_Service_Yearly!$E:$E,"FY2025")</f>
        <v>93451</v>
      </c>
      <c r="G94" s="6">
        <f>SUMIFS(ACR_By_Service_Yearly!$F:$F,ACR_By_Service_Yearly!$A:$A,$A94,ACR_By_Service_Yearly!$C:$C,$C94,ACR_By_Service_Yearly!$E:$E,"FY2026")</f>
        <v>94982</v>
      </c>
      <c r="H94" s="11">
        <f t="shared" si="6"/>
        <v>0.94907023451473338</v>
      </c>
      <c r="I94" s="7">
        <f t="shared" si="7"/>
        <v>-2.5797641906603941E-2</v>
      </c>
      <c r="J94" s="1" t="str">
        <f t="shared" si="8"/>
        <v>Contracting</v>
      </c>
    </row>
    <row r="95" spans="1:10" x14ac:dyDescent="0.25">
      <c r="A95" s="1" t="s">
        <v>148</v>
      </c>
      <c r="B95" s="1" t="s">
        <v>149</v>
      </c>
      <c r="C95" s="1" t="s">
        <v>1052</v>
      </c>
      <c r="D95" s="1" t="s">
        <v>1039</v>
      </c>
      <c r="E95" s="6">
        <f>SUMIFS(ACR_By_Service_Yearly!$F:$F,ACR_By_Service_Yearly!$A:$A,$A95,ACR_By_Service_Yearly!$C:$C,$C95,ACR_By_Service_Yearly!$E:$E,"FY2024")</f>
        <v>143534</v>
      </c>
      <c r="F95" s="6">
        <f>SUMIFS(ACR_By_Service_Yearly!$F:$F,ACR_By_Service_Yearly!$A:$A,$A95,ACR_By_Service_Yearly!$C:$C,$C95,ACR_By_Service_Yearly!$E:$E,"FY2025")</f>
        <v>191165</v>
      </c>
      <c r="G95" s="6">
        <f>SUMIFS(ACR_By_Service_Yearly!$F:$F,ACR_By_Service_Yearly!$A:$A,$A95,ACR_By_Service_Yearly!$C:$C,$C95,ACR_By_Service_Yearly!$E:$E,"FY2026")</f>
        <v>299726</v>
      </c>
      <c r="H95" s="11">
        <f t="shared" si="6"/>
        <v>2.0881881644767093</v>
      </c>
      <c r="I95" s="7">
        <f t="shared" si="7"/>
        <v>0.4450564571935276</v>
      </c>
      <c r="J95" s="1" t="str">
        <f t="shared" si="8"/>
        <v>High Growth</v>
      </c>
    </row>
    <row r="96" spans="1:10" x14ac:dyDescent="0.25">
      <c r="A96" s="1" t="s">
        <v>148</v>
      </c>
      <c r="B96" s="1" t="s">
        <v>149</v>
      </c>
      <c r="C96" s="1" t="s">
        <v>1055</v>
      </c>
      <c r="D96" s="1" t="s">
        <v>1056</v>
      </c>
      <c r="E96" s="6">
        <f>SUMIFS(ACR_By_Service_Yearly!$F:$F,ACR_By_Service_Yearly!$A:$A,$A96,ACR_By_Service_Yearly!$C:$C,$C96,ACR_By_Service_Yearly!$E:$E,"FY2024")</f>
        <v>183903</v>
      </c>
      <c r="F96" s="6">
        <f>SUMIFS(ACR_By_Service_Yearly!$F:$F,ACR_By_Service_Yearly!$A:$A,$A96,ACR_By_Service_Yearly!$C:$C,$C96,ACR_By_Service_Yearly!$E:$E,"FY2025")</f>
        <v>179310</v>
      </c>
      <c r="G96" s="6">
        <f>SUMIFS(ACR_By_Service_Yearly!$F:$F,ACR_By_Service_Yearly!$A:$A,$A96,ACR_By_Service_Yearly!$C:$C,$C96,ACR_By_Service_Yearly!$E:$E,"FY2026")</f>
        <v>178950</v>
      </c>
      <c r="H96" s="11">
        <f t="shared" si="6"/>
        <v>0.9730673235346895</v>
      </c>
      <c r="I96" s="7">
        <f t="shared" si="7"/>
        <v>-1.355825132211208E-2</v>
      </c>
      <c r="J96" s="1" t="str">
        <f t="shared" si="8"/>
        <v>Flat</v>
      </c>
    </row>
    <row r="97" spans="1:10" x14ac:dyDescent="0.25">
      <c r="A97" s="1" t="s">
        <v>148</v>
      </c>
      <c r="B97" s="1" t="s">
        <v>149</v>
      </c>
      <c r="C97" s="1" t="s">
        <v>1060</v>
      </c>
      <c r="D97" s="1" t="s">
        <v>1056</v>
      </c>
      <c r="E97" s="6">
        <f>SUMIFS(ACR_By_Service_Yearly!$F:$F,ACR_By_Service_Yearly!$A:$A,$A97,ACR_By_Service_Yearly!$C:$C,$C97,ACR_By_Service_Yearly!$E:$E,"FY2024")</f>
        <v>54483</v>
      </c>
      <c r="F97" s="6">
        <f>SUMIFS(ACR_By_Service_Yearly!$F:$F,ACR_By_Service_Yearly!$A:$A,$A97,ACR_By_Service_Yearly!$C:$C,$C97,ACR_By_Service_Yearly!$E:$E,"FY2025")</f>
        <v>45832</v>
      </c>
      <c r="G97" s="6">
        <f>SUMIFS(ACR_By_Service_Yearly!$F:$F,ACR_By_Service_Yearly!$A:$A,$A97,ACR_By_Service_Yearly!$C:$C,$C97,ACR_By_Service_Yearly!$E:$E,"FY2026")</f>
        <v>36927</v>
      </c>
      <c r="H97" s="11">
        <f t="shared" si="6"/>
        <v>0.67777104784978803</v>
      </c>
      <c r="I97" s="7">
        <f t="shared" si="7"/>
        <v>-0.17673148496387403</v>
      </c>
      <c r="J97" s="1" t="str">
        <f t="shared" si="8"/>
        <v>Contracting</v>
      </c>
    </row>
    <row r="98" spans="1:10" x14ac:dyDescent="0.25">
      <c r="A98" s="1" t="s">
        <v>148</v>
      </c>
      <c r="B98" s="1" t="s">
        <v>149</v>
      </c>
      <c r="C98" s="1" t="s">
        <v>1057</v>
      </c>
      <c r="D98" s="1" t="s">
        <v>1048</v>
      </c>
      <c r="E98" s="6">
        <f>SUMIFS(ACR_By_Service_Yearly!$F:$F,ACR_By_Service_Yearly!$A:$A,$A98,ACR_By_Service_Yearly!$C:$C,$C98,ACR_By_Service_Yearly!$E:$E,"FY2024")</f>
        <v>97645</v>
      </c>
      <c r="F98" s="6">
        <f>SUMIFS(ACR_By_Service_Yearly!$F:$F,ACR_By_Service_Yearly!$A:$A,$A98,ACR_By_Service_Yearly!$C:$C,$C98,ACR_By_Service_Yearly!$E:$E,"FY2025")</f>
        <v>75640</v>
      </c>
      <c r="G98" s="6">
        <f>SUMIFS(ACR_By_Service_Yearly!$F:$F,ACR_By_Service_Yearly!$A:$A,$A98,ACR_By_Service_Yearly!$C:$C,$C98,ACR_By_Service_Yearly!$E:$E,"FY2026")</f>
        <v>61962</v>
      </c>
      <c r="H98" s="11">
        <f t="shared" ref="H98:H99" si="9">G98/E98</f>
        <v>0.63456398177069995</v>
      </c>
      <c r="I98" s="7">
        <f t="shared" si="7"/>
        <v>-0.20340475662310165</v>
      </c>
      <c r="J98" s="1" t="str">
        <f t="shared" ref="J98:J99" si="10">IF(I98&gt;=0.4,"High Growth",IF(I98&gt;=0.1,"Moderate Growth",IF(I98&gt;=-0.02,"Flat","Contracting")))</f>
        <v>Contracting</v>
      </c>
    </row>
    <row r="99" spans="1:10" x14ac:dyDescent="0.25">
      <c r="A99" s="1" t="s">
        <v>148</v>
      </c>
      <c r="B99" s="1" t="s">
        <v>149</v>
      </c>
      <c r="C99" s="1" t="s">
        <v>1050</v>
      </c>
      <c r="D99" s="1" t="s">
        <v>1051</v>
      </c>
      <c r="E99" s="6">
        <f>SUMIFS(ACR_By_Service_Yearly!$F:$F,ACR_By_Service_Yearly!$A:$A,$A99,ACR_By_Service_Yearly!$C:$C,$C99,ACR_By_Service_Yearly!$E:$E,"FY2024")</f>
        <v>79421</v>
      </c>
      <c r="F99" s="6">
        <f>SUMIFS(ACR_By_Service_Yearly!$F:$F,ACR_By_Service_Yearly!$A:$A,$A99,ACR_By_Service_Yearly!$C:$C,$C99,ACR_By_Service_Yearly!$E:$E,"FY2025")</f>
        <v>89719</v>
      </c>
      <c r="G99" s="6">
        <f>SUMIFS(ACR_By_Service_Yearly!$F:$F,ACR_By_Service_Yearly!$A:$A,$A99,ACR_By_Service_Yearly!$C:$C,$C99,ACR_By_Service_Yearly!$E:$E,"FY2026")</f>
        <v>88158</v>
      </c>
      <c r="H99" s="11">
        <f t="shared" si="9"/>
        <v>1.1100086878785207</v>
      </c>
      <c r="I99" s="7">
        <f t="shared" si="7"/>
        <v>5.3569498361888179E-2</v>
      </c>
      <c r="J99" s="1" t="str">
        <f t="shared" si="10"/>
        <v>Flat</v>
      </c>
    </row>
  </sheetData>
  <conditionalFormatting sqref="H2:I99">
    <cfRule type="cellIs" dxfId="1" priority="1" operator="greaterThan">
      <formula>1</formula>
    </cfRule>
    <cfRule type="cellIs" dxfId="0" priority="2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E0301-A32D-4542-B296-E240C465E19A}">
  <dimension ref="A1:F93"/>
  <sheetViews>
    <sheetView workbookViewId="0">
      <pane ySplit="1" topLeftCell="A2" activePane="bottomLeft" state="frozen"/>
      <selection pane="bottomLeft" activeCell="C36" sqref="C36"/>
    </sheetView>
  </sheetViews>
  <sheetFormatPr defaultRowHeight="15" x14ac:dyDescent="0.25"/>
  <cols>
    <col min="1" max="1" width="22.7109375" customWidth="1"/>
    <col min="2" max="2" width="32.7109375" customWidth="1"/>
    <col min="3" max="3" width="30.7109375" customWidth="1"/>
    <col min="4" max="4" width="20.7109375" customWidth="1"/>
    <col min="5" max="5" width="16.7109375" customWidth="1"/>
    <col min="6" max="6" width="36.7109375" customWidth="1"/>
  </cols>
  <sheetData>
    <row r="1" spans="1:6" x14ac:dyDescent="0.25">
      <c r="A1" s="3" t="s">
        <v>1079</v>
      </c>
      <c r="B1" s="3" t="s">
        <v>1080</v>
      </c>
      <c r="C1" s="3" t="s">
        <v>1081</v>
      </c>
      <c r="D1" s="3" t="s">
        <v>1082</v>
      </c>
      <c r="E1" s="3" t="s">
        <v>1083</v>
      </c>
      <c r="F1" s="3" t="s">
        <v>1084</v>
      </c>
    </row>
    <row r="2" spans="1:6" x14ac:dyDescent="0.25">
      <c r="A2" s="1" t="s">
        <v>1085</v>
      </c>
      <c r="B2" s="1" t="s">
        <v>117</v>
      </c>
      <c r="C2" s="1" t="s">
        <v>118</v>
      </c>
      <c r="D2" s="1" t="s">
        <v>119</v>
      </c>
      <c r="E2" s="1" t="s">
        <v>120</v>
      </c>
      <c r="F2" s="1" t="s">
        <v>121</v>
      </c>
    </row>
    <row r="3" spans="1:6" x14ac:dyDescent="0.25">
      <c r="A3" s="1" t="s">
        <v>1085</v>
      </c>
      <c r="B3" s="1" t="s">
        <v>122</v>
      </c>
      <c r="C3" s="1" t="s">
        <v>123</v>
      </c>
      <c r="D3" s="1" t="s">
        <v>124</v>
      </c>
      <c r="E3" s="1" t="s">
        <v>125</v>
      </c>
      <c r="F3" s="1" t="s">
        <v>126</v>
      </c>
    </row>
    <row r="4" spans="1:6" x14ac:dyDescent="0.25">
      <c r="A4" s="1" t="s">
        <v>1085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126</v>
      </c>
    </row>
    <row r="5" spans="1:6" x14ac:dyDescent="0.25">
      <c r="A5" s="1" t="s">
        <v>1085</v>
      </c>
      <c r="B5" s="1" t="s">
        <v>131</v>
      </c>
      <c r="C5" s="1" t="s">
        <v>132</v>
      </c>
      <c r="D5" s="1" t="s">
        <v>133</v>
      </c>
      <c r="E5" s="1" t="s">
        <v>134</v>
      </c>
      <c r="F5" s="1" t="s">
        <v>121</v>
      </c>
    </row>
    <row r="6" spans="1:6" x14ac:dyDescent="0.25">
      <c r="A6" s="1" t="s">
        <v>1085</v>
      </c>
      <c r="B6" s="1" t="s">
        <v>135</v>
      </c>
      <c r="C6" s="1" t="s">
        <v>136</v>
      </c>
      <c r="D6" s="1" t="s">
        <v>137</v>
      </c>
      <c r="E6" s="1" t="s">
        <v>138</v>
      </c>
      <c r="F6" s="1" t="s">
        <v>126</v>
      </c>
    </row>
    <row r="7" spans="1:6" x14ac:dyDescent="0.25">
      <c r="A7" s="1" t="s">
        <v>1085</v>
      </c>
      <c r="B7" s="1" t="s">
        <v>139</v>
      </c>
      <c r="C7" s="1" t="s">
        <v>140</v>
      </c>
      <c r="D7" s="1" t="s">
        <v>141</v>
      </c>
      <c r="E7" s="1" t="s">
        <v>142</v>
      </c>
      <c r="F7" s="1" t="s">
        <v>143</v>
      </c>
    </row>
    <row r="8" spans="1:6" x14ac:dyDescent="0.25">
      <c r="A8" s="1" t="s">
        <v>1085</v>
      </c>
      <c r="B8" s="1" t="s">
        <v>144</v>
      </c>
      <c r="C8" s="1" t="s">
        <v>145</v>
      </c>
      <c r="D8" s="1" t="s">
        <v>146</v>
      </c>
      <c r="E8" s="1" t="s">
        <v>147</v>
      </c>
      <c r="F8" s="1" t="s">
        <v>126</v>
      </c>
    </row>
    <row r="9" spans="1:6" x14ac:dyDescent="0.25">
      <c r="A9" s="1" t="s">
        <v>1085</v>
      </c>
      <c r="B9" s="1" t="s">
        <v>148</v>
      </c>
      <c r="C9" s="1" t="s">
        <v>149</v>
      </c>
      <c r="D9" s="1" t="s">
        <v>150</v>
      </c>
      <c r="E9" s="1" t="s">
        <v>151</v>
      </c>
      <c r="F9" s="1" t="s">
        <v>152</v>
      </c>
    </row>
    <row r="10" spans="1:6" x14ac:dyDescent="0.25">
      <c r="A10" s="1" t="s">
        <v>1086</v>
      </c>
      <c r="B10" s="1" t="s">
        <v>1087</v>
      </c>
      <c r="C10" s="1" t="s">
        <v>120</v>
      </c>
      <c r="D10" s="1" t="s">
        <v>174</v>
      </c>
      <c r="E10" s="1" t="s">
        <v>1088</v>
      </c>
      <c r="F10" s="1" t="s">
        <v>1089</v>
      </c>
    </row>
    <row r="11" spans="1:6" x14ac:dyDescent="0.25">
      <c r="A11" s="1" t="s">
        <v>1086</v>
      </c>
      <c r="B11" s="1" t="s">
        <v>1090</v>
      </c>
      <c r="C11" s="1" t="s">
        <v>120</v>
      </c>
      <c r="D11" s="1" t="s">
        <v>191</v>
      </c>
      <c r="E11" s="1" t="s">
        <v>1088</v>
      </c>
      <c r="F11" s="1" t="s">
        <v>1089</v>
      </c>
    </row>
    <row r="12" spans="1:6" x14ac:dyDescent="0.25">
      <c r="A12" s="1" t="s">
        <v>1086</v>
      </c>
      <c r="B12" s="1" t="s">
        <v>1091</v>
      </c>
      <c r="C12" s="1" t="s">
        <v>120</v>
      </c>
      <c r="D12" s="1" t="s">
        <v>207</v>
      </c>
      <c r="E12" s="1" t="s">
        <v>1088</v>
      </c>
      <c r="F12" s="1" t="s">
        <v>1089</v>
      </c>
    </row>
    <row r="13" spans="1:6" x14ac:dyDescent="0.25">
      <c r="A13" s="1" t="s">
        <v>1086</v>
      </c>
      <c r="B13" s="1" t="s">
        <v>1092</v>
      </c>
      <c r="C13" s="1" t="s">
        <v>125</v>
      </c>
      <c r="D13" s="1" t="s">
        <v>174</v>
      </c>
      <c r="E13" s="1" t="s">
        <v>1088</v>
      </c>
      <c r="F13" s="1" t="s">
        <v>1089</v>
      </c>
    </row>
    <row r="14" spans="1:6" x14ac:dyDescent="0.25">
      <c r="A14" s="1" t="s">
        <v>1086</v>
      </c>
      <c r="B14" s="1" t="s">
        <v>1093</v>
      </c>
      <c r="C14" s="1" t="s">
        <v>125</v>
      </c>
      <c r="D14" s="1" t="s">
        <v>191</v>
      </c>
      <c r="E14" s="1" t="s">
        <v>1088</v>
      </c>
      <c r="F14" s="1" t="s">
        <v>1089</v>
      </c>
    </row>
    <row r="15" spans="1:6" x14ac:dyDescent="0.25">
      <c r="A15" s="1" t="s">
        <v>1086</v>
      </c>
      <c r="B15" s="1" t="s">
        <v>1094</v>
      </c>
      <c r="C15" s="1" t="s">
        <v>125</v>
      </c>
      <c r="D15" s="1" t="s">
        <v>207</v>
      </c>
      <c r="E15" s="1" t="s">
        <v>1088</v>
      </c>
      <c r="F15" s="1" t="s">
        <v>1089</v>
      </c>
    </row>
    <row r="16" spans="1:6" x14ac:dyDescent="0.25">
      <c r="A16" s="1" t="s">
        <v>1086</v>
      </c>
      <c r="B16" s="1" t="s">
        <v>1095</v>
      </c>
      <c r="C16" s="1" t="s">
        <v>130</v>
      </c>
      <c r="D16" s="1" t="s">
        <v>174</v>
      </c>
      <c r="E16" s="1" t="s">
        <v>1088</v>
      </c>
      <c r="F16" s="1" t="s">
        <v>1089</v>
      </c>
    </row>
    <row r="17" spans="1:6" x14ac:dyDescent="0.25">
      <c r="A17" s="1" t="s">
        <v>1086</v>
      </c>
      <c r="B17" s="1" t="s">
        <v>1096</v>
      </c>
      <c r="C17" s="1" t="s">
        <v>130</v>
      </c>
      <c r="D17" s="1" t="s">
        <v>191</v>
      </c>
      <c r="E17" s="1" t="s">
        <v>1088</v>
      </c>
      <c r="F17" s="1" t="s">
        <v>1089</v>
      </c>
    </row>
    <row r="18" spans="1:6" x14ac:dyDescent="0.25">
      <c r="A18" s="1" t="s">
        <v>1086</v>
      </c>
      <c r="B18" s="1" t="s">
        <v>1097</v>
      </c>
      <c r="C18" s="1" t="s">
        <v>130</v>
      </c>
      <c r="D18" s="1" t="s">
        <v>207</v>
      </c>
      <c r="E18" s="1" t="s">
        <v>1088</v>
      </c>
      <c r="F18" s="1" t="s">
        <v>1089</v>
      </c>
    </row>
    <row r="19" spans="1:6" x14ac:dyDescent="0.25">
      <c r="A19" s="1" t="s">
        <v>1086</v>
      </c>
      <c r="B19" s="1" t="s">
        <v>1098</v>
      </c>
      <c r="C19" s="1" t="s">
        <v>451</v>
      </c>
      <c r="D19" s="1" t="s">
        <v>174</v>
      </c>
      <c r="E19" s="1" t="s">
        <v>1088</v>
      </c>
      <c r="F19" s="1" t="s">
        <v>1089</v>
      </c>
    </row>
    <row r="20" spans="1:6" x14ac:dyDescent="0.25">
      <c r="A20" s="1" t="s">
        <v>1086</v>
      </c>
      <c r="B20" s="1" t="s">
        <v>1099</v>
      </c>
      <c r="C20" s="1" t="s">
        <v>451</v>
      </c>
      <c r="D20" s="1" t="s">
        <v>191</v>
      </c>
      <c r="E20" s="1" t="s">
        <v>1088</v>
      </c>
      <c r="F20" s="1" t="s">
        <v>1089</v>
      </c>
    </row>
    <row r="21" spans="1:6" x14ac:dyDescent="0.25">
      <c r="A21" s="1" t="s">
        <v>1086</v>
      </c>
      <c r="B21" s="1" t="s">
        <v>1100</v>
      </c>
      <c r="C21" s="1" t="s">
        <v>451</v>
      </c>
      <c r="D21" s="1" t="s">
        <v>207</v>
      </c>
      <c r="E21" s="1" t="s">
        <v>1088</v>
      </c>
      <c r="F21" s="1" t="s">
        <v>1089</v>
      </c>
    </row>
    <row r="22" spans="1:6" x14ac:dyDescent="0.25">
      <c r="A22" s="1" t="s">
        <v>1086</v>
      </c>
      <c r="B22" s="1" t="s">
        <v>1101</v>
      </c>
      <c r="C22" s="1" t="s">
        <v>134</v>
      </c>
      <c r="D22" s="1" t="s">
        <v>174</v>
      </c>
      <c r="E22" s="1" t="s">
        <v>1088</v>
      </c>
      <c r="F22" s="1" t="s">
        <v>1089</v>
      </c>
    </row>
    <row r="23" spans="1:6" x14ac:dyDescent="0.25">
      <c r="A23" s="1" t="s">
        <v>1086</v>
      </c>
      <c r="B23" s="1" t="s">
        <v>1102</v>
      </c>
      <c r="C23" s="1" t="s">
        <v>134</v>
      </c>
      <c r="D23" s="1" t="s">
        <v>191</v>
      </c>
      <c r="E23" s="1" t="s">
        <v>1088</v>
      </c>
      <c r="F23" s="1" t="s">
        <v>1089</v>
      </c>
    </row>
    <row r="24" spans="1:6" x14ac:dyDescent="0.25">
      <c r="A24" s="1" t="s">
        <v>1086</v>
      </c>
      <c r="B24" s="1" t="s">
        <v>1103</v>
      </c>
      <c r="C24" s="1" t="s">
        <v>134</v>
      </c>
      <c r="D24" s="1" t="s">
        <v>207</v>
      </c>
      <c r="E24" s="1" t="s">
        <v>1088</v>
      </c>
      <c r="F24" s="1" t="s">
        <v>1089</v>
      </c>
    </row>
    <row r="25" spans="1:6" x14ac:dyDescent="0.25">
      <c r="A25" s="1" t="s">
        <v>1086</v>
      </c>
      <c r="B25" s="1" t="s">
        <v>1104</v>
      </c>
      <c r="C25" s="1" t="s">
        <v>652</v>
      </c>
      <c r="D25" s="1" t="s">
        <v>174</v>
      </c>
      <c r="E25" s="1" t="s">
        <v>1088</v>
      </c>
      <c r="F25" s="1" t="s">
        <v>1089</v>
      </c>
    </row>
    <row r="26" spans="1:6" x14ac:dyDescent="0.25">
      <c r="A26" s="1" t="s">
        <v>1086</v>
      </c>
      <c r="B26" s="1" t="s">
        <v>1105</v>
      </c>
      <c r="C26" s="1" t="s">
        <v>652</v>
      </c>
      <c r="D26" s="1" t="s">
        <v>191</v>
      </c>
      <c r="E26" s="1" t="s">
        <v>1088</v>
      </c>
      <c r="F26" s="1" t="s">
        <v>1089</v>
      </c>
    </row>
    <row r="27" spans="1:6" x14ac:dyDescent="0.25">
      <c r="A27" s="1" t="s">
        <v>1086</v>
      </c>
      <c r="B27" s="1" t="s">
        <v>1106</v>
      </c>
      <c r="C27" s="1" t="s">
        <v>652</v>
      </c>
      <c r="D27" s="1" t="s">
        <v>207</v>
      </c>
      <c r="E27" s="1" t="s">
        <v>1088</v>
      </c>
      <c r="F27" s="1" t="s">
        <v>1089</v>
      </c>
    </row>
    <row r="28" spans="1:6" x14ac:dyDescent="0.25">
      <c r="A28" s="1" t="s">
        <v>1086</v>
      </c>
      <c r="B28" s="1" t="s">
        <v>1107</v>
      </c>
      <c r="C28" s="1" t="s">
        <v>147</v>
      </c>
      <c r="D28" s="1" t="s">
        <v>174</v>
      </c>
      <c r="E28" s="1" t="s">
        <v>1088</v>
      </c>
      <c r="F28" s="1" t="s">
        <v>1089</v>
      </c>
    </row>
    <row r="29" spans="1:6" x14ac:dyDescent="0.25">
      <c r="A29" s="1" t="s">
        <v>1086</v>
      </c>
      <c r="B29" s="1" t="s">
        <v>1108</v>
      </c>
      <c r="C29" s="1" t="s">
        <v>147</v>
      </c>
      <c r="D29" s="1" t="s">
        <v>191</v>
      </c>
      <c r="E29" s="1" t="s">
        <v>1088</v>
      </c>
      <c r="F29" s="1" t="s">
        <v>1089</v>
      </c>
    </row>
    <row r="30" spans="1:6" x14ac:dyDescent="0.25">
      <c r="A30" s="1" t="s">
        <v>1086</v>
      </c>
      <c r="B30" s="1" t="s">
        <v>1109</v>
      </c>
      <c r="C30" s="1" t="s">
        <v>147</v>
      </c>
      <c r="D30" s="1" t="s">
        <v>207</v>
      </c>
      <c r="E30" s="1" t="s">
        <v>1088</v>
      </c>
      <c r="F30" s="1" t="s">
        <v>1089</v>
      </c>
    </row>
    <row r="31" spans="1:6" x14ac:dyDescent="0.25">
      <c r="A31" s="1" t="s">
        <v>1086</v>
      </c>
      <c r="B31" s="1" t="s">
        <v>1110</v>
      </c>
      <c r="C31" s="1" t="s">
        <v>151</v>
      </c>
      <c r="D31" s="1" t="s">
        <v>174</v>
      </c>
      <c r="E31" s="1" t="s">
        <v>1088</v>
      </c>
      <c r="F31" s="1" t="s">
        <v>1089</v>
      </c>
    </row>
    <row r="32" spans="1:6" x14ac:dyDescent="0.25">
      <c r="A32" s="1" t="s">
        <v>1086</v>
      </c>
      <c r="B32" s="1" t="s">
        <v>1111</v>
      </c>
      <c r="C32" s="1" t="s">
        <v>151</v>
      </c>
      <c r="D32" s="1" t="s">
        <v>191</v>
      </c>
      <c r="E32" s="1" t="s">
        <v>1088</v>
      </c>
      <c r="F32" s="1" t="s">
        <v>1089</v>
      </c>
    </row>
    <row r="33" spans="1:6" x14ac:dyDescent="0.25">
      <c r="A33" s="1" t="s">
        <v>1086</v>
      </c>
      <c r="B33" s="1" t="s">
        <v>1112</v>
      </c>
      <c r="C33" s="1" t="s">
        <v>151</v>
      </c>
      <c r="D33" s="1" t="s">
        <v>207</v>
      </c>
      <c r="E33" s="1" t="s">
        <v>1088</v>
      </c>
      <c r="F33" s="1" t="s">
        <v>1089</v>
      </c>
    </row>
    <row r="34" spans="1:6" x14ac:dyDescent="0.25">
      <c r="A34" s="1" t="s">
        <v>1086</v>
      </c>
      <c r="B34" s="1" t="s">
        <v>1113</v>
      </c>
      <c r="C34" s="1" t="s">
        <v>142</v>
      </c>
      <c r="D34" s="1" t="s">
        <v>174</v>
      </c>
      <c r="E34" s="1" t="s">
        <v>1088</v>
      </c>
      <c r="F34" s="1" t="s">
        <v>1089</v>
      </c>
    </row>
    <row r="35" spans="1:6" x14ac:dyDescent="0.25">
      <c r="A35" s="1" t="s">
        <v>1086</v>
      </c>
      <c r="B35" s="1" t="s">
        <v>1114</v>
      </c>
      <c r="C35" s="1" t="s">
        <v>142</v>
      </c>
      <c r="D35" s="1" t="s">
        <v>191</v>
      </c>
      <c r="E35" s="1" t="s">
        <v>1088</v>
      </c>
      <c r="F35" s="1" t="s">
        <v>1089</v>
      </c>
    </row>
    <row r="36" spans="1:6" x14ac:dyDescent="0.25">
      <c r="A36" s="1" t="s">
        <v>1086</v>
      </c>
      <c r="B36" s="1" t="s">
        <v>1115</v>
      </c>
      <c r="C36" s="1" t="s">
        <v>142</v>
      </c>
      <c r="D36" s="1" t="s">
        <v>207</v>
      </c>
      <c r="E36" s="1" t="s">
        <v>1088</v>
      </c>
      <c r="F36" s="1" t="s">
        <v>1089</v>
      </c>
    </row>
    <row r="37" spans="1:6" x14ac:dyDescent="0.25">
      <c r="A37" s="1" t="s">
        <v>1086</v>
      </c>
      <c r="B37" s="1" t="s">
        <v>1116</v>
      </c>
      <c r="C37" s="1" t="s">
        <v>138</v>
      </c>
      <c r="D37" s="1" t="s">
        <v>174</v>
      </c>
      <c r="E37" s="1" t="s">
        <v>1088</v>
      </c>
      <c r="F37" s="1" t="s">
        <v>1089</v>
      </c>
    </row>
    <row r="38" spans="1:6" x14ac:dyDescent="0.25">
      <c r="A38" s="1" t="s">
        <v>1086</v>
      </c>
      <c r="B38" s="1" t="s">
        <v>1117</v>
      </c>
      <c r="C38" s="1" t="s">
        <v>138</v>
      </c>
      <c r="D38" s="1" t="s">
        <v>191</v>
      </c>
      <c r="E38" s="1" t="s">
        <v>1088</v>
      </c>
      <c r="F38" s="1" t="s">
        <v>1089</v>
      </c>
    </row>
    <row r="39" spans="1:6" x14ac:dyDescent="0.25">
      <c r="A39" s="1" t="s">
        <v>159</v>
      </c>
      <c r="B39" s="1" t="s">
        <v>184</v>
      </c>
      <c r="C39" s="1" t="s">
        <v>184</v>
      </c>
      <c r="D39" s="1">
        <v>8</v>
      </c>
      <c r="E39" s="1">
        <v>32</v>
      </c>
      <c r="F39" s="1" t="s">
        <v>1118</v>
      </c>
    </row>
    <row r="40" spans="1:6" x14ac:dyDescent="0.25">
      <c r="A40" s="1" t="s">
        <v>159</v>
      </c>
      <c r="B40" s="1" t="s">
        <v>226</v>
      </c>
      <c r="C40" s="1" t="s">
        <v>226</v>
      </c>
      <c r="D40" s="1">
        <v>16</v>
      </c>
      <c r="E40" s="1">
        <v>64</v>
      </c>
      <c r="F40" s="1" t="s">
        <v>1118</v>
      </c>
    </row>
    <row r="41" spans="1:6" x14ac:dyDescent="0.25">
      <c r="A41" s="1" t="s">
        <v>159</v>
      </c>
      <c r="B41" s="1" t="s">
        <v>289</v>
      </c>
      <c r="C41" s="1" t="s">
        <v>289</v>
      </c>
      <c r="D41" s="1">
        <v>32</v>
      </c>
      <c r="E41" s="1">
        <v>128</v>
      </c>
      <c r="F41" s="1" t="s">
        <v>1118</v>
      </c>
    </row>
    <row r="42" spans="1:6" x14ac:dyDescent="0.25">
      <c r="A42" s="1" t="s">
        <v>159</v>
      </c>
      <c r="B42" s="1" t="s">
        <v>276</v>
      </c>
      <c r="C42" s="1" t="s">
        <v>276</v>
      </c>
      <c r="D42" s="1">
        <v>64</v>
      </c>
      <c r="E42" s="1">
        <v>256</v>
      </c>
      <c r="F42" s="1" t="s">
        <v>1118</v>
      </c>
    </row>
    <row r="43" spans="1:6" x14ac:dyDescent="0.25">
      <c r="A43" s="1" t="s">
        <v>159</v>
      </c>
      <c r="B43" s="1" t="s">
        <v>192</v>
      </c>
      <c r="C43" s="1" t="s">
        <v>192</v>
      </c>
      <c r="D43" s="1">
        <v>16</v>
      </c>
      <c r="E43" s="1">
        <v>128</v>
      </c>
      <c r="F43" s="1" t="s">
        <v>1119</v>
      </c>
    </row>
    <row r="44" spans="1:6" x14ac:dyDescent="0.25">
      <c r="A44" s="1" t="s">
        <v>159</v>
      </c>
      <c r="B44" s="1" t="s">
        <v>330</v>
      </c>
      <c r="C44" s="1" t="s">
        <v>330</v>
      </c>
      <c r="D44" s="1">
        <v>32</v>
      </c>
      <c r="E44" s="1">
        <v>256</v>
      </c>
      <c r="F44" s="1" t="s">
        <v>1120</v>
      </c>
    </row>
    <row r="45" spans="1:6" x14ac:dyDescent="0.25">
      <c r="A45" s="1" t="s">
        <v>159</v>
      </c>
      <c r="B45" s="1" t="s">
        <v>259</v>
      </c>
      <c r="C45" s="1" t="s">
        <v>259</v>
      </c>
      <c r="D45" s="1">
        <v>64</v>
      </c>
      <c r="E45" s="1">
        <v>512</v>
      </c>
      <c r="F45" s="1" t="s">
        <v>1120</v>
      </c>
    </row>
    <row r="46" spans="1:6" x14ac:dyDescent="0.25">
      <c r="A46" s="1" t="s">
        <v>159</v>
      </c>
      <c r="B46" s="1" t="s">
        <v>231</v>
      </c>
      <c r="C46" s="1" t="s">
        <v>231</v>
      </c>
      <c r="D46" s="1">
        <v>32</v>
      </c>
      <c r="E46" s="1">
        <v>64</v>
      </c>
      <c r="F46" s="1" t="s">
        <v>1121</v>
      </c>
    </row>
    <row r="47" spans="1:6" x14ac:dyDescent="0.25">
      <c r="A47" s="1" t="s">
        <v>159</v>
      </c>
      <c r="B47" s="1" t="s">
        <v>216</v>
      </c>
      <c r="C47" s="1" t="s">
        <v>216</v>
      </c>
      <c r="D47" s="1">
        <v>16</v>
      </c>
      <c r="E47" s="1">
        <v>128</v>
      </c>
      <c r="F47" s="1" t="s">
        <v>1122</v>
      </c>
    </row>
    <row r="48" spans="1:6" x14ac:dyDescent="0.25">
      <c r="A48" s="1" t="s">
        <v>159</v>
      </c>
      <c r="B48" s="1" t="s">
        <v>208</v>
      </c>
      <c r="C48" s="1" t="s">
        <v>208</v>
      </c>
      <c r="D48" s="1">
        <v>128</v>
      </c>
      <c r="E48" s="1">
        <v>3892</v>
      </c>
      <c r="F48" s="1" t="s">
        <v>1123</v>
      </c>
    </row>
    <row r="49" spans="1:6" x14ac:dyDescent="0.25">
      <c r="A49" s="1" t="s">
        <v>159</v>
      </c>
      <c r="B49" s="1" t="s">
        <v>203</v>
      </c>
      <c r="C49" s="1" t="s">
        <v>203</v>
      </c>
      <c r="D49" s="1">
        <v>16</v>
      </c>
      <c r="E49" s="1">
        <v>64</v>
      </c>
      <c r="F49" s="1" t="s">
        <v>1124</v>
      </c>
    </row>
    <row r="50" spans="1:6" x14ac:dyDescent="0.25">
      <c r="A50" s="1" t="s">
        <v>159</v>
      </c>
      <c r="B50" s="1" t="s">
        <v>282</v>
      </c>
      <c r="C50" s="1" t="s">
        <v>282</v>
      </c>
      <c r="D50" s="1">
        <v>32</v>
      </c>
      <c r="E50" s="1">
        <v>256</v>
      </c>
      <c r="F50" s="1" t="s">
        <v>1125</v>
      </c>
    </row>
    <row r="51" spans="1:6" x14ac:dyDescent="0.25">
      <c r="A51" s="1" t="s">
        <v>159</v>
      </c>
      <c r="B51" s="1" t="s">
        <v>452</v>
      </c>
      <c r="C51" s="1" t="s">
        <v>452</v>
      </c>
      <c r="D51" s="1">
        <v>176</v>
      </c>
      <c r="E51" s="1">
        <v>768</v>
      </c>
      <c r="F51" s="1" t="s">
        <v>1126</v>
      </c>
    </row>
    <row r="52" spans="1:6" x14ac:dyDescent="0.25">
      <c r="A52" s="1" t="s">
        <v>159</v>
      </c>
      <c r="B52" s="1" t="s">
        <v>362</v>
      </c>
      <c r="C52" s="1" t="s">
        <v>362</v>
      </c>
      <c r="D52" s="1">
        <v>24</v>
      </c>
      <c r="E52" s="1">
        <v>220</v>
      </c>
      <c r="F52" s="1" t="s">
        <v>1127</v>
      </c>
    </row>
    <row r="53" spans="1:6" x14ac:dyDescent="0.25">
      <c r="A53" s="1" t="s">
        <v>159</v>
      </c>
      <c r="B53" s="1" t="s">
        <v>359</v>
      </c>
      <c r="C53" s="1" t="s">
        <v>359</v>
      </c>
      <c r="D53" s="1">
        <v>96</v>
      </c>
      <c r="E53" s="1">
        <v>1900</v>
      </c>
      <c r="F53" s="1" t="s">
        <v>1128</v>
      </c>
    </row>
    <row r="54" spans="1:6" x14ac:dyDescent="0.25">
      <c r="A54" s="1" t="s">
        <v>159</v>
      </c>
      <c r="B54" s="1" t="s">
        <v>548</v>
      </c>
      <c r="C54" s="1" t="s">
        <v>548</v>
      </c>
      <c r="D54" s="1">
        <v>40</v>
      </c>
      <c r="E54" s="1">
        <v>320</v>
      </c>
      <c r="F54" s="1" t="s">
        <v>1129</v>
      </c>
    </row>
    <row r="55" spans="1:6" x14ac:dyDescent="0.25">
      <c r="A55" s="1" t="s">
        <v>1130</v>
      </c>
      <c r="B55" s="1" t="s">
        <v>1038</v>
      </c>
      <c r="C55" s="1" t="s">
        <v>1038</v>
      </c>
      <c r="D55" s="1" t="s">
        <v>1039</v>
      </c>
      <c r="E55" s="1"/>
      <c r="F55" s="1"/>
    </row>
    <row r="56" spans="1:6" x14ac:dyDescent="0.25">
      <c r="A56" s="1" t="s">
        <v>1130</v>
      </c>
      <c r="B56" s="1" t="s">
        <v>1052</v>
      </c>
      <c r="C56" s="1" t="s">
        <v>1052</v>
      </c>
      <c r="D56" s="1" t="s">
        <v>1039</v>
      </c>
      <c r="E56" s="1"/>
      <c r="F56" s="1"/>
    </row>
    <row r="57" spans="1:6" x14ac:dyDescent="0.25">
      <c r="A57" s="1" t="s">
        <v>1130</v>
      </c>
      <c r="B57" s="1" t="s">
        <v>1043</v>
      </c>
      <c r="C57" s="1" t="s">
        <v>1043</v>
      </c>
      <c r="D57" s="1" t="s">
        <v>1044</v>
      </c>
      <c r="E57" s="1"/>
      <c r="F57" s="1"/>
    </row>
    <row r="58" spans="1:6" x14ac:dyDescent="0.25">
      <c r="A58" s="1" t="s">
        <v>1130</v>
      </c>
      <c r="B58" s="1" t="s">
        <v>1060</v>
      </c>
      <c r="C58" s="1" t="s">
        <v>1060</v>
      </c>
      <c r="D58" s="1" t="s">
        <v>1056</v>
      </c>
      <c r="E58" s="1"/>
      <c r="F58" s="1"/>
    </row>
    <row r="59" spans="1:6" x14ac:dyDescent="0.25">
      <c r="A59" s="1" t="s">
        <v>1130</v>
      </c>
      <c r="B59" s="1" t="s">
        <v>1065</v>
      </c>
      <c r="C59" s="1" t="s">
        <v>1065</v>
      </c>
      <c r="D59" s="1" t="s">
        <v>1056</v>
      </c>
      <c r="E59" s="1"/>
      <c r="F59" s="1"/>
    </row>
    <row r="60" spans="1:6" x14ac:dyDescent="0.25">
      <c r="A60" s="1" t="s">
        <v>1130</v>
      </c>
      <c r="B60" s="1" t="s">
        <v>1061</v>
      </c>
      <c r="C60" s="1" t="s">
        <v>1061</v>
      </c>
      <c r="D60" s="1" t="s">
        <v>1062</v>
      </c>
      <c r="E60" s="1"/>
      <c r="F60" s="1"/>
    </row>
    <row r="61" spans="1:6" x14ac:dyDescent="0.25">
      <c r="A61" s="1" t="s">
        <v>1130</v>
      </c>
      <c r="B61" s="1" t="s">
        <v>1066</v>
      </c>
      <c r="C61" s="1" t="s">
        <v>1066</v>
      </c>
      <c r="D61" s="1" t="s">
        <v>1062</v>
      </c>
      <c r="E61" s="1"/>
      <c r="F61" s="1"/>
    </row>
    <row r="62" spans="1:6" x14ac:dyDescent="0.25">
      <c r="A62" s="1" t="s">
        <v>1130</v>
      </c>
      <c r="B62" s="1" t="s">
        <v>1064</v>
      </c>
      <c r="C62" s="1" t="s">
        <v>1064</v>
      </c>
      <c r="D62" s="1" t="s">
        <v>1062</v>
      </c>
      <c r="E62" s="1"/>
      <c r="F62" s="1"/>
    </row>
    <row r="63" spans="1:6" x14ac:dyDescent="0.25">
      <c r="A63" s="1" t="s">
        <v>1130</v>
      </c>
      <c r="B63" s="1" t="s">
        <v>1063</v>
      </c>
      <c r="C63" s="1" t="s">
        <v>1063</v>
      </c>
      <c r="D63" s="1" t="s">
        <v>1056</v>
      </c>
      <c r="E63" s="1"/>
      <c r="F63" s="1"/>
    </row>
    <row r="64" spans="1:6" x14ac:dyDescent="0.25">
      <c r="A64" s="1" t="s">
        <v>1130</v>
      </c>
      <c r="B64" s="1" t="s">
        <v>1059</v>
      </c>
      <c r="C64" s="1" t="s">
        <v>1059</v>
      </c>
      <c r="D64" s="1" t="s">
        <v>1039</v>
      </c>
      <c r="E64" s="1"/>
      <c r="F64" s="1"/>
    </row>
    <row r="65" spans="1:6" x14ac:dyDescent="0.25">
      <c r="A65" s="1" t="s">
        <v>1130</v>
      </c>
      <c r="B65" s="1" t="s">
        <v>1053</v>
      </c>
      <c r="C65" s="1" t="s">
        <v>1053</v>
      </c>
      <c r="D65" s="1" t="s">
        <v>1054</v>
      </c>
      <c r="E65" s="1"/>
      <c r="F65" s="1"/>
    </row>
    <row r="66" spans="1:6" x14ac:dyDescent="0.25">
      <c r="A66" s="1" t="s">
        <v>1130</v>
      </c>
      <c r="B66" s="1" t="s">
        <v>1045</v>
      </c>
      <c r="C66" s="1" t="s">
        <v>1045</v>
      </c>
      <c r="D66" s="1" t="s">
        <v>1046</v>
      </c>
      <c r="E66" s="1"/>
      <c r="F66" s="1"/>
    </row>
    <row r="67" spans="1:6" x14ac:dyDescent="0.25">
      <c r="A67" s="1" t="s">
        <v>1130</v>
      </c>
      <c r="B67" s="1" t="s">
        <v>1050</v>
      </c>
      <c r="C67" s="1" t="s">
        <v>1050</v>
      </c>
      <c r="D67" s="1" t="s">
        <v>1051</v>
      </c>
      <c r="E67" s="1"/>
      <c r="F67" s="1"/>
    </row>
    <row r="68" spans="1:6" x14ac:dyDescent="0.25">
      <c r="A68" s="1" t="s">
        <v>1130</v>
      </c>
      <c r="B68" s="1" t="s">
        <v>1049</v>
      </c>
      <c r="C68" s="1" t="s">
        <v>1049</v>
      </c>
      <c r="D68" s="1" t="s">
        <v>1048</v>
      </c>
      <c r="E68" s="1"/>
      <c r="F68" s="1"/>
    </row>
    <row r="69" spans="1:6" x14ac:dyDescent="0.25">
      <c r="A69" s="1" t="s">
        <v>1130</v>
      </c>
      <c r="B69" s="1" t="s">
        <v>1057</v>
      </c>
      <c r="C69" s="1" t="s">
        <v>1057</v>
      </c>
      <c r="D69" s="1" t="s">
        <v>1048</v>
      </c>
      <c r="E69" s="1"/>
      <c r="F69" s="1"/>
    </row>
    <row r="70" spans="1:6" x14ac:dyDescent="0.25">
      <c r="A70" s="1" t="s">
        <v>1130</v>
      </c>
      <c r="B70" s="1" t="s">
        <v>1047</v>
      </c>
      <c r="C70" s="1" t="s">
        <v>1047</v>
      </c>
      <c r="D70" s="1" t="s">
        <v>1048</v>
      </c>
      <c r="E70" s="1"/>
      <c r="F70" s="1"/>
    </row>
    <row r="71" spans="1:6" x14ac:dyDescent="0.25">
      <c r="A71" s="1" t="s">
        <v>1130</v>
      </c>
      <c r="B71" s="1" t="s">
        <v>1058</v>
      </c>
      <c r="C71" s="1" t="s">
        <v>1058</v>
      </c>
      <c r="D71" s="1" t="s">
        <v>1039</v>
      </c>
      <c r="E71" s="1"/>
      <c r="F71" s="1"/>
    </row>
    <row r="72" spans="1:6" x14ac:dyDescent="0.25">
      <c r="A72" s="1" t="s">
        <v>1130</v>
      </c>
      <c r="B72" s="1" t="s">
        <v>1055</v>
      </c>
      <c r="C72" s="1" t="s">
        <v>1055</v>
      </c>
      <c r="D72" s="1" t="s">
        <v>1056</v>
      </c>
      <c r="E72" s="1"/>
      <c r="F72" s="1"/>
    </row>
    <row r="73" spans="1:6" x14ac:dyDescent="0.25">
      <c r="A73" s="1" t="s">
        <v>33</v>
      </c>
      <c r="B73" s="1" t="s">
        <v>1040</v>
      </c>
      <c r="C73" s="1" t="s">
        <v>1040</v>
      </c>
      <c r="D73" s="2">
        <v>45108</v>
      </c>
      <c r="E73" s="2">
        <v>45473</v>
      </c>
      <c r="F73" s="1" t="s">
        <v>1131</v>
      </c>
    </row>
    <row r="74" spans="1:6" x14ac:dyDescent="0.25">
      <c r="A74" s="1" t="s">
        <v>33</v>
      </c>
      <c r="B74" s="1" t="s">
        <v>1041</v>
      </c>
      <c r="C74" s="1" t="s">
        <v>1041</v>
      </c>
      <c r="D74" s="2">
        <v>45474</v>
      </c>
      <c r="E74" s="2">
        <v>45838</v>
      </c>
      <c r="F74" s="1" t="s">
        <v>1131</v>
      </c>
    </row>
    <row r="75" spans="1:6" x14ac:dyDescent="0.25">
      <c r="A75" s="1" t="s">
        <v>33</v>
      </c>
      <c r="B75" s="1" t="s">
        <v>1042</v>
      </c>
      <c r="C75" s="1" t="s">
        <v>1042</v>
      </c>
      <c r="D75" s="2">
        <v>45839</v>
      </c>
      <c r="E75" s="2">
        <v>46203</v>
      </c>
      <c r="F75" s="1" t="s">
        <v>1131</v>
      </c>
    </row>
    <row r="76" spans="1:6" x14ac:dyDescent="0.25">
      <c r="A76" s="1" t="s">
        <v>158</v>
      </c>
      <c r="B76" s="1" t="s">
        <v>183</v>
      </c>
      <c r="C76" s="1" t="s">
        <v>183</v>
      </c>
      <c r="D76" s="1" t="s">
        <v>1039</v>
      </c>
      <c r="E76" s="1"/>
      <c r="F76" s="1"/>
    </row>
    <row r="77" spans="1:6" x14ac:dyDescent="0.25">
      <c r="A77" s="1" t="s">
        <v>158</v>
      </c>
      <c r="B77" s="1" t="s">
        <v>230</v>
      </c>
      <c r="C77" s="1" t="s">
        <v>230</v>
      </c>
      <c r="D77" s="1" t="s">
        <v>1039</v>
      </c>
      <c r="E77" s="1"/>
      <c r="F77" s="1"/>
    </row>
    <row r="78" spans="1:6" x14ac:dyDescent="0.25">
      <c r="A78" s="1" t="s">
        <v>158</v>
      </c>
      <c r="B78" s="1" t="s">
        <v>221</v>
      </c>
      <c r="C78" s="1" t="s">
        <v>221</v>
      </c>
      <c r="D78" s="1" t="s">
        <v>1039</v>
      </c>
      <c r="E78" s="1"/>
      <c r="F78" s="1"/>
    </row>
    <row r="79" spans="1:6" x14ac:dyDescent="0.25">
      <c r="A79" s="1" t="s">
        <v>158</v>
      </c>
      <c r="B79" s="1" t="s">
        <v>175</v>
      </c>
      <c r="C79" s="1" t="s">
        <v>175</v>
      </c>
      <c r="D79" s="1" t="s">
        <v>1132</v>
      </c>
      <c r="E79" s="1"/>
      <c r="F79" s="1"/>
    </row>
    <row r="80" spans="1:6" x14ac:dyDescent="0.25">
      <c r="A80" s="1" t="s">
        <v>158</v>
      </c>
      <c r="B80" s="1" t="s">
        <v>198</v>
      </c>
      <c r="C80" s="1" t="s">
        <v>198</v>
      </c>
      <c r="D80" s="1" t="s">
        <v>1132</v>
      </c>
      <c r="E80" s="1"/>
      <c r="F80" s="1"/>
    </row>
    <row r="81" spans="1:6" x14ac:dyDescent="0.25">
      <c r="A81" s="1" t="s">
        <v>158</v>
      </c>
      <c r="B81" s="1" t="s">
        <v>235</v>
      </c>
      <c r="C81" s="1" t="s">
        <v>235</v>
      </c>
      <c r="D81" s="1" t="s">
        <v>1132</v>
      </c>
      <c r="E81" s="1"/>
      <c r="F81" s="1"/>
    </row>
    <row r="82" spans="1:6" x14ac:dyDescent="0.25">
      <c r="A82" s="1" t="s">
        <v>158</v>
      </c>
      <c r="B82" s="1" t="s">
        <v>242</v>
      </c>
      <c r="C82" s="1" t="s">
        <v>242</v>
      </c>
      <c r="D82" s="1" t="s">
        <v>1039</v>
      </c>
      <c r="E82" s="1"/>
      <c r="F82" s="1"/>
    </row>
    <row r="83" spans="1:6" x14ac:dyDescent="0.25">
      <c r="A83" s="1" t="s">
        <v>158</v>
      </c>
      <c r="B83" s="1" t="s">
        <v>202</v>
      </c>
      <c r="C83" s="1" t="s">
        <v>202</v>
      </c>
      <c r="D83" s="1" t="s">
        <v>1039</v>
      </c>
      <c r="E83" s="1"/>
      <c r="F83" s="1"/>
    </row>
    <row r="84" spans="1:6" x14ac:dyDescent="0.25">
      <c r="A84" s="1" t="s">
        <v>164</v>
      </c>
      <c r="B84" s="1" t="s">
        <v>185</v>
      </c>
      <c r="C84" s="1" t="s">
        <v>185</v>
      </c>
      <c r="D84" s="1"/>
      <c r="E84" s="1"/>
      <c r="F84" s="1"/>
    </row>
    <row r="85" spans="1:6" x14ac:dyDescent="0.25">
      <c r="A85" s="1" t="s">
        <v>164</v>
      </c>
      <c r="B85" s="1" t="s">
        <v>217</v>
      </c>
      <c r="C85" s="1" t="s">
        <v>217</v>
      </c>
      <c r="D85" s="1"/>
      <c r="E85" s="1"/>
      <c r="F85" s="1"/>
    </row>
    <row r="86" spans="1:6" x14ac:dyDescent="0.25">
      <c r="A86" s="1" t="s">
        <v>164</v>
      </c>
      <c r="B86" s="1" t="s">
        <v>177</v>
      </c>
      <c r="C86" s="1" t="s">
        <v>177</v>
      </c>
      <c r="D86" s="1"/>
      <c r="E86" s="1"/>
      <c r="F86" s="1"/>
    </row>
    <row r="87" spans="1:6" x14ac:dyDescent="0.25">
      <c r="A87" s="1" t="s">
        <v>1037</v>
      </c>
      <c r="B87" s="1" t="s">
        <v>1133</v>
      </c>
      <c r="C87" s="1" t="s">
        <v>1133</v>
      </c>
      <c r="D87" s="1"/>
      <c r="E87" s="1"/>
      <c r="F87" s="1"/>
    </row>
    <row r="88" spans="1:6" x14ac:dyDescent="0.25">
      <c r="A88" s="1" t="s">
        <v>1037</v>
      </c>
      <c r="B88" s="1" t="s">
        <v>1134</v>
      </c>
      <c r="C88" s="1" t="s">
        <v>1134</v>
      </c>
      <c r="D88" s="1"/>
      <c r="E88" s="1"/>
      <c r="F88" s="1"/>
    </row>
    <row r="89" spans="1:6" x14ac:dyDescent="0.25">
      <c r="A89" s="1" t="s">
        <v>1037</v>
      </c>
      <c r="B89" s="1" t="s">
        <v>143</v>
      </c>
      <c r="C89" s="1" t="s">
        <v>143</v>
      </c>
      <c r="D89" s="1"/>
      <c r="E89" s="1"/>
      <c r="F89" s="1"/>
    </row>
    <row r="90" spans="1:6" x14ac:dyDescent="0.25">
      <c r="A90" s="1" t="s">
        <v>1078</v>
      </c>
      <c r="B90" s="1" t="s">
        <v>1135</v>
      </c>
      <c r="C90" s="1" t="s">
        <v>1135</v>
      </c>
      <c r="D90" s="1"/>
      <c r="E90" s="1"/>
      <c r="F90" s="1"/>
    </row>
    <row r="91" spans="1:6" x14ac:dyDescent="0.25">
      <c r="A91" s="1" t="s">
        <v>1078</v>
      </c>
      <c r="B91" s="1" t="s">
        <v>1136</v>
      </c>
      <c r="C91" s="1" t="s">
        <v>1136</v>
      </c>
      <c r="D91" s="1"/>
      <c r="E91" s="1"/>
      <c r="F91" s="1"/>
    </row>
    <row r="92" spans="1:6" x14ac:dyDescent="0.25">
      <c r="A92" s="1" t="s">
        <v>1078</v>
      </c>
      <c r="B92" s="1" t="s">
        <v>143</v>
      </c>
      <c r="C92" s="1" t="s">
        <v>143</v>
      </c>
      <c r="D92" s="1"/>
      <c r="E92" s="1"/>
      <c r="F92" s="1"/>
    </row>
    <row r="93" spans="1:6" x14ac:dyDescent="0.25">
      <c r="A93" s="1" t="s">
        <v>1078</v>
      </c>
      <c r="B93" s="1" t="s">
        <v>1137</v>
      </c>
      <c r="C93" s="1" t="s">
        <v>1137</v>
      </c>
      <c r="D93" s="1"/>
      <c r="E93" s="1"/>
      <c r="F93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Customer_Summary</vt:lpstr>
      <vt:lpstr>Deployed_Inventory</vt:lpstr>
      <vt:lpstr>ACR_By_Service_Yearly</vt:lpstr>
      <vt:lpstr>ACR_Monthly_Trend</vt:lpstr>
      <vt:lpstr>Service_Growth_Ratio</vt:lpstr>
      <vt:lpstr>Reference_Data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Theodoros Tsironis</cp:lastModifiedBy>
  <cp:revision/>
  <dcterms:created xsi:type="dcterms:W3CDTF">2026-09-15T07:35:51Z</dcterms:created>
  <dcterms:modified xsi:type="dcterms:W3CDTF">2026-09-15T10:20:14Z</dcterms:modified>
  <cp:category/>
  <cp:contentStatus/>
</cp:coreProperties>
</file>